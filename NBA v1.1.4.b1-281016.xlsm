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workbookProtection lockStructure="1"/>
  <bookViews>
    <workbookView xWindow="0" yWindow="465" windowWidth="20730" windowHeight="11760" tabRatio="500"/>
  </bookViews>
  <sheets>
    <sheet name="Stats" sheetId="1" r:id="rId1"/>
    <sheet name="Schedule" sheetId="9" r:id="rId2"/>
    <sheet name="PER" sheetId="10" r:id="rId3"/>
    <sheet name="PER_WEB" sheetId="14" state="hidden" r:id="rId4"/>
    <sheet name="Player Rank" sheetId="16" r:id="rId5"/>
  </sheets>
  <definedNames>
    <definedName name="_xlnm._FilterDatabase" localSheetId="2" hidden="1">PER!$A$1:$I$640</definedName>
    <definedName name="_xlnm._FilterDatabase" localSheetId="1" hidden="1">Schedule!$D$5:$F$2494</definedName>
    <definedName name="AZ">Stats!$A$133:$A$135</definedName>
    <definedName name="cle" localSheetId="3">PER_WEB!$A$2:$O$300</definedName>
    <definedName name="EST">Stats!$B$57:$B$71</definedName>
    <definedName name="gs" localSheetId="3">PER_WEB!$P$2:$AD$300</definedName>
    <definedName name="liste1">Schedule!$A$6:$A$35</definedName>
    <definedName name="LISTTEAM">Stats!$B$111:$B$125,Stats!$B$94:$B$108</definedName>
    <definedName name="ny" localSheetId="3">PER_WEB!$AE$2:$AS$300</definedName>
    <definedName name="OUEST">Tableau73[OUEST]</definedName>
    <definedName name="PER" localSheetId="3">PER_WEB!$CM$2:$DA$294</definedName>
    <definedName name="PER_1" localSheetId="3">PER_WEB!$DB$2:$DP$298</definedName>
    <definedName name="PER_10" localSheetId="3">PER_WEB!$IG$2:$IU$292</definedName>
    <definedName name="PER_11" localSheetId="3">PER_WEB!$IV$2:$JJ$296</definedName>
    <definedName name="PER_12" localSheetId="3">PER_WEB!$JK$2:$JY$294</definedName>
    <definedName name="PER_13" localSheetId="3">PER_WEB!$JZ$2:$KN$296</definedName>
    <definedName name="PER_14" localSheetId="3">PER_WEB!$KO$2:$LC$294</definedName>
    <definedName name="PER_15" localSheetId="3">PER_WEB!$LD$2:$LR$290</definedName>
    <definedName name="PER_16" localSheetId="3">PER_WEB!$LS$2:$MG$296</definedName>
    <definedName name="PER_17" localSheetId="3">PER_WEB!$MH$2:$MV$298</definedName>
    <definedName name="PER_18" localSheetId="3">PER_WEB!$MW$2:$NK$298</definedName>
    <definedName name="PER_19" localSheetId="3">PER_WEB!$NL$2:$NZ$294</definedName>
    <definedName name="PER_2" localSheetId="3">PER_WEB!$DQ$2:$EE$294</definedName>
    <definedName name="PER_3" localSheetId="3">PER_WEB!$EF$2:$ET$298</definedName>
    <definedName name="PER_4" localSheetId="3">PER_WEB!$EU$2:$FI$294</definedName>
    <definedName name="PER_5" localSheetId="3">PER_WEB!$FJ$2:$FX$298</definedName>
    <definedName name="PER_6" localSheetId="3">PER_WEB!$FY$2:$GM$294</definedName>
    <definedName name="PER_7" localSheetId="3">PER_WEB!$GN$2:$HB$296</definedName>
    <definedName name="PER_8" localSheetId="3">PER_WEB!$HC$2:$HQ$298</definedName>
    <definedName name="PER_9" localSheetId="3">PER_WEB!$HR$2:$IF$292</definedName>
    <definedName name="philadelphia_76ers_team_stats?season_2016_category_SCORING_group_1_time_1" localSheetId="4">'Player Rank'!#REF!</definedName>
    <definedName name="players" localSheetId="4">'Player Rank'!#REF!</definedName>
    <definedName name="por" localSheetId="3">PER_WEB!$AT$2:$BH$294</definedName>
    <definedName name="sa" localSheetId="3">PER_WEB!$BI$2:$BW$300</definedName>
    <definedName name="statistics" localSheetId="4">'Player Rank'!$B$5:$O$250</definedName>
    <definedName name="TEAM">Stats!$B$57:$B$71,Stats!$B$74:$B$88</definedName>
    <definedName name="TEAMLIST">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</definedName>
    <definedName name="TEAMLIST2">Schedule!#REF!</definedName>
    <definedName name="utah" localSheetId="3">PER_WEB!$BX$2:$CL$294</definedName>
    <definedName name="vd">Stats!$A$133:$A$134</definedName>
    <definedName name="vip" localSheetId="3">PER_WEB!#REF!</definedName>
    <definedName name="WL">Stats!$A$133:$A$134</definedName>
  </definedNames>
  <calcPr calcId="145621" concurrentCalc="0"/>
</workbook>
</file>

<file path=xl/calcChain.xml><?xml version="1.0" encoding="utf-8"?>
<calcChain xmlns="http://schemas.openxmlformats.org/spreadsheetml/2006/main">
  <c r="G2" i="10" l="1"/>
  <c r="H13" i="10"/>
  <c r="H14" i="10"/>
  <c r="H15" i="10"/>
  <c r="H16" i="10"/>
  <c r="H12" i="10"/>
  <c r="G13" i="10"/>
  <c r="G14" i="10"/>
  <c r="G15" i="10"/>
  <c r="G16" i="10"/>
  <c r="G12" i="10"/>
  <c r="H3" i="10"/>
  <c r="H4" i="10"/>
  <c r="H5" i="10"/>
  <c r="H6" i="10"/>
  <c r="H7" i="10"/>
  <c r="H8" i="10"/>
  <c r="H9" i="10"/>
  <c r="H10" i="10"/>
  <c r="H11" i="10"/>
  <c r="H2" i="10"/>
  <c r="G3" i="10"/>
  <c r="G4" i="10"/>
  <c r="G5" i="10"/>
  <c r="G6" i="10"/>
  <c r="G7" i="10"/>
  <c r="G8" i="10"/>
  <c r="G9" i="10"/>
  <c r="G10" i="10"/>
  <c r="G11" i="10"/>
  <c r="G59" i="1"/>
  <c r="F59" i="1"/>
  <c r="C59" i="1"/>
  <c r="D59" i="1"/>
  <c r="R53" i="1"/>
  <c r="C57" i="1"/>
  <c r="F57" i="1"/>
  <c r="D57" i="1"/>
  <c r="G57" i="1"/>
  <c r="R51" i="1"/>
  <c r="C58" i="1"/>
  <c r="F58" i="1"/>
  <c r="D58" i="1"/>
  <c r="G58" i="1"/>
  <c r="R52" i="1"/>
  <c r="C60" i="1"/>
  <c r="F60" i="1"/>
  <c r="D60" i="1"/>
  <c r="G60" i="1"/>
  <c r="R54" i="1"/>
  <c r="C61" i="1"/>
  <c r="F61" i="1"/>
  <c r="D61" i="1"/>
  <c r="G61" i="1"/>
  <c r="R55" i="1"/>
  <c r="C62" i="1"/>
  <c r="F62" i="1"/>
  <c r="D62" i="1"/>
  <c r="G62" i="1"/>
  <c r="R56" i="1"/>
  <c r="C63" i="1"/>
  <c r="F63" i="1"/>
  <c r="D63" i="1"/>
  <c r="G63" i="1"/>
  <c r="R57" i="1"/>
  <c r="C64" i="1"/>
  <c r="F64" i="1"/>
  <c r="D64" i="1"/>
  <c r="G64" i="1"/>
  <c r="R58" i="1"/>
  <c r="C65" i="1"/>
  <c r="F65" i="1"/>
  <c r="D65" i="1"/>
  <c r="G65" i="1"/>
  <c r="R59" i="1"/>
  <c r="C66" i="1"/>
  <c r="F66" i="1"/>
  <c r="D66" i="1"/>
  <c r="G66" i="1"/>
  <c r="R60" i="1"/>
  <c r="C67" i="1"/>
  <c r="F67" i="1"/>
  <c r="D67" i="1"/>
  <c r="G67" i="1"/>
  <c r="R61" i="1"/>
  <c r="C68" i="1"/>
  <c r="F68" i="1"/>
  <c r="D68" i="1"/>
  <c r="G68" i="1"/>
  <c r="R62" i="1"/>
  <c r="C69" i="1"/>
  <c r="F69" i="1"/>
  <c r="D69" i="1"/>
  <c r="G69" i="1"/>
  <c r="R63" i="1"/>
  <c r="C70" i="1"/>
  <c r="F70" i="1"/>
  <c r="D70" i="1"/>
  <c r="G70" i="1"/>
  <c r="R64" i="1"/>
  <c r="C71" i="1"/>
  <c r="F71" i="1"/>
  <c r="D71" i="1"/>
  <c r="G71" i="1"/>
  <c r="R65" i="1"/>
  <c r="D40" i="1"/>
  <c r="I76" i="1"/>
  <c r="V2" i="1"/>
  <c r="I87" i="1"/>
  <c r="I82" i="1"/>
  <c r="I59" i="1"/>
  <c r="W2" i="1"/>
  <c r="C6" i="1"/>
  <c r="J76" i="1"/>
  <c r="V3" i="1"/>
  <c r="J87" i="1"/>
  <c r="J82" i="1"/>
  <c r="J59" i="1"/>
  <c r="W3" i="1"/>
  <c r="C7" i="1"/>
  <c r="K76" i="1"/>
  <c r="V4" i="1"/>
  <c r="K87" i="1"/>
  <c r="K82" i="1"/>
  <c r="K59" i="1"/>
  <c r="W4" i="1"/>
  <c r="C8" i="1"/>
  <c r="L76" i="1"/>
  <c r="V5" i="1"/>
  <c r="L87" i="1"/>
  <c r="L82" i="1"/>
  <c r="L59" i="1"/>
  <c r="W5" i="1"/>
  <c r="C9" i="1"/>
  <c r="M76" i="1"/>
  <c r="V6" i="1"/>
  <c r="M87" i="1"/>
  <c r="M82" i="1"/>
  <c r="M59" i="1"/>
  <c r="W6" i="1"/>
  <c r="C10" i="1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H375" i="10"/>
  <c r="O76" i="1"/>
  <c r="V7" i="1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H605" i="10"/>
  <c r="O87" i="1"/>
  <c r="I499" i="10"/>
  <c r="I500" i="10"/>
  <c r="I501" i="10"/>
  <c r="I502" i="10"/>
  <c r="I503" i="10"/>
  <c r="I504" i="10"/>
  <c r="I505" i="10"/>
  <c r="I506" i="10"/>
  <c r="I507" i="10"/>
  <c r="I508" i="10"/>
  <c r="I509" i="10"/>
  <c r="H499" i="10"/>
  <c r="O82" i="1"/>
  <c r="I69" i="10"/>
  <c r="I70" i="10"/>
  <c r="I71" i="10"/>
  <c r="I72" i="10"/>
  <c r="I73" i="10"/>
  <c r="I74" i="10"/>
  <c r="I75" i="10"/>
  <c r="I76" i="10"/>
  <c r="I77" i="10"/>
  <c r="I78" i="10"/>
  <c r="I79" i="10"/>
  <c r="I80" i="10"/>
  <c r="H71" i="10"/>
  <c r="O59" i="1"/>
  <c r="W7" i="1"/>
  <c r="C11" i="1"/>
  <c r="C76" i="1"/>
  <c r="D76" i="1"/>
  <c r="E76" i="1"/>
  <c r="V8" i="1"/>
  <c r="F87" i="1"/>
  <c r="G87" i="1"/>
  <c r="H87" i="1"/>
  <c r="F82" i="1"/>
  <c r="G82" i="1"/>
  <c r="H82" i="1"/>
  <c r="H59" i="1"/>
  <c r="W8" i="1"/>
  <c r="C12" i="1"/>
  <c r="D6" i="1"/>
  <c r="D7" i="1"/>
  <c r="D8" i="1"/>
  <c r="D9" i="1"/>
  <c r="D10" i="1"/>
  <c r="D11" i="1"/>
  <c r="D12" i="1"/>
  <c r="B13" i="1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H585" i="10"/>
  <c r="O86" i="1"/>
  <c r="V13" i="1"/>
  <c r="W13" i="1"/>
  <c r="C27" i="1"/>
  <c r="D27" i="1"/>
  <c r="C22" i="1"/>
  <c r="D22" i="1"/>
  <c r="C23" i="1"/>
  <c r="D23" i="1"/>
  <c r="C24" i="1"/>
  <c r="D24" i="1"/>
  <c r="C25" i="1"/>
  <c r="D25" i="1"/>
  <c r="C26" i="1"/>
  <c r="D26" i="1"/>
  <c r="D28" i="1"/>
  <c r="C28" i="1"/>
  <c r="B29" i="1"/>
  <c r="C86" i="1"/>
  <c r="D86" i="1"/>
  <c r="E86" i="1"/>
  <c r="V14" i="1"/>
  <c r="B26" i="10"/>
  <c r="B47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Q374" i="10"/>
  <c r="H586" i="10"/>
  <c r="H587" i="10"/>
  <c r="H588" i="10"/>
  <c r="H589" i="10"/>
  <c r="H590" i="10"/>
  <c r="H591" i="10"/>
  <c r="H592" i="10"/>
  <c r="H593" i="10"/>
  <c r="H594" i="10"/>
  <c r="H595" i="10"/>
  <c r="H596" i="10"/>
  <c r="Q584" i="10"/>
  <c r="V15" i="1"/>
  <c r="W14" i="1"/>
  <c r="H604" i="10"/>
  <c r="H606" i="10"/>
  <c r="H607" i="10"/>
  <c r="H608" i="10"/>
  <c r="H609" i="10"/>
  <c r="H610" i="10"/>
  <c r="H611" i="10"/>
  <c r="H612" i="10"/>
  <c r="H613" i="10"/>
  <c r="H614" i="10"/>
  <c r="H615" i="10"/>
  <c r="H616" i="10"/>
  <c r="Q603" i="10"/>
  <c r="W15" i="1"/>
  <c r="J31" i="1"/>
  <c r="L20" i="1"/>
  <c r="K20" i="1"/>
  <c r="L27" i="1"/>
  <c r="L24" i="1"/>
  <c r="E62" i="1"/>
  <c r="I62" i="1"/>
  <c r="V9" i="1"/>
  <c r="H500" i="10"/>
  <c r="H501" i="10"/>
  <c r="H502" i="10"/>
  <c r="H503" i="10"/>
  <c r="H504" i="10"/>
  <c r="H505" i="10"/>
  <c r="H506" i="10"/>
  <c r="H507" i="10"/>
  <c r="H508" i="10"/>
  <c r="H509" i="10"/>
  <c r="Q498" i="10"/>
  <c r="H69" i="10"/>
  <c r="H70" i="10"/>
  <c r="H72" i="10"/>
  <c r="H73" i="10"/>
  <c r="H74" i="10"/>
  <c r="H75" i="10"/>
  <c r="H76" i="10"/>
  <c r="H77" i="10"/>
  <c r="H78" i="10"/>
  <c r="H79" i="10"/>
  <c r="H80" i="10"/>
  <c r="Q68" i="10"/>
  <c r="W9" i="1"/>
  <c r="J15" i="1"/>
  <c r="X17" i="1"/>
  <c r="X16" i="1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330" i="9"/>
  <c r="N2331" i="9"/>
  <c r="N2332" i="9"/>
  <c r="N2333" i="9"/>
  <c r="N2334" i="9"/>
  <c r="N2335" i="9"/>
  <c r="N2336" i="9"/>
  <c r="N2337" i="9"/>
  <c r="N2338" i="9"/>
  <c r="N2339" i="9"/>
  <c r="N2340" i="9"/>
  <c r="N2341" i="9"/>
  <c r="N2342" i="9"/>
  <c r="N2343" i="9"/>
  <c r="N2344" i="9"/>
  <c r="N2345" i="9"/>
  <c r="N2346" i="9"/>
  <c r="N2347" i="9"/>
  <c r="N2348" i="9"/>
  <c r="N2349" i="9"/>
  <c r="N2350" i="9"/>
  <c r="N2351" i="9"/>
  <c r="N2352" i="9"/>
  <c r="N2353" i="9"/>
  <c r="N2354" i="9"/>
  <c r="N2355" i="9"/>
  <c r="N2356" i="9"/>
  <c r="N2357" i="9"/>
  <c r="N2358" i="9"/>
  <c r="N2359" i="9"/>
  <c r="N2360" i="9"/>
  <c r="N2361" i="9"/>
  <c r="N2362" i="9"/>
  <c r="N2363" i="9"/>
  <c r="N2364" i="9"/>
  <c r="N2365" i="9"/>
  <c r="N2366" i="9"/>
  <c r="N2367" i="9"/>
  <c r="N2368" i="9"/>
  <c r="N2369" i="9"/>
  <c r="N2370" i="9"/>
  <c r="N2371" i="9"/>
  <c r="N2372" i="9"/>
  <c r="N2373" i="9"/>
  <c r="N2374" i="9"/>
  <c r="N2375" i="9"/>
  <c r="N2376" i="9"/>
  <c r="N2377" i="9"/>
  <c r="N2378" i="9"/>
  <c r="N2379" i="9"/>
  <c r="N2380" i="9"/>
  <c r="N2381" i="9"/>
  <c r="N2382" i="9"/>
  <c r="N2383" i="9"/>
  <c r="N2384" i="9"/>
  <c r="N2385" i="9"/>
  <c r="N2386" i="9"/>
  <c r="N2387" i="9"/>
  <c r="N2388" i="9"/>
  <c r="N2389" i="9"/>
  <c r="N2390" i="9"/>
  <c r="N2391" i="9"/>
  <c r="N2392" i="9"/>
  <c r="N2393" i="9"/>
  <c r="N2394" i="9"/>
  <c r="N2395" i="9"/>
  <c r="N2396" i="9"/>
  <c r="N2397" i="9"/>
  <c r="N2398" i="9"/>
  <c r="N2399" i="9"/>
  <c r="N2400" i="9"/>
  <c r="N2401" i="9"/>
  <c r="N2402" i="9"/>
  <c r="N2403" i="9"/>
  <c r="N2404" i="9"/>
  <c r="N2405" i="9"/>
  <c r="N2406" i="9"/>
  <c r="N2407" i="9"/>
  <c r="N2408" i="9"/>
  <c r="N2409" i="9"/>
  <c r="N2410" i="9"/>
  <c r="N2411" i="9"/>
  <c r="V17" i="1"/>
  <c r="M1417" i="9"/>
  <c r="M1418" i="9"/>
  <c r="M1419" i="9"/>
  <c r="M1420" i="9"/>
  <c r="M1421" i="9"/>
  <c r="M1422" i="9"/>
  <c r="M1423" i="9"/>
  <c r="M1424" i="9"/>
  <c r="M1425" i="9"/>
  <c r="M1426" i="9"/>
  <c r="M1427" i="9"/>
  <c r="M1428" i="9"/>
  <c r="M1429" i="9"/>
  <c r="M1430" i="9"/>
  <c r="M1431" i="9"/>
  <c r="M1432" i="9"/>
  <c r="M1433" i="9"/>
  <c r="M1434" i="9"/>
  <c r="M1435" i="9"/>
  <c r="M1436" i="9"/>
  <c r="M1437" i="9"/>
  <c r="M1438" i="9"/>
  <c r="M1439" i="9"/>
  <c r="M1440" i="9"/>
  <c r="M1441" i="9"/>
  <c r="M1442" i="9"/>
  <c r="M1443" i="9"/>
  <c r="M1444" i="9"/>
  <c r="M1445" i="9"/>
  <c r="M1446" i="9"/>
  <c r="M1447" i="9"/>
  <c r="M1448" i="9"/>
  <c r="M1449" i="9"/>
  <c r="M1450" i="9"/>
  <c r="M1451" i="9"/>
  <c r="M1452" i="9"/>
  <c r="M1453" i="9"/>
  <c r="M1454" i="9"/>
  <c r="M1455" i="9"/>
  <c r="M1456" i="9"/>
  <c r="M1457" i="9"/>
  <c r="M1458" i="9"/>
  <c r="M1459" i="9"/>
  <c r="M1460" i="9"/>
  <c r="M1461" i="9"/>
  <c r="M1462" i="9"/>
  <c r="M1463" i="9"/>
  <c r="M1464" i="9"/>
  <c r="M1465" i="9"/>
  <c r="M1466" i="9"/>
  <c r="M1467" i="9"/>
  <c r="M1468" i="9"/>
  <c r="M1469" i="9"/>
  <c r="M1470" i="9"/>
  <c r="M1471" i="9"/>
  <c r="M1472" i="9"/>
  <c r="M1473" i="9"/>
  <c r="M1474" i="9"/>
  <c r="M1475" i="9"/>
  <c r="M1476" i="9"/>
  <c r="M1477" i="9"/>
  <c r="M1478" i="9"/>
  <c r="M1479" i="9"/>
  <c r="M1480" i="9"/>
  <c r="M1481" i="9"/>
  <c r="M1482" i="9"/>
  <c r="M1483" i="9"/>
  <c r="M1484" i="9"/>
  <c r="M1485" i="9"/>
  <c r="M1486" i="9"/>
  <c r="M1487" i="9"/>
  <c r="M1488" i="9"/>
  <c r="M1489" i="9"/>
  <c r="M1490" i="9"/>
  <c r="M1491" i="9"/>
  <c r="M1492" i="9"/>
  <c r="M1493" i="9"/>
  <c r="M1494" i="9"/>
  <c r="M1495" i="9"/>
  <c r="M1496" i="9"/>
  <c r="M1497" i="9"/>
  <c r="M1498" i="9"/>
  <c r="M2247" i="9"/>
  <c r="M2248" i="9"/>
  <c r="M2249" i="9"/>
  <c r="M2250" i="9"/>
  <c r="M2251" i="9"/>
  <c r="M2252" i="9"/>
  <c r="M2253" i="9"/>
  <c r="M2254" i="9"/>
  <c r="M2255" i="9"/>
  <c r="M2256" i="9"/>
  <c r="M2257" i="9"/>
  <c r="M2258" i="9"/>
  <c r="M2259" i="9"/>
  <c r="M2260" i="9"/>
  <c r="M2261" i="9"/>
  <c r="M2262" i="9"/>
  <c r="M2263" i="9"/>
  <c r="M2264" i="9"/>
  <c r="M2265" i="9"/>
  <c r="M2266" i="9"/>
  <c r="M2267" i="9"/>
  <c r="M2268" i="9"/>
  <c r="M2269" i="9"/>
  <c r="M2270" i="9"/>
  <c r="M2271" i="9"/>
  <c r="M2272" i="9"/>
  <c r="M2273" i="9"/>
  <c r="M2274" i="9"/>
  <c r="M2275" i="9"/>
  <c r="M2276" i="9"/>
  <c r="M2277" i="9"/>
  <c r="M2278" i="9"/>
  <c r="M2279" i="9"/>
  <c r="M2280" i="9"/>
  <c r="M2281" i="9"/>
  <c r="M2282" i="9"/>
  <c r="M2283" i="9"/>
  <c r="M2284" i="9"/>
  <c r="M2285" i="9"/>
  <c r="M2286" i="9"/>
  <c r="M2287" i="9"/>
  <c r="M2288" i="9"/>
  <c r="M2289" i="9"/>
  <c r="M2290" i="9"/>
  <c r="M2291" i="9"/>
  <c r="M2292" i="9"/>
  <c r="M2293" i="9"/>
  <c r="M2294" i="9"/>
  <c r="M2295" i="9"/>
  <c r="M2296" i="9"/>
  <c r="M2297" i="9"/>
  <c r="M2298" i="9"/>
  <c r="M2299" i="9"/>
  <c r="M2300" i="9"/>
  <c r="M2301" i="9"/>
  <c r="M2302" i="9"/>
  <c r="M2303" i="9"/>
  <c r="M2304" i="9"/>
  <c r="M2305" i="9"/>
  <c r="M2306" i="9"/>
  <c r="M2307" i="9"/>
  <c r="M2308" i="9"/>
  <c r="M2309" i="9"/>
  <c r="M2310" i="9"/>
  <c r="M2311" i="9"/>
  <c r="M2312" i="9"/>
  <c r="M2313" i="9"/>
  <c r="M2314" i="9"/>
  <c r="M2315" i="9"/>
  <c r="M2316" i="9"/>
  <c r="M2317" i="9"/>
  <c r="M2318" i="9"/>
  <c r="M2319" i="9"/>
  <c r="M2320" i="9"/>
  <c r="M2321" i="9"/>
  <c r="M2322" i="9"/>
  <c r="M2323" i="9"/>
  <c r="M2324" i="9"/>
  <c r="M2325" i="9"/>
  <c r="M2326" i="9"/>
  <c r="M2327" i="9"/>
  <c r="M2328" i="9"/>
  <c r="V16" i="1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H129" i="10"/>
  <c r="O62" i="1"/>
  <c r="X15" i="1"/>
  <c r="X14" i="1"/>
  <c r="X13" i="1"/>
  <c r="I294" i="10"/>
  <c r="I295" i="10"/>
  <c r="I296" i="10"/>
  <c r="I297" i="10"/>
  <c r="I298" i="10"/>
  <c r="I299" i="10"/>
  <c r="I300" i="10"/>
  <c r="I301" i="10"/>
  <c r="I302" i="10"/>
  <c r="G294" i="10"/>
  <c r="G295" i="10"/>
  <c r="G296" i="10"/>
  <c r="G297" i="10"/>
  <c r="G298" i="10"/>
  <c r="G299" i="10"/>
  <c r="G300" i="10"/>
  <c r="G301" i="10"/>
  <c r="G302" i="10"/>
  <c r="H294" i="10"/>
  <c r="H295" i="10"/>
  <c r="H296" i="10"/>
  <c r="H297" i="10"/>
  <c r="H298" i="10"/>
  <c r="H299" i="10"/>
  <c r="H300" i="10"/>
  <c r="H301" i="10"/>
  <c r="H302" i="10"/>
  <c r="I293" i="10"/>
  <c r="H293" i="10"/>
  <c r="G293" i="10"/>
  <c r="G586" i="10"/>
  <c r="G587" i="10"/>
  <c r="G588" i="10"/>
  <c r="G589" i="10"/>
  <c r="G590" i="10"/>
  <c r="G591" i="10"/>
  <c r="G592" i="10"/>
  <c r="G593" i="10"/>
  <c r="G594" i="10"/>
  <c r="G595" i="10"/>
  <c r="G596" i="10"/>
  <c r="G585" i="10"/>
  <c r="I543" i="10"/>
  <c r="I544" i="10"/>
  <c r="I545" i="10"/>
  <c r="I546" i="10"/>
  <c r="I547" i="10"/>
  <c r="I548" i="10"/>
  <c r="I549" i="10"/>
  <c r="I550" i="10"/>
  <c r="I551" i="10"/>
  <c r="I552" i="10"/>
  <c r="I553" i="10"/>
  <c r="G543" i="10"/>
  <c r="G544" i="10"/>
  <c r="G545" i="10"/>
  <c r="G546" i="10"/>
  <c r="G547" i="10"/>
  <c r="G548" i="10"/>
  <c r="G549" i="10"/>
  <c r="G550" i="10"/>
  <c r="G551" i="10"/>
  <c r="G552" i="10"/>
  <c r="G553" i="10"/>
  <c r="H543" i="10"/>
  <c r="H544" i="10"/>
  <c r="H545" i="10"/>
  <c r="H546" i="10"/>
  <c r="H547" i="10"/>
  <c r="H548" i="10"/>
  <c r="H549" i="10"/>
  <c r="H550" i="10"/>
  <c r="H551" i="10"/>
  <c r="H552" i="10"/>
  <c r="H553" i="10"/>
  <c r="I542" i="10"/>
  <c r="H542" i="10"/>
  <c r="G542" i="10"/>
  <c r="I271" i="10"/>
  <c r="I272" i="10"/>
  <c r="I273" i="10"/>
  <c r="I274" i="10"/>
  <c r="I275" i="10"/>
  <c r="I276" i="10"/>
  <c r="I277" i="10"/>
  <c r="I278" i="10"/>
  <c r="I279" i="10"/>
  <c r="I280" i="10"/>
  <c r="G271" i="10"/>
  <c r="G272" i="10"/>
  <c r="G273" i="10"/>
  <c r="G274" i="10"/>
  <c r="G275" i="10"/>
  <c r="G276" i="10"/>
  <c r="G277" i="10"/>
  <c r="G278" i="10"/>
  <c r="G279" i="10"/>
  <c r="G280" i="10"/>
  <c r="H271" i="10"/>
  <c r="H272" i="10"/>
  <c r="H273" i="10"/>
  <c r="H274" i="10"/>
  <c r="H275" i="10"/>
  <c r="H276" i="10"/>
  <c r="H277" i="10"/>
  <c r="H278" i="10"/>
  <c r="H279" i="10"/>
  <c r="H280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54" i="10"/>
  <c r="H355" i="10"/>
  <c r="H356" i="10"/>
  <c r="H357" i="10"/>
  <c r="H358" i="10"/>
  <c r="H359" i="10"/>
  <c r="H360" i="10"/>
  <c r="H361" i="10"/>
  <c r="H362" i="10"/>
  <c r="H363" i="10"/>
  <c r="H394" i="10"/>
  <c r="H395" i="10"/>
  <c r="H396" i="10"/>
  <c r="H397" i="10"/>
  <c r="H398" i="10"/>
  <c r="H399" i="10"/>
  <c r="H400" i="10"/>
  <c r="H401" i="10"/>
  <c r="H402" i="10"/>
  <c r="H403" i="10"/>
  <c r="I270" i="10"/>
  <c r="H270" i="10"/>
  <c r="G270" i="10"/>
  <c r="I251" i="10"/>
  <c r="I252" i="10"/>
  <c r="I253" i="10"/>
  <c r="I254" i="10"/>
  <c r="I255" i="10"/>
  <c r="I256" i="10"/>
  <c r="I257" i="10"/>
  <c r="G251" i="10"/>
  <c r="G252" i="10"/>
  <c r="G253" i="10"/>
  <c r="G254" i="10"/>
  <c r="G255" i="10"/>
  <c r="G256" i="10"/>
  <c r="G257" i="10"/>
  <c r="H251" i="10"/>
  <c r="H252" i="10"/>
  <c r="H253" i="10"/>
  <c r="H254" i="10"/>
  <c r="H255" i="10"/>
  <c r="H256" i="10"/>
  <c r="H257" i="10"/>
  <c r="I250" i="10"/>
  <c r="H250" i="10"/>
  <c r="G250" i="10"/>
  <c r="I521" i="10"/>
  <c r="I522" i="10"/>
  <c r="I523" i="10"/>
  <c r="I524" i="10"/>
  <c r="I525" i="10"/>
  <c r="I526" i="10"/>
  <c r="I527" i="10"/>
  <c r="I528" i="10"/>
  <c r="I529" i="10"/>
  <c r="G521" i="10"/>
  <c r="G522" i="10"/>
  <c r="G523" i="10"/>
  <c r="G524" i="10"/>
  <c r="G525" i="10"/>
  <c r="G526" i="10"/>
  <c r="G527" i="10"/>
  <c r="G528" i="10"/>
  <c r="G529" i="10"/>
  <c r="H521" i="10"/>
  <c r="H522" i="10"/>
  <c r="H523" i="10"/>
  <c r="H524" i="10"/>
  <c r="H525" i="10"/>
  <c r="H526" i="10"/>
  <c r="H527" i="10"/>
  <c r="H528" i="10"/>
  <c r="H529" i="10"/>
  <c r="I520" i="10"/>
  <c r="H520" i="10"/>
  <c r="G520" i="10"/>
  <c r="G500" i="10"/>
  <c r="G501" i="10"/>
  <c r="G502" i="10"/>
  <c r="G503" i="10"/>
  <c r="G504" i="10"/>
  <c r="G505" i="10"/>
  <c r="G506" i="10"/>
  <c r="G507" i="10"/>
  <c r="G508" i="10"/>
  <c r="G509" i="10"/>
  <c r="G499" i="10"/>
  <c r="I482" i="10"/>
  <c r="I483" i="10"/>
  <c r="I484" i="10"/>
  <c r="I485" i="10"/>
  <c r="I486" i="10"/>
  <c r="I487" i="10"/>
  <c r="I488" i="10"/>
  <c r="I489" i="10"/>
  <c r="I490" i="10"/>
  <c r="G482" i="10"/>
  <c r="G483" i="10"/>
  <c r="G484" i="10"/>
  <c r="G485" i="10"/>
  <c r="G486" i="10"/>
  <c r="G487" i="10"/>
  <c r="G488" i="10"/>
  <c r="G489" i="10"/>
  <c r="G490" i="10"/>
  <c r="H482" i="10"/>
  <c r="H483" i="10"/>
  <c r="H484" i="10"/>
  <c r="H485" i="10"/>
  <c r="H486" i="10"/>
  <c r="H487" i="10"/>
  <c r="H488" i="10"/>
  <c r="H489" i="10"/>
  <c r="H490" i="10"/>
  <c r="I481" i="10"/>
  <c r="H481" i="10"/>
  <c r="G481" i="10"/>
  <c r="I212" i="10"/>
  <c r="I213" i="10"/>
  <c r="I214" i="10"/>
  <c r="I215" i="10"/>
  <c r="I216" i="10"/>
  <c r="I217" i="10"/>
  <c r="I218" i="10"/>
  <c r="I219" i="10"/>
  <c r="I220" i="10"/>
  <c r="I221" i="10"/>
  <c r="G212" i="10"/>
  <c r="G213" i="10"/>
  <c r="G214" i="10"/>
  <c r="G215" i="10"/>
  <c r="G216" i="10"/>
  <c r="G217" i="10"/>
  <c r="G218" i="10"/>
  <c r="G219" i="10"/>
  <c r="G220" i="10"/>
  <c r="G221" i="10"/>
  <c r="H221" i="10"/>
  <c r="H212" i="10"/>
  <c r="H213" i="10"/>
  <c r="H214" i="10"/>
  <c r="H215" i="10"/>
  <c r="H216" i="10"/>
  <c r="H217" i="10"/>
  <c r="H218" i="10"/>
  <c r="H219" i="10"/>
  <c r="H220" i="10"/>
  <c r="I211" i="10"/>
  <c r="H211" i="10"/>
  <c r="G211" i="10"/>
  <c r="I189" i="10"/>
  <c r="I190" i="10"/>
  <c r="I191" i="10"/>
  <c r="I192" i="10"/>
  <c r="I193" i="10"/>
  <c r="I194" i="10"/>
  <c r="I195" i="10"/>
  <c r="I196" i="10"/>
  <c r="G189" i="10"/>
  <c r="G190" i="10"/>
  <c r="G191" i="10"/>
  <c r="G192" i="10"/>
  <c r="G193" i="10"/>
  <c r="G194" i="10"/>
  <c r="G195" i="10"/>
  <c r="G196" i="10"/>
  <c r="H189" i="10"/>
  <c r="H190" i="10"/>
  <c r="H191" i="10"/>
  <c r="H192" i="10"/>
  <c r="H193" i="10"/>
  <c r="H194" i="10"/>
  <c r="H195" i="10"/>
  <c r="H196" i="10"/>
  <c r="I188" i="10"/>
  <c r="H188" i="10"/>
  <c r="G188" i="10"/>
  <c r="I453" i="10"/>
  <c r="I454" i="10"/>
  <c r="I455" i="10"/>
  <c r="I456" i="10"/>
  <c r="I457" i="10"/>
  <c r="I458" i="10"/>
  <c r="I459" i="10"/>
  <c r="I460" i="10"/>
  <c r="G453" i="10"/>
  <c r="G454" i="10"/>
  <c r="G455" i="10"/>
  <c r="G456" i="10"/>
  <c r="G457" i="10"/>
  <c r="G458" i="10"/>
  <c r="G459" i="10"/>
  <c r="G460" i="10"/>
  <c r="H453" i="10"/>
  <c r="H454" i="10"/>
  <c r="H455" i="10"/>
  <c r="H456" i="10"/>
  <c r="H457" i="10"/>
  <c r="H458" i="10"/>
  <c r="H459" i="10"/>
  <c r="H460" i="10"/>
  <c r="I452" i="10"/>
  <c r="H452" i="10"/>
  <c r="G452" i="10"/>
  <c r="I435" i="10"/>
  <c r="I436" i="10"/>
  <c r="I437" i="10"/>
  <c r="I438" i="10"/>
  <c r="I439" i="10"/>
  <c r="I440" i="10"/>
  <c r="I441" i="10"/>
  <c r="I442" i="10"/>
  <c r="I443" i="10"/>
  <c r="I444" i="10"/>
  <c r="I445" i="10"/>
  <c r="G435" i="10"/>
  <c r="G436" i="10"/>
  <c r="G437" i="10"/>
  <c r="G438" i="10"/>
  <c r="G439" i="10"/>
  <c r="G440" i="10"/>
  <c r="G441" i="10"/>
  <c r="G442" i="10"/>
  <c r="G443" i="10"/>
  <c r="G444" i="10"/>
  <c r="G445" i="10"/>
  <c r="H435" i="10"/>
  <c r="H436" i="10"/>
  <c r="H437" i="10"/>
  <c r="H438" i="10"/>
  <c r="H439" i="10"/>
  <c r="H440" i="10"/>
  <c r="H441" i="10"/>
  <c r="H442" i="10"/>
  <c r="H443" i="10"/>
  <c r="H444" i="10"/>
  <c r="H445" i="10"/>
  <c r="I434" i="10"/>
  <c r="H434" i="10"/>
  <c r="G434" i="10"/>
  <c r="I169" i="10"/>
  <c r="I170" i="10"/>
  <c r="I171" i="10"/>
  <c r="I172" i="10"/>
  <c r="I173" i="10"/>
  <c r="I174" i="10"/>
  <c r="I175" i="10"/>
  <c r="I176" i="10"/>
  <c r="I177" i="10"/>
  <c r="I178" i="10"/>
  <c r="G169" i="10"/>
  <c r="G170" i="10"/>
  <c r="G171" i="10"/>
  <c r="G172" i="10"/>
  <c r="G173" i="10"/>
  <c r="G174" i="10"/>
  <c r="G175" i="10"/>
  <c r="G176" i="10"/>
  <c r="G177" i="10"/>
  <c r="G178" i="10"/>
  <c r="H169" i="10"/>
  <c r="H170" i="10"/>
  <c r="H171" i="10"/>
  <c r="H172" i="10"/>
  <c r="H173" i="10"/>
  <c r="H174" i="10"/>
  <c r="H175" i="10"/>
  <c r="H176" i="10"/>
  <c r="H177" i="10"/>
  <c r="H178" i="10"/>
  <c r="I168" i="10"/>
  <c r="H168" i="10"/>
  <c r="G168" i="10"/>
  <c r="I395" i="10"/>
  <c r="I396" i="10"/>
  <c r="I397" i="10"/>
  <c r="I398" i="10"/>
  <c r="I399" i="10"/>
  <c r="I400" i="10"/>
  <c r="I401" i="10"/>
  <c r="I402" i="10"/>
  <c r="I403" i="10"/>
  <c r="G395" i="10"/>
  <c r="G396" i="10"/>
  <c r="G397" i="10"/>
  <c r="G398" i="10"/>
  <c r="G399" i="10"/>
  <c r="G400" i="10"/>
  <c r="G401" i="10"/>
  <c r="G402" i="10"/>
  <c r="G403" i="10"/>
  <c r="I394" i="10"/>
  <c r="G394" i="10"/>
  <c r="I150" i="10"/>
  <c r="I151" i="10"/>
  <c r="I152" i="10"/>
  <c r="I153" i="10"/>
  <c r="I154" i="10"/>
  <c r="I155" i="10"/>
  <c r="I156" i="10"/>
  <c r="I157" i="10"/>
  <c r="I158" i="10"/>
  <c r="I159" i="10"/>
  <c r="I160" i="10"/>
  <c r="G150" i="10"/>
  <c r="G151" i="10"/>
  <c r="G152" i="10"/>
  <c r="G153" i="10"/>
  <c r="G154" i="10"/>
  <c r="G155" i="10"/>
  <c r="G156" i="10"/>
  <c r="G157" i="10"/>
  <c r="G158" i="10"/>
  <c r="G159" i="10"/>
  <c r="G160" i="10"/>
  <c r="H150" i="10"/>
  <c r="H151" i="10"/>
  <c r="H152" i="10"/>
  <c r="H153" i="10"/>
  <c r="H154" i="10"/>
  <c r="H155" i="10"/>
  <c r="H156" i="10"/>
  <c r="H157" i="10"/>
  <c r="H158" i="10"/>
  <c r="H159" i="10"/>
  <c r="H160" i="10"/>
  <c r="I149" i="10"/>
  <c r="H149" i="10"/>
  <c r="G149" i="10"/>
  <c r="I355" i="10"/>
  <c r="I356" i="10"/>
  <c r="I357" i="10"/>
  <c r="I358" i="10"/>
  <c r="I359" i="10"/>
  <c r="I360" i="10"/>
  <c r="I361" i="10"/>
  <c r="I362" i="10"/>
  <c r="I363" i="10"/>
  <c r="G363" i="10"/>
  <c r="G355" i="10"/>
  <c r="G356" i="10"/>
  <c r="G357" i="10"/>
  <c r="G358" i="10"/>
  <c r="G359" i="10"/>
  <c r="G360" i="10"/>
  <c r="G361" i="10"/>
  <c r="G362" i="10"/>
  <c r="I354" i="10"/>
  <c r="G354" i="10"/>
  <c r="I335" i="10"/>
  <c r="I336" i="10"/>
  <c r="I337" i="10"/>
  <c r="I338" i="10"/>
  <c r="I339" i="10"/>
  <c r="I340" i="10"/>
  <c r="I341" i="10"/>
  <c r="I342" i="10"/>
  <c r="I343" i="10"/>
  <c r="I344" i="10"/>
  <c r="I345" i="10"/>
  <c r="G335" i="10"/>
  <c r="G336" i="10"/>
  <c r="G337" i="10"/>
  <c r="G338" i="10"/>
  <c r="G339" i="10"/>
  <c r="G340" i="10"/>
  <c r="G341" i="10"/>
  <c r="G342" i="10"/>
  <c r="G343" i="10"/>
  <c r="G344" i="10"/>
  <c r="G345" i="10"/>
  <c r="I334" i="10"/>
  <c r="G334" i="10"/>
  <c r="I110" i="10"/>
  <c r="I111" i="10"/>
  <c r="I112" i="10"/>
  <c r="I113" i="10"/>
  <c r="I114" i="10"/>
  <c r="I115" i="10"/>
  <c r="I116" i="10"/>
  <c r="I117" i="10"/>
  <c r="I118" i="10"/>
  <c r="G110" i="10"/>
  <c r="G111" i="10"/>
  <c r="G112" i="10"/>
  <c r="G113" i="10"/>
  <c r="G114" i="10"/>
  <c r="G115" i="10"/>
  <c r="G116" i="10"/>
  <c r="G117" i="10"/>
  <c r="G118" i="10"/>
  <c r="H110" i="10"/>
  <c r="H111" i="10"/>
  <c r="H112" i="10"/>
  <c r="H113" i="10"/>
  <c r="H114" i="10"/>
  <c r="H115" i="10"/>
  <c r="H116" i="10"/>
  <c r="H117" i="10"/>
  <c r="H118" i="10"/>
  <c r="I109" i="10"/>
  <c r="H109" i="10"/>
  <c r="G109" i="10"/>
  <c r="G70" i="10"/>
  <c r="G71" i="10"/>
  <c r="G72" i="10"/>
  <c r="G73" i="10"/>
  <c r="G74" i="10"/>
  <c r="G75" i="10"/>
  <c r="G76" i="10"/>
  <c r="G77" i="10"/>
  <c r="G78" i="10"/>
  <c r="G79" i="10"/>
  <c r="G80" i="10"/>
  <c r="G69" i="10"/>
  <c r="I49" i="10"/>
  <c r="I50" i="10"/>
  <c r="I51" i="10"/>
  <c r="I52" i="10"/>
  <c r="I53" i="10"/>
  <c r="I54" i="10"/>
  <c r="I55" i="10"/>
  <c r="I56" i="10"/>
  <c r="I57" i="10"/>
  <c r="I48" i="10"/>
  <c r="H49" i="10"/>
  <c r="H50" i="10"/>
  <c r="H51" i="10"/>
  <c r="H52" i="10"/>
  <c r="H53" i="10"/>
  <c r="H54" i="10"/>
  <c r="H55" i="10"/>
  <c r="H56" i="10"/>
  <c r="H57" i="10"/>
  <c r="H48" i="10"/>
  <c r="G49" i="10"/>
  <c r="G50" i="10"/>
  <c r="G51" i="10"/>
  <c r="G52" i="10"/>
  <c r="G53" i="10"/>
  <c r="G54" i="10"/>
  <c r="G55" i="10"/>
  <c r="G56" i="10"/>
  <c r="G57" i="10"/>
  <c r="G48" i="10"/>
  <c r="I567" i="10"/>
  <c r="I570" i="10"/>
  <c r="I573" i="10"/>
  <c r="I574" i="10"/>
  <c r="I625" i="10"/>
  <c r="I626" i="10"/>
  <c r="I627" i="10"/>
  <c r="I628" i="10"/>
  <c r="I629" i="10"/>
  <c r="I630" i="10"/>
  <c r="I631" i="10"/>
  <c r="I632" i="10"/>
  <c r="I633" i="10"/>
  <c r="I624" i="10"/>
  <c r="H625" i="10"/>
  <c r="H626" i="10"/>
  <c r="H627" i="10"/>
  <c r="H628" i="10"/>
  <c r="H629" i="10"/>
  <c r="H630" i="10"/>
  <c r="H631" i="10"/>
  <c r="H632" i="10"/>
  <c r="H633" i="10"/>
  <c r="H624" i="10"/>
  <c r="G625" i="10"/>
  <c r="G626" i="10"/>
  <c r="G627" i="10"/>
  <c r="G628" i="10"/>
  <c r="G629" i="10"/>
  <c r="G630" i="10"/>
  <c r="G631" i="10"/>
  <c r="G632" i="10"/>
  <c r="G633" i="10"/>
  <c r="G62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04" i="10"/>
  <c r="H567" i="10"/>
  <c r="H568" i="10"/>
  <c r="H569" i="10"/>
  <c r="H570" i="10"/>
  <c r="H571" i="10"/>
  <c r="H572" i="10"/>
  <c r="H573" i="10"/>
  <c r="H574" i="10"/>
  <c r="H575" i="10"/>
  <c r="H566" i="10"/>
  <c r="I568" i="10"/>
  <c r="I569" i="10"/>
  <c r="I571" i="10"/>
  <c r="I572" i="10"/>
  <c r="I575" i="10"/>
  <c r="I566" i="10"/>
  <c r="G567" i="10"/>
  <c r="G568" i="10"/>
  <c r="G569" i="10"/>
  <c r="G570" i="10"/>
  <c r="G571" i="10"/>
  <c r="G572" i="10"/>
  <c r="G573" i="10"/>
  <c r="G574" i="10"/>
  <c r="G575" i="10"/>
  <c r="G566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29" i="10"/>
  <c r="G387" i="10"/>
  <c r="G376" i="10"/>
  <c r="G377" i="10"/>
  <c r="G378" i="10"/>
  <c r="G379" i="10"/>
  <c r="G380" i="10"/>
  <c r="G381" i="10"/>
  <c r="G382" i="10"/>
  <c r="G383" i="10"/>
  <c r="G384" i="10"/>
  <c r="G385" i="10"/>
  <c r="G386" i="10"/>
  <c r="G375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29" i="10"/>
  <c r="J57" i="1"/>
  <c r="K57" i="1"/>
  <c r="L57" i="1"/>
  <c r="M57" i="1"/>
  <c r="M60" i="1"/>
  <c r="M58" i="1"/>
  <c r="M61" i="1"/>
  <c r="M62" i="1"/>
  <c r="M63" i="1"/>
  <c r="M64" i="1"/>
  <c r="M65" i="1"/>
  <c r="M66" i="1"/>
  <c r="M67" i="1"/>
  <c r="M68" i="1"/>
  <c r="M69" i="1"/>
  <c r="M70" i="1"/>
  <c r="M71" i="1"/>
  <c r="M72" i="1"/>
  <c r="J58" i="1"/>
  <c r="K58" i="1"/>
  <c r="L58" i="1"/>
  <c r="J60" i="1"/>
  <c r="K60" i="1"/>
  <c r="L60" i="1"/>
  <c r="J61" i="1"/>
  <c r="K61" i="1"/>
  <c r="L61" i="1"/>
  <c r="J62" i="1"/>
  <c r="K62" i="1"/>
  <c r="L62" i="1"/>
  <c r="J63" i="1"/>
  <c r="K63" i="1"/>
  <c r="L63" i="1"/>
  <c r="J64" i="1"/>
  <c r="K64" i="1"/>
  <c r="L64" i="1"/>
  <c r="J65" i="1"/>
  <c r="K65" i="1"/>
  <c r="L65" i="1"/>
  <c r="J66" i="1"/>
  <c r="K66" i="1"/>
  <c r="L66" i="1"/>
  <c r="J67" i="1"/>
  <c r="K67" i="1"/>
  <c r="L67" i="1"/>
  <c r="J68" i="1"/>
  <c r="K68" i="1"/>
  <c r="L68" i="1"/>
  <c r="J69" i="1"/>
  <c r="K69" i="1"/>
  <c r="L69" i="1"/>
  <c r="J70" i="1"/>
  <c r="K70" i="1"/>
  <c r="L70" i="1"/>
  <c r="J71" i="1"/>
  <c r="K71" i="1"/>
  <c r="L71" i="1"/>
  <c r="N57" i="1"/>
  <c r="N58" i="1"/>
  <c r="N59" i="1"/>
  <c r="N60" i="1"/>
  <c r="N61" i="1"/>
  <c r="N63" i="1"/>
  <c r="N64" i="1"/>
  <c r="N65" i="1"/>
  <c r="N66" i="1"/>
  <c r="N67" i="1"/>
  <c r="N68" i="1"/>
  <c r="N69" i="1"/>
  <c r="N70" i="1"/>
  <c r="N71" i="1"/>
  <c r="J88" i="1"/>
  <c r="K88" i="1"/>
  <c r="L88" i="1"/>
  <c r="M88" i="1"/>
  <c r="J86" i="1"/>
  <c r="K86" i="1"/>
  <c r="L86" i="1"/>
  <c r="M86" i="1"/>
  <c r="J85" i="1"/>
  <c r="K85" i="1"/>
  <c r="L85" i="1"/>
  <c r="M85" i="1"/>
  <c r="J84" i="1"/>
  <c r="K84" i="1"/>
  <c r="L84" i="1"/>
  <c r="M84" i="1"/>
  <c r="J83" i="1"/>
  <c r="K83" i="1"/>
  <c r="L83" i="1"/>
  <c r="M83" i="1"/>
  <c r="J81" i="1"/>
  <c r="K81" i="1"/>
  <c r="L81" i="1"/>
  <c r="M81" i="1"/>
  <c r="J80" i="1"/>
  <c r="K80" i="1"/>
  <c r="L80" i="1"/>
  <c r="M80" i="1"/>
  <c r="J79" i="1"/>
  <c r="K79" i="1"/>
  <c r="L79" i="1"/>
  <c r="M79" i="1"/>
  <c r="J78" i="1"/>
  <c r="K78" i="1"/>
  <c r="L78" i="1"/>
  <c r="M78" i="1"/>
  <c r="J77" i="1"/>
  <c r="K77" i="1"/>
  <c r="L77" i="1"/>
  <c r="M77" i="1"/>
  <c r="J75" i="1"/>
  <c r="K75" i="1"/>
  <c r="L75" i="1"/>
  <c r="M75" i="1"/>
  <c r="J74" i="1"/>
  <c r="K74" i="1"/>
  <c r="L74" i="1"/>
  <c r="M74" i="1"/>
  <c r="I88" i="1"/>
  <c r="I86" i="1"/>
  <c r="I85" i="1"/>
  <c r="I84" i="1"/>
  <c r="I83" i="1"/>
  <c r="I81" i="1"/>
  <c r="I80" i="1"/>
  <c r="I79" i="1"/>
  <c r="I78" i="1"/>
  <c r="I77" i="1"/>
  <c r="I75" i="1"/>
  <c r="I74" i="1"/>
  <c r="J72" i="1"/>
  <c r="K72" i="1"/>
  <c r="L72" i="1"/>
  <c r="I71" i="1"/>
  <c r="I70" i="1"/>
  <c r="I69" i="1"/>
  <c r="I68" i="1"/>
  <c r="I67" i="1"/>
  <c r="I66" i="1"/>
  <c r="I65" i="1"/>
  <c r="I64" i="1"/>
  <c r="I63" i="1"/>
  <c r="I61" i="1"/>
  <c r="I60" i="1"/>
  <c r="I58" i="1"/>
  <c r="I57" i="1"/>
  <c r="I72" i="1"/>
  <c r="N62" i="1"/>
  <c r="N836" i="9"/>
  <c r="N837" i="9"/>
  <c r="M421" i="9"/>
  <c r="M422" i="9"/>
  <c r="X11" i="1"/>
  <c r="L15" i="1"/>
  <c r="H62" i="1"/>
  <c r="C1" i="9"/>
  <c r="C36" i="1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212" i="9"/>
  <c r="Q213" i="9"/>
  <c r="Q214" i="9"/>
  <c r="Q215" i="9"/>
  <c r="Q216" i="9"/>
  <c r="Q217" i="9"/>
  <c r="Q218" i="9"/>
  <c r="Q219" i="9"/>
  <c r="Q220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Q235" i="9"/>
  <c r="Q236" i="9"/>
  <c r="Q237" i="9"/>
  <c r="Q238" i="9"/>
  <c r="Q239" i="9"/>
  <c r="Q240" i="9"/>
  <c r="Q241" i="9"/>
  <c r="Q242" i="9"/>
  <c r="Q243" i="9"/>
  <c r="Q244" i="9"/>
  <c r="Q245" i="9"/>
  <c r="Q246" i="9"/>
  <c r="Q247" i="9"/>
  <c r="Q248" i="9"/>
  <c r="Q249" i="9"/>
  <c r="Q250" i="9"/>
  <c r="Q251" i="9"/>
  <c r="Q252" i="9"/>
  <c r="Q253" i="9"/>
  <c r="Q254" i="9"/>
  <c r="Q255" i="9"/>
  <c r="Q256" i="9"/>
  <c r="Q257" i="9"/>
  <c r="Q258" i="9"/>
  <c r="Q259" i="9"/>
  <c r="Q260" i="9"/>
  <c r="Q261" i="9"/>
  <c r="Q262" i="9"/>
  <c r="Q263" i="9"/>
  <c r="Q264" i="9"/>
  <c r="Q265" i="9"/>
  <c r="Q266" i="9"/>
  <c r="Q267" i="9"/>
  <c r="Q268" i="9"/>
  <c r="Q269" i="9"/>
  <c r="Q270" i="9"/>
  <c r="Q271" i="9"/>
  <c r="Q272" i="9"/>
  <c r="Q273" i="9"/>
  <c r="Q274" i="9"/>
  <c r="Q275" i="9"/>
  <c r="Q276" i="9"/>
  <c r="Q277" i="9"/>
  <c r="Q278" i="9"/>
  <c r="Q279" i="9"/>
  <c r="Q280" i="9"/>
  <c r="Q281" i="9"/>
  <c r="Q282" i="9"/>
  <c r="Q283" i="9"/>
  <c r="Q284" i="9"/>
  <c r="Q285" i="9"/>
  <c r="Q286" i="9"/>
  <c r="Q287" i="9"/>
  <c r="Q288" i="9"/>
  <c r="Q289" i="9"/>
  <c r="Q290" i="9"/>
  <c r="Q291" i="9"/>
  <c r="Q292" i="9"/>
  <c r="Q293" i="9"/>
  <c r="Q294" i="9"/>
  <c r="Q295" i="9"/>
  <c r="Q296" i="9"/>
  <c r="Q297" i="9"/>
  <c r="Q298" i="9"/>
  <c r="Q299" i="9"/>
  <c r="Q300" i="9"/>
  <c r="Q301" i="9"/>
  <c r="Q302" i="9"/>
  <c r="Q303" i="9"/>
  <c r="Q304" i="9"/>
  <c r="Q305" i="9"/>
  <c r="Q306" i="9"/>
  <c r="Q307" i="9"/>
  <c r="Q308" i="9"/>
  <c r="Q309" i="9"/>
  <c r="Q310" i="9"/>
  <c r="Q311" i="9"/>
  <c r="Q312" i="9"/>
  <c r="Q313" i="9"/>
  <c r="Q314" i="9"/>
  <c r="Q315" i="9"/>
  <c r="Q316" i="9"/>
  <c r="Q317" i="9"/>
  <c r="Q318" i="9"/>
  <c r="Q319" i="9"/>
  <c r="Q320" i="9"/>
  <c r="Q321" i="9"/>
  <c r="Q322" i="9"/>
  <c r="Q323" i="9"/>
  <c r="Q324" i="9"/>
  <c r="Q325" i="9"/>
  <c r="Q326" i="9"/>
  <c r="Q327" i="9"/>
  <c r="Q328" i="9"/>
  <c r="Q329" i="9"/>
  <c r="Q330" i="9"/>
  <c r="Q331" i="9"/>
  <c r="Q332" i="9"/>
  <c r="Q333" i="9"/>
  <c r="Q334" i="9"/>
  <c r="Q335" i="9"/>
  <c r="Q336" i="9"/>
  <c r="Q337" i="9"/>
  <c r="Q338" i="9"/>
  <c r="Q339" i="9"/>
  <c r="Q340" i="9"/>
  <c r="Q341" i="9"/>
  <c r="Q342" i="9"/>
  <c r="Q343" i="9"/>
  <c r="Q344" i="9"/>
  <c r="Q345" i="9"/>
  <c r="Q346" i="9"/>
  <c r="Q347" i="9"/>
  <c r="Q348" i="9"/>
  <c r="Q349" i="9"/>
  <c r="Q350" i="9"/>
  <c r="Q351" i="9"/>
  <c r="Q352" i="9"/>
  <c r="Q353" i="9"/>
  <c r="Q354" i="9"/>
  <c r="Q355" i="9"/>
  <c r="Q356" i="9"/>
  <c r="Q357" i="9"/>
  <c r="Q358" i="9"/>
  <c r="Q359" i="9"/>
  <c r="Q360" i="9"/>
  <c r="Q361" i="9"/>
  <c r="Q362" i="9"/>
  <c r="Q363" i="9"/>
  <c r="Q364" i="9"/>
  <c r="Q365" i="9"/>
  <c r="Q366" i="9"/>
  <c r="Q367" i="9"/>
  <c r="Q368" i="9"/>
  <c r="Q369" i="9"/>
  <c r="Q370" i="9"/>
  <c r="Q371" i="9"/>
  <c r="Q372" i="9"/>
  <c r="Q373" i="9"/>
  <c r="Q374" i="9"/>
  <c r="Q375" i="9"/>
  <c r="Q376" i="9"/>
  <c r="Q377" i="9"/>
  <c r="Q378" i="9"/>
  <c r="Q379" i="9"/>
  <c r="Q380" i="9"/>
  <c r="Q381" i="9"/>
  <c r="Q382" i="9"/>
  <c r="Q383" i="9"/>
  <c r="Q384" i="9"/>
  <c r="Q385" i="9"/>
  <c r="Q386" i="9"/>
  <c r="Q387" i="9"/>
  <c r="Q388" i="9"/>
  <c r="Q389" i="9"/>
  <c r="Q390" i="9"/>
  <c r="Q391" i="9"/>
  <c r="Q392" i="9"/>
  <c r="Q393" i="9"/>
  <c r="Q394" i="9"/>
  <c r="Q395" i="9"/>
  <c r="Q396" i="9"/>
  <c r="Q397" i="9"/>
  <c r="Q398" i="9"/>
  <c r="Q399" i="9"/>
  <c r="Q400" i="9"/>
  <c r="Q401" i="9"/>
  <c r="Q402" i="9"/>
  <c r="Q403" i="9"/>
  <c r="Q404" i="9"/>
  <c r="Q405" i="9"/>
  <c r="Q406" i="9"/>
  <c r="Q407" i="9"/>
  <c r="Q408" i="9"/>
  <c r="Q409" i="9"/>
  <c r="Q410" i="9"/>
  <c r="Q411" i="9"/>
  <c r="Q412" i="9"/>
  <c r="Q413" i="9"/>
  <c r="Q414" i="9"/>
  <c r="Q415" i="9"/>
  <c r="Q416" i="9"/>
  <c r="Q417" i="9"/>
  <c r="Q418" i="9"/>
  <c r="Q419" i="9"/>
  <c r="Q420" i="9"/>
  <c r="Q421" i="9"/>
  <c r="Q422" i="9"/>
  <c r="Q423" i="9"/>
  <c r="Q424" i="9"/>
  <c r="Q425" i="9"/>
  <c r="Q426" i="9"/>
  <c r="Q427" i="9"/>
  <c r="Q428" i="9"/>
  <c r="Q429" i="9"/>
  <c r="Q430" i="9"/>
  <c r="Q431" i="9"/>
  <c r="Q432" i="9"/>
  <c r="Q433" i="9"/>
  <c r="Q434" i="9"/>
  <c r="Q435" i="9"/>
  <c r="Q436" i="9"/>
  <c r="Q437" i="9"/>
  <c r="Q438" i="9"/>
  <c r="Q439" i="9"/>
  <c r="Q440" i="9"/>
  <c r="Q441" i="9"/>
  <c r="Q442" i="9"/>
  <c r="Q443" i="9"/>
  <c r="Q444" i="9"/>
  <c r="Q445" i="9"/>
  <c r="Q446" i="9"/>
  <c r="Q447" i="9"/>
  <c r="Q448" i="9"/>
  <c r="Q449" i="9"/>
  <c r="Q450" i="9"/>
  <c r="Q451" i="9"/>
  <c r="Q452" i="9"/>
  <c r="Q453" i="9"/>
  <c r="Q454" i="9"/>
  <c r="Q455" i="9"/>
  <c r="Q456" i="9"/>
  <c r="Q457" i="9"/>
  <c r="Q458" i="9"/>
  <c r="Q459" i="9"/>
  <c r="Q460" i="9"/>
  <c r="Q461" i="9"/>
  <c r="Q462" i="9"/>
  <c r="Q463" i="9"/>
  <c r="Q464" i="9"/>
  <c r="Q465" i="9"/>
  <c r="Q466" i="9"/>
  <c r="Q467" i="9"/>
  <c r="Q468" i="9"/>
  <c r="Q469" i="9"/>
  <c r="Q470" i="9"/>
  <c r="Q471" i="9"/>
  <c r="Q472" i="9"/>
  <c r="Q473" i="9"/>
  <c r="Q474" i="9"/>
  <c r="Q475" i="9"/>
  <c r="Q476" i="9"/>
  <c r="Q477" i="9"/>
  <c r="Q478" i="9"/>
  <c r="Q479" i="9"/>
  <c r="Q480" i="9"/>
  <c r="Q481" i="9"/>
  <c r="Q482" i="9"/>
  <c r="Q483" i="9"/>
  <c r="Q484" i="9"/>
  <c r="Q485" i="9"/>
  <c r="Q486" i="9"/>
  <c r="Q487" i="9"/>
  <c r="Q488" i="9"/>
  <c r="Q489" i="9"/>
  <c r="Q490" i="9"/>
  <c r="Q491" i="9"/>
  <c r="Q492" i="9"/>
  <c r="Q493" i="9"/>
  <c r="Q494" i="9"/>
  <c r="Q495" i="9"/>
  <c r="Q496" i="9"/>
  <c r="Q497" i="9"/>
  <c r="Q498" i="9"/>
  <c r="Q499" i="9"/>
  <c r="Q500" i="9"/>
  <c r="Q501" i="9"/>
  <c r="Q502" i="9"/>
  <c r="Q503" i="9"/>
  <c r="Q504" i="9"/>
  <c r="Q505" i="9"/>
  <c r="Q506" i="9"/>
  <c r="Q507" i="9"/>
  <c r="Q508" i="9"/>
  <c r="Q509" i="9"/>
  <c r="Q510" i="9"/>
  <c r="Q511" i="9"/>
  <c r="Q512" i="9"/>
  <c r="Q513" i="9"/>
  <c r="Q514" i="9"/>
  <c r="Q515" i="9"/>
  <c r="Q516" i="9"/>
  <c r="Q517" i="9"/>
  <c r="Q518" i="9"/>
  <c r="Q519" i="9"/>
  <c r="Q520" i="9"/>
  <c r="Q521" i="9"/>
  <c r="Q522" i="9"/>
  <c r="Q523" i="9"/>
  <c r="Q524" i="9"/>
  <c r="Q525" i="9"/>
  <c r="Q526" i="9"/>
  <c r="Q527" i="9"/>
  <c r="Q528" i="9"/>
  <c r="Q529" i="9"/>
  <c r="Q530" i="9"/>
  <c r="Q531" i="9"/>
  <c r="Q532" i="9"/>
  <c r="Q533" i="9"/>
  <c r="Q534" i="9"/>
  <c r="Q535" i="9"/>
  <c r="Q536" i="9"/>
  <c r="Q537" i="9"/>
  <c r="Q538" i="9"/>
  <c r="Q539" i="9"/>
  <c r="Q540" i="9"/>
  <c r="Q541" i="9"/>
  <c r="Q542" i="9"/>
  <c r="Q543" i="9"/>
  <c r="Q544" i="9"/>
  <c r="Q545" i="9"/>
  <c r="Q546" i="9"/>
  <c r="Q547" i="9"/>
  <c r="Q548" i="9"/>
  <c r="Q549" i="9"/>
  <c r="Q550" i="9"/>
  <c r="Q551" i="9"/>
  <c r="Q552" i="9"/>
  <c r="Q553" i="9"/>
  <c r="Q554" i="9"/>
  <c r="Q555" i="9"/>
  <c r="Q556" i="9"/>
  <c r="Q557" i="9"/>
  <c r="Q558" i="9"/>
  <c r="Q559" i="9"/>
  <c r="Q560" i="9"/>
  <c r="Q561" i="9"/>
  <c r="Q562" i="9"/>
  <c r="Q563" i="9"/>
  <c r="Q564" i="9"/>
  <c r="Q565" i="9"/>
  <c r="Q566" i="9"/>
  <c r="Q567" i="9"/>
  <c r="Q568" i="9"/>
  <c r="Q569" i="9"/>
  <c r="Q570" i="9"/>
  <c r="Q571" i="9"/>
  <c r="Q572" i="9"/>
  <c r="Q573" i="9"/>
  <c r="Q574" i="9"/>
  <c r="Q575" i="9"/>
  <c r="Q576" i="9"/>
  <c r="Q577" i="9"/>
  <c r="Q578" i="9"/>
  <c r="Q579" i="9"/>
  <c r="Q580" i="9"/>
  <c r="Q581" i="9"/>
  <c r="Q582" i="9"/>
  <c r="Q583" i="9"/>
  <c r="Q584" i="9"/>
  <c r="Q585" i="9"/>
  <c r="Q586" i="9"/>
  <c r="Q587" i="9"/>
  <c r="Q588" i="9"/>
  <c r="Q589" i="9"/>
  <c r="Q590" i="9"/>
  <c r="Q591" i="9"/>
  <c r="Q592" i="9"/>
  <c r="Q593" i="9"/>
  <c r="Q594" i="9"/>
  <c r="Q595" i="9"/>
  <c r="Q596" i="9"/>
  <c r="Q597" i="9"/>
  <c r="Q598" i="9"/>
  <c r="Q599" i="9"/>
  <c r="Q600" i="9"/>
  <c r="Q601" i="9"/>
  <c r="Q602" i="9"/>
  <c r="Q603" i="9"/>
  <c r="Q604" i="9"/>
  <c r="Q605" i="9"/>
  <c r="Q606" i="9"/>
  <c r="Q607" i="9"/>
  <c r="Q608" i="9"/>
  <c r="Q609" i="9"/>
  <c r="Q610" i="9"/>
  <c r="Q611" i="9"/>
  <c r="Q612" i="9"/>
  <c r="Q613" i="9"/>
  <c r="Q614" i="9"/>
  <c r="Q615" i="9"/>
  <c r="Q616" i="9"/>
  <c r="Q617" i="9"/>
  <c r="Q618" i="9"/>
  <c r="Q619" i="9"/>
  <c r="Q620" i="9"/>
  <c r="Q621" i="9"/>
  <c r="Q622" i="9"/>
  <c r="Q623" i="9"/>
  <c r="Q624" i="9"/>
  <c r="Q625" i="9"/>
  <c r="Q626" i="9"/>
  <c r="Q627" i="9"/>
  <c r="Q628" i="9"/>
  <c r="Q629" i="9"/>
  <c r="Q630" i="9"/>
  <c r="Q631" i="9"/>
  <c r="Q632" i="9"/>
  <c r="Q633" i="9"/>
  <c r="Q634" i="9"/>
  <c r="Q635" i="9"/>
  <c r="Q636" i="9"/>
  <c r="Q637" i="9"/>
  <c r="Q638" i="9"/>
  <c r="Q639" i="9"/>
  <c r="Q640" i="9"/>
  <c r="Q641" i="9"/>
  <c r="Q642" i="9"/>
  <c r="Q643" i="9"/>
  <c r="Q644" i="9"/>
  <c r="Q645" i="9"/>
  <c r="Q646" i="9"/>
  <c r="Q647" i="9"/>
  <c r="Q648" i="9"/>
  <c r="Q649" i="9"/>
  <c r="Q650" i="9"/>
  <c r="Q651" i="9"/>
  <c r="Q652" i="9"/>
  <c r="Q653" i="9"/>
  <c r="Q654" i="9"/>
  <c r="Q655" i="9"/>
  <c r="Q656" i="9"/>
  <c r="Q657" i="9"/>
  <c r="Q658" i="9"/>
  <c r="Q659" i="9"/>
  <c r="Q660" i="9"/>
  <c r="Q661" i="9"/>
  <c r="Q662" i="9"/>
  <c r="Q663" i="9"/>
  <c r="Q664" i="9"/>
  <c r="Q665" i="9"/>
  <c r="Q666" i="9"/>
  <c r="Q667" i="9"/>
  <c r="Q668" i="9"/>
  <c r="Q669" i="9"/>
  <c r="Q670" i="9"/>
  <c r="Q671" i="9"/>
  <c r="Q672" i="9"/>
  <c r="Q673" i="9"/>
  <c r="Q674" i="9"/>
  <c r="Q675" i="9"/>
  <c r="Q676" i="9"/>
  <c r="Q677" i="9"/>
  <c r="Q678" i="9"/>
  <c r="Q679" i="9"/>
  <c r="Q680" i="9"/>
  <c r="Q681" i="9"/>
  <c r="Q682" i="9"/>
  <c r="Q683" i="9"/>
  <c r="Q684" i="9"/>
  <c r="Q685" i="9"/>
  <c r="Q686" i="9"/>
  <c r="Q687" i="9"/>
  <c r="Q688" i="9"/>
  <c r="Q689" i="9"/>
  <c r="Q690" i="9"/>
  <c r="Q691" i="9"/>
  <c r="Q692" i="9"/>
  <c r="Q693" i="9"/>
  <c r="Q694" i="9"/>
  <c r="Q695" i="9"/>
  <c r="Q696" i="9"/>
  <c r="Q697" i="9"/>
  <c r="Q698" i="9"/>
  <c r="Q699" i="9"/>
  <c r="Q700" i="9"/>
  <c r="Q701" i="9"/>
  <c r="Q702" i="9"/>
  <c r="Q703" i="9"/>
  <c r="Q704" i="9"/>
  <c r="Q705" i="9"/>
  <c r="Q706" i="9"/>
  <c r="Q707" i="9"/>
  <c r="Q708" i="9"/>
  <c r="Q709" i="9"/>
  <c r="Q710" i="9"/>
  <c r="Q711" i="9"/>
  <c r="Q712" i="9"/>
  <c r="Q713" i="9"/>
  <c r="Q714" i="9"/>
  <c r="Q715" i="9"/>
  <c r="Q716" i="9"/>
  <c r="Q717" i="9"/>
  <c r="Q718" i="9"/>
  <c r="Q719" i="9"/>
  <c r="Q720" i="9"/>
  <c r="Q721" i="9"/>
  <c r="Q722" i="9"/>
  <c r="Q723" i="9"/>
  <c r="Q724" i="9"/>
  <c r="Q725" i="9"/>
  <c r="Q726" i="9"/>
  <c r="Q727" i="9"/>
  <c r="Q728" i="9"/>
  <c r="Q729" i="9"/>
  <c r="Q730" i="9"/>
  <c r="Q731" i="9"/>
  <c r="Q732" i="9"/>
  <c r="Q733" i="9"/>
  <c r="Q734" i="9"/>
  <c r="Q735" i="9"/>
  <c r="Q736" i="9"/>
  <c r="Q737" i="9"/>
  <c r="Q738" i="9"/>
  <c r="Q739" i="9"/>
  <c r="Q740" i="9"/>
  <c r="Q741" i="9"/>
  <c r="Q742" i="9"/>
  <c r="Q743" i="9"/>
  <c r="Q744" i="9"/>
  <c r="Q745" i="9"/>
  <c r="Q746" i="9"/>
  <c r="Q747" i="9"/>
  <c r="Q748" i="9"/>
  <c r="Q749" i="9"/>
  <c r="Q750" i="9"/>
  <c r="Q751" i="9"/>
  <c r="Q752" i="9"/>
  <c r="Q753" i="9"/>
  <c r="Q754" i="9"/>
  <c r="Q755" i="9"/>
  <c r="Q756" i="9"/>
  <c r="Q757" i="9"/>
  <c r="Q758" i="9"/>
  <c r="Q759" i="9"/>
  <c r="Q760" i="9"/>
  <c r="Q761" i="9"/>
  <c r="Q762" i="9"/>
  <c r="Q763" i="9"/>
  <c r="Q764" i="9"/>
  <c r="Q765" i="9"/>
  <c r="Q766" i="9"/>
  <c r="Q767" i="9"/>
  <c r="Q768" i="9"/>
  <c r="Q769" i="9"/>
  <c r="Q770" i="9"/>
  <c r="Q771" i="9"/>
  <c r="Q772" i="9"/>
  <c r="Q773" i="9"/>
  <c r="Q774" i="9"/>
  <c r="Q775" i="9"/>
  <c r="Q776" i="9"/>
  <c r="Q777" i="9"/>
  <c r="Q778" i="9"/>
  <c r="Q779" i="9"/>
  <c r="Q780" i="9"/>
  <c r="Q781" i="9"/>
  <c r="Q782" i="9"/>
  <c r="Q783" i="9"/>
  <c r="Q784" i="9"/>
  <c r="Q785" i="9"/>
  <c r="Q786" i="9"/>
  <c r="Q787" i="9"/>
  <c r="Q788" i="9"/>
  <c r="Q789" i="9"/>
  <c r="Q790" i="9"/>
  <c r="Q791" i="9"/>
  <c r="Q792" i="9"/>
  <c r="Q793" i="9"/>
  <c r="Q794" i="9"/>
  <c r="Q795" i="9"/>
  <c r="Q796" i="9"/>
  <c r="Q797" i="9"/>
  <c r="Q798" i="9"/>
  <c r="Q799" i="9"/>
  <c r="Q800" i="9"/>
  <c r="Q801" i="9"/>
  <c r="Q802" i="9"/>
  <c r="Q803" i="9"/>
  <c r="Q804" i="9"/>
  <c r="Q805" i="9"/>
  <c r="Q806" i="9"/>
  <c r="Q807" i="9"/>
  <c r="Q808" i="9"/>
  <c r="Q809" i="9"/>
  <c r="Q810" i="9"/>
  <c r="Q811" i="9"/>
  <c r="Q812" i="9"/>
  <c r="Q813" i="9"/>
  <c r="Q814" i="9"/>
  <c r="Q815" i="9"/>
  <c r="Q816" i="9"/>
  <c r="Q817" i="9"/>
  <c r="Q818" i="9"/>
  <c r="Q819" i="9"/>
  <c r="Q820" i="9"/>
  <c r="Q821" i="9"/>
  <c r="Q822" i="9"/>
  <c r="Q823" i="9"/>
  <c r="Q824" i="9"/>
  <c r="Q825" i="9"/>
  <c r="Q826" i="9"/>
  <c r="Q827" i="9"/>
  <c r="Q828" i="9"/>
  <c r="Q829" i="9"/>
  <c r="Q830" i="9"/>
  <c r="Q831" i="9"/>
  <c r="Q832" i="9"/>
  <c r="Q833" i="9"/>
  <c r="Q834" i="9"/>
  <c r="Q835" i="9"/>
  <c r="Q836" i="9"/>
  <c r="Q837" i="9"/>
  <c r="Q838" i="9"/>
  <c r="Q839" i="9"/>
  <c r="Q840" i="9"/>
  <c r="Q841" i="9"/>
  <c r="Q842" i="9"/>
  <c r="Q843" i="9"/>
  <c r="Q844" i="9"/>
  <c r="Q845" i="9"/>
  <c r="Q846" i="9"/>
  <c r="Q847" i="9"/>
  <c r="Q848" i="9"/>
  <c r="Q849" i="9"/>
  <c r="Q850" i="9"/>
  <c r="Q851" i="9"/>
  <c r="Q852" i="9"/>
  <c r="Q853" i="9"/>
  <c r="Q854" i="9"/>
  <c r="Q855" i="9"/>
  <c r="Q856" i="9"/>
  <c r="Q857" i="9"/>
  <c r="Q858" i="9"/>
  <c r="Q859" i="9"/>
  <c r="Q860" i="9"/>
  <c r="Q861" i="9"/>
  <c r="Q862" i="9"/>
  <c r="Q863" i="9"/>
  <c r="Q864" i="9"/>
  <c r="Q865" i="9"/>
  <c r="Q866" i="9"/>
  <c r="Q867" i="9"/>
  <c r="Q868" i="9"/>
  <c r="Q869" i="9"/>
  <c r="Q870" i="9"/>
  <c r="Q871" i="9"/>
  <c r="Q872" i="9"/>
  <c r="Q873" i="9"/>
  <c r="Q874" i="9"/>
  <c r="Q875" i="9"/>
  <c r="Q876" i="9"/>
  <c r="Q877" i="9"/>
  <c r="Q878" i="9"/>
  <c r="Q879" i="9"/>
  <c r="Q880" i="9"/>
  <c r="Q881" i="9"/>
  <c r="Q882" i="9"/>
  <c r="Q883" i="9"/>
  <c r="Q884" i="9"/>
  <c r="Q885" i="9"/>
  <c r="Q886" i="9"/>
  <c r="Q887" i="9"/>
  <c r="Q888" i="9"/>
  <c r="Q889" i="9"/>
  <c r="Q890" i="9"/>
  <c r="Q891" i="9"/>
  <c r="Q892" i="9"/>
  <c r="Q893" i="9"/>
  <c r="Q894" i="9"/>
  <c r="Q895" i="9"/>
  <c r="Q896" i="9"/>
  <c r="Q897" i="9"/>
  <c r="Q898" i="9"/>
  <c r="Q899" i="9"/>
  <c r="Q900" i="9"/>
  <c r="Q901" i="9"/>
  <c r="Q902" i="9"/>
  <c r="Q903" i="9"/>
  <c r="Q904" i="9"/>
  <c r="Q905" i="9"/>
  <c r="Q906" i="9"/>
  <c r="Q907" i="9"/>
  <c r="Q908" i="9"/>
  <c r="Q909" i="9"/>
  <c r="Q910" i="9"/>
  <c r="Q911" i="9"/>
  <c r="Q912" i="9"/>
  <c r="Q913" i="9"/>
  <c r="Q914" i="9"/>
  <c r="Q915" i="9"/>
  <c r="Q916" i="9"/>
  <c r="Q917" i="9"/>
  <c r="Q918" i="9"/>
  <c r="Q919" i="9"/>
  <c r="Q920" i="9"/>
  <c r="Q921" i="9"/>
  <c r="Q922" i="9"/>
  <c r="Q923" i="9"/>
  <c r="Q924" i="9"/>
  <c r="Q925" i="9"/>
  <c r="Q926" i="9"/>
  <c r="Q927" i="9"/>
  <c r="Q928" i="9"/>
  <c r="Q929" i="9"/>
  <c r="Q930" i="9"/>
  <c r="Q931" i="9"/>
  <c r="Q932" i="9"/>
  <c r="Q933" i="9"/>
  <c r="Q934" i="9"/>
  <c r="Q935" i="9"/>
  <c r="Q936" i="9"/>
  <c r="Q937" i="9"/>
  <c r="Q938" i="9"/>
  <c r="Q939" i="9"/>
  <c r="Q940" i="9"/>
  <c r="Q941" i="9"/>
  <c r="Q942" i="9"/>
  <c r="Q943" i="9"/>
  <c r="Q944" i="9"/>
  <c r="Q945" i="9"/>
  <c r="Q946" i="9"/>
  <c r="Q947" i="9"/>
  <c r="Q948" i="9"/>
  <c r="Q949" i="9"/>
  <c r="Q950" i="9"/>
  <c r="Q951" i="9"/>
  <c r="Q952" i="9"/>
  <c r="Q953" i="9"/>
  <c r="Q954" i="9"/>
  <c r="Q955" i="9"/>
  <c r="Q956" i="9"/>
  <c r="Q957" i="9"/>
  <c r="Q958" i="9"/>
  <c r="Q959" i="9"/>
  <c r="Q960" i="9"/>
  <c r="Q961" i="9"/>
  <c r="Q962" i="9"/>
  <c r="Q963" i="9"/>
  <c r="Q964" i="9"/>
  <c r="Q965" i="9"/>
  <c r="Q966" i="9"/>
  <c r="Q967" i="9"/>
  <c r="Q968" i="9"/>
  <c r="Q969" i="9"/>
  <c r="Q970" i="9"/>
  <c r="Q971" i="9"/>
  <c r="Q972" i="9"/>
  <c r="Q973" i="9"/>
  <c r="Q974" i="9"/>
  <c r="Q975" i="9"/>
  <c r="Q976" i="9"/>
  <c r="Q977" i="9"/>
  <c r="Q978" i="9"/>
  <c r="Q979" i="9"/>
  <c r="Q980" i="9"/>
  <c r="Q981" i="9"/>
  <c r="Q982" i="9"/>
  <c r="Q983" i="9"/>
  <c r="Q984" i="9"/>
  <c r="Q985" i="9"/>
  <c r="Q986" i="9"/>
  <c r="Q987" i="9"/>
  <c r="Q988" i="9"/>
  <c r="Q989" i="9"/>
  <c r="Q990" i="9"/>
  <c r="Q991" i="9"/>
  <c r="Q992" i="9"/>
  <c r="Q993" i="9"/>
  <c r="Q994" i="9"/>
  <c r="Q995" i="9"/>
  <c r="Q996" i="9"/>
  <c r="Q997" i="9"/>
  <c r="Q998" i="9"/>
  <c r="Q999" i="9"/>
  <c r="Q1000" i="9"/>
  <c r="Q1001" i="9"/>
  <c r="Q1002" i="9"/>
  <c r="Q1003" i="9"/>
  <c r="Q1004" i="9"/>
  <c r="Q1005" i="9"/>
  <c r="Q1006" i="9"/>
  <c r="Q1007" i="9"/>
  <c r="Q1008" i="9"/>
  <c r="Q1009" i="9"/>
  <c r="Q1010" i="9"/>
  <c r="Q1011" i="9"/>
  <c r="Q1012" i="9"/>
  <c r="Q1013" i="9"/>
  <c r="Q1014" i="9"/>
  <c r="Q1015" i="9"/>
  <c r="Q1016" i="9"/>
  <c r="Q1017" i="9"/>
  <c r="Q1018" i="9"/>
  <c r="Q1019" i="9"/>
  <c r="Q1020" i="9"/>
  <c r="Q1021" i="9"/>
  <c r="Q1022" i="9"/>
  <c r="Q1023" i="9"/>
  <c r="Q1024" i="9"/>
  <c r="Q1025" i="9"/>
  <c r="Q1026" i="9"/>
  <c r="Q1027" i="9"/>
  <c r="Q1028" i="9"/>
  <c r="Q1029" i="9"/>
  <c r="Q1030" i="9"/>
  <c r="Q1031" i="9"/>
  <c r="Q1032" i="9"/>
  <c r="Q1033" i="9"/>
  <c r="Q1034" i="9"/>
  <c r="Q1035" i="9"/>
  <c r="Q1036" i="9"/>
  <c r="Q1037" i="9"/>
  <c r="Q1038" i="9"/>
  <c r="Q1039" i="9"/>
  <c r="Q1040" i="9"/>
  <c r="Q1041" i="9"/>
  <c r="Q1042" i="9"/>
  <c r="Q1043" i="9"/>
  <c r="Q1044" i="9"/>
  <c r="Q1045" i="9"/>
  <c r="Q1046" i="9"/>
  <c r="Q1047" i="9"/>
  <c r="Q1048" i="9"/>
  <c r="Q1049" i="9"/>
  <c r="Q1050" i="9"/>
  <c r="Q1051" i="9"/>
  <c r="Q1052" i="9"/>
  <c r="Q1053" i="9"/>
  <c r="Q1054" i="9"/>
  <c r="Q1055" i="9"/>
  <c r="Q1056" i="9"/>
  <c r="Q1057" i="9"/>
  <c r="Q1058" i="9"/>
  <c r="Q1059" i="9"/>
  <c r="Q1060" i="9"/>
  <c r="Q1061" i="9"/>
  <c r="Q1062" i="9"/>
  <c r="Q1063" i="9"/>
  <c r="Q1064" i="9"/>
  <c r="Q1065" i="9"/>
  <c r="Q1066" i="9"/>
  <c r="Q1067" i="9"/>
  <c r="Q1068" i="9"/>
  <c r="Q1069" i="9"/>
  <c r="Q1070" i="9"/>
  <c r="Q1071" i="9"/>
  <c r="Q1072" i="9"/>
  <c r="Q1073" i="9"/>
  <c r="Q1074" i="9"/>
  <c r="Q1075" i="9"/>
  <c r="Q1076" i="9"/>
  <c r="Q1077" i="9"/>
  <c r="Q1078" i="9"/>
  <c r="Q1079" i="9"/>
  <c r="Q1080" i="9"/>
  <c r="Q1081" i="9"/>
  <c r="Q1082" i="9"/>
  <c r="Q1083" i="9"/>
  <c r="Q1084" i="9"/>
  <c r="Q1085" i="9"/>
  <c r="Q1086" i="9"/>
  <c r="Q1087" i="9"/>
  <c r="Q1088" i="9"/>
  <c r="Q1089" i="9"/>
  <c r="Q1090" i="9"/>
  <c r="Q1091" i="9"/>
  <c r="Q1092" i="9"/>
  <c r="Q1093" i="9"/>
  <c r="Q1094" i="9"/>
  <c r="Q1095" i="9"/>
  <c r="Q1096" i="9"/>
  <c r="Q1097" i="9"/>
  <c r="Q1098" i="9"/>
  <c r="Q1099" i="9"/>
  <c r="Q1100" i="9"/>
  <c r="Q1101" i="9"/>
  <c r="Q1102" i="9"/>
  <c r="Q1103" i="9"/>
  <c r="Q1104" i="9"/>
  <c r="Q1105" i="9"/>
  <c r="Q1106" i="9"/>
  <c r="Q1107" i="9"/>
  <c r="Q1108" i="9"/>
  <c r="Q1109" i="9"/>
  <c r="Q1110" i="9"/>
  <c r="Q1111" i="9"/>
  <c r="Q1112" i="9"/>
  <c r="Q1113" i="9"/>
  <c r="Q1114" i="9"/>
  <c r="Q1115" i="9"/>
  <c r="Q1116" i="9"/>
  <c r="Q1117" i="9"/>
  <c r="Q1118" i="9"/>
  <c r="Q1119" i="9"/>
  <c r="Q1120" i="9"/>
  <c r="Q1121" i="9"/>
  <c r="Q1122" i="9"/>
  <c r="Q1123" i="9"/>
  <c r="Q1124" i="9"/>
  <c r="Q1125" i="9"/>
  <c r="Q1126" i="9"/>
  <c r="Q1127" i="9"/>
  <c r="Q1128" i="9"/>
  <c r="Q1129" i="9"/>
  <c r="Q1130" i="9"/>
  <c r="Q1131" i="9"/>
  <c r="Q1132" i="9"/>
  <c r="Q1133" i="9"/>
  <c r="Q1134" i="9"/>
  <c r="Q1135" i="9"/>
  <c r="Q1136" i="9"/>
  <c r="Q1137" i="9"/>
  <c r="Q1138" i="9"/>
  <c r="Q1139" i="9"/>
  <c r="Q1140" i="9"/>
  <c r="Q1141" i="9"/>
  <c r="Q1142" i="9"/>
  <c r="Q1143" i="9"/>
  <c r="Q1144" i="9"/>
  <c r="Q1145" i="9"/>
  <c r="Q1146" i="9"/>
  <c r="Q1147" i="9"/>
  <c r="Q1148" i="9"/>
  <c r="Q1149" i="9"/>
  <c r="Q1150" i="9"/>
  <c r="Q1151" i="9"/>
  <c r="Q1152" i="9"/>
  <c r="Q1153" i="9"/>
  <c r="Q1154" i="9"/>
  <c r="Q1155" i="9"/>
  <c r="Q1156" i="9"/>
  <c r="Q1157" i="9"/>
  <c r="Q1158" i="9"/>
  <c r="Q1159" i="9"/>
  <c r="Q1160" i="9"/>
  <c r="Q1161" i="9"/>
  <c r="Q1162" i="9"/>
  <c r="Q1163" i="9"/>
  <c r="Q1164" i="9"/>
  <c r="Q1165" i="9"/>
  <c r="Q1166" i="9"/>
  <c r="Q1167" i="9"/>
  <c r="Q1168" i="9"/>
  <c r="Q1169" i="9"/>
  <c r="Q1170" i="9"/>
  <c r="Q1171" i="9"/>
  <c r="Q1172" i="9"/>
  <c r="Q1173" i="9"/>
  <c r="Q1174" i="9"/>
  <c r="Q1175" i="9"/>
  <c r="Q1176" i="9"/>
  <c r="Q1177" i="9"/>
  <c r="Q1178" i="9"/>
  <c r="Q1179" i="9"/>
  <c r="Q1180" i="9"/>
  <c r="Q1181" i="9"/>
  <c r="Q1182" i="9"/>
  <c r="Q1183" i="9"/>
  <c r="Q1184" i="9"/>
  <c r="Q1185" i="9"/>
  <c r="Q1186" i="9"/>
  <c r="Q1187" i="9"/>
  <c r="Q1188" i="9"/>
  <c r="Q1189" i="9"/>
  <c r="Q1190" i="9"/>
  <c r="Q1191" i="9"/>
  <c r="Q1192" i="9"/>
  <c r="Q1193" i="9"/>
  <c r="Q1194" i="9"/>
  <c r="Q1195" i="9"/>
  <c r="Q1196" i="9"/>
  <c r="Q1197" i="9"/>
  <c r="Q1198" i="9"/>
  <c r="Q1199" i="9"/>
  <c r="Q1200" i="9"/>
  <c r="Q1201" i="9"/>
  <c r="Q1202" i="9"/>
  <c r="Q1203" i="9"/>
  <c r="Q1204" i="9"/>
  <c r="Q1205" i="9"/>
  <c r="Q1206" i="9"/>
  <c r="Q1207" i="9"/>
  <c r="Q1208" i="9"/>
  <c r="Q1209" i="9"/>
  <c r="Q1210" i="9"/>
  <c r="Q1211" i="9"/>
  <c r="Q1212" i="9"/>
  <c r="Q1213" i="9"/>
  <c r="Q1214" i="9"/>
  <c r="Q1215" i="9"/>
  <c r="Q1216" i="9"/>
  <c r="Q1217" i="9"/>
  <c r="Q1218" i="9"/>
  <c r="Q1219" i="9"/>
  <c r="Q1220" i="9"/>
  <c r="Q1221" i="9"/>
  <c r="Q1222" i="9"/>
  <c r="Q1223" i="9"/>
  <c r="Q1224" i="9"/>
  <c r="Q1225" i="9"/>
  <c r="Q1226" i="9"/>
  <c r="Q1227" i="9"/>
  <c r="Q1228" i="9"/>
  <c r="Q1229" i="9"/>
  <c r="Q1230" i="9"/>
  <c r="Q1231" i="9"/>
  <c r="Q1232" i="9"/>
  <c r="Q1233" i="9"/>
  <c r="Q1234" i="9"/>
  <c r="Q1235" i="9"/>
  <c r="Q1236" i="9"/>
  <c r="Q1237" i="9"/>
  <c r="Q1238" i="9"/>
  <c r="Q1239" i="9"/>
  <c r="Q1240" i="9"/>
  <c r="Q1241" i="9"/>
  <c r="Q1242" i="9"/>
  <c r="Q1243" i="9"/>
  <c r="Q1244" i="9"/>
  <c r="Q1245" i="9"/>
  <c r="Q1246" i="9"/>
  <c r="Q1247" i="9"/>
  <c r="Q1248" i="9"/>
  <c r="Q1249" i="9"/>
  <c r="Q1250" i="9"/>
  <c r="Q1251" i="9"/>
  <c r="Q1252" i="9"/>
  <c r="Q1253" i="9"/>
  <c r="Q1254" i="9"/>
  <c r="Q1255" i="9"/>
  <c r="Q1256" i="9"/>
  <c r="Q1257" i="9"/>
  <c r="Q1258" i="9"/>
  <c r="Q1259" i="9"/>
  <c r="Q1260" i="9"/>
  <c r="Q1261" i="9"/>
  <c r="Q1262" i="9"/>
  <c r="Q1263" i="9"/>
  <c r="Q1264" i="9"/>
  <c r="Q1265" i="9"/>
  <c r="Q1266" i="9"/>
  <c r="Q1267" i="9"/>
  <c r="Q1268" i="9"/>
  <c r="Q1269" i="9"/>
  <c r="Q1270" i="9"/>
  <c r="Q1271" i="9"/>
  <c r="Q1272" i="9"/>
  <c r="Q1273" i="9"/>
  <c r="Q1274" i="9"/>
  <c r="Q1275" i="9"/>
  <c r="Q1276" i="9"/>
  <c r="Q1277" i="9"/>
  <c r="Q1278" i="9"/>
  <c r="Q1279" i="9"/>
  <c r="Q1280" i="9"/>
  <c r="Q1281" i="9"/>
  <c r="Q1282" i="9"/>
  <c r="Q1283" i="9"/>
  <c r="Q1284" i="9"/>
  <c r="Q1285" i="9"/>
  <c r="Q1286" i="9"/>
  <c r="Q1287" i="9"/>
  <c r="Q1288" i="9"/>
  <c r="Q1289" i="9"/>
  <c r="Q1290" i="9"/>
  <c r="Q1291" i="9"/>
  <c r="Q1292" i="9"/>
  <c r="Q1293" i="9"/>
  <c r="Q1294" i="9"/>
  <c r="Q1295" i="9"/>
  <c r="Q1296" i="9"/>
  <c r="Q1297" i="9"/>
  <c r="Q1298" i="9"/>
  <c r="Q1299" i="9"/>
  <c r="Q1300" i="9"/>
  <c r="Q1301" i="9"/>
  <c r="Q1302" i="9"/>
  <c r="Q1303" i="9"/>
  <c r="Q1304" i="9"/>
  <c r="Q1305" i="9"/>
  <c r="Q1306" i="9"/>
  <c r="Q1307" i="9"/>
  <c r="Q1308" i="9"/>
  <c r="Q1309" i="9"/>
  <c r="Q1310" i="9"/>
  <c r="Q1311" i="9"/>
  <c r="Q1312" i="9"/>
  <c r="Q1313" i="9"/>
  <c r="Q1314" i="9"/>
  <c r="Q1315" i="9"/>
  <c r="Q1316" i="9"/>
  <c r="Q1317" i="9"/>
  <c r="Q1318" i="9"/>
  <c r="Q1319" i="9"/>
  <c r="Q1320" i="9"/>
  <c r="Q1321" i="9"/>
  <c r="Q1322" i="9"/>
  <c r="Q1323" i="9"/>
  <c r="Q1324" i="9"/>
  <c r="Q1325" i="9"/>
  <c r="Q1326" i="9"/>
  <c r="Q1327" i="9"/>
  <c r="Q1328" i="9"/>
  <c r="Q1329" i="9"/>
  <c r="Q1330" i="9"/>
  <c r="Q1331" i="9"/>
  <c r="Q1332" i="9"/>
  <c r="Q1333" i="9"/>
  <c r="Q1334" i="9"/>
  <c r="Q1335" i="9"/>
  <c r="Q1336" i="9"/>
  <c r="Q1337" i="9"/>
  <c r="Q1338" i="9"/>
  <c r="Q1339" i="9"/>
  <c r="Q1340" i="9"/>
  <c r="Q1341" i="9"/>
  <c r="Q1342" i="9"/>
  <c r="Q1343" i="9"/>
  <c r="Q1344" i="9"/>
  <c r="Q1345" i="9"/>
  <c r="Q1346" i="9"/>
  <c r="Q1347" i="9"/>
  <c r="Q1348" i="9"/>
  <c r="Q1349" i="9"/>
  <c r="Q1350" i="9"/>
  <c r="Q1351" i="9"/>
  <c r="Q1352" i="9"/>
  <c r="Q1353" i="9"/>
  <c r="Q1354" i="9"/>
  <c r="Q1355" i="9"/>
  <c r="Q1356" i="9"/>
  <c r="Q1357" i="9"/>
  <c r="Q1358" i="9"/>
  <c r="Q1359" i="9"/>
  <c r="Q1360" i="9"/>
  <c r="Q1361" i="9"/>
  <c r="Q1362" i="9"/>
  <c r="Q1363" i="9"/>
  <c r="Q1364" i="9"/>
  <c r="Q1365" i="9"/>
  <c r="Q1366" i="9"/>
  <c r="Q1367" i="9"/>
  <c r="Q1368" i="9"/>
  <c r="Q1369" i="9"/>
  <c r="Q1370" i="9"/>
  <c r="Q1371" i="9"/>
  <c r="Q1372" i="9"/>
  <c r="Q1373" i="9"/>
  <c r="Q1374" i="9"/>
  <c r="Q1375" i="9"/>
  <c r="Q1376" i="9"/>
  <c r="Q1377" i="9"/>
  <c r="Q1378" i="9"/>
  <c r="Q1379" i="9"/>
  <c r="Q1380" i="9"/>
  <c r="Q1381" i="9"/>
  <c r="Q1382" i="9"/>
  <c r="Q1383" i="9"/>
  <c r="Q1384" i="9"/>
  <c r="Q1385" i="9"/>
  <c r="Q1386" i="9"/>
  <c r="Q1387" i="9"/>
  <c r="Q1388" i="9"/>
  <c r="Q1389" i="9"/>
  <c r="Q1390" i="9"/>
  <c r="Q1391" i="9"/>
  <c r="Q1392" i="9"/>
  <c r="Q1393" i="9"/>
  <c r="Q1394" i="9"/>
  <c r="Q1395" i="9"/>
  <c r="Q1396" i="9"/>
  <c r="Q1397" i="9"/>
  <c r="Q1398" i="9"/>
  <c r="Q1399" i="9"/>
  <c r="Q1400" i="9"/>
  <c r="Q1401" i="9"/>
  <c r="Q1402" i="9"/>
  <c r="Q1403" i="9"/>
  <c r="Q1404" i="9"/>
  <c r="Q1405" i="9"/>
  <c r="Q1406" i="9"/>
  <c r="Q1407" i="9"/>
  <c r="Q1408" i="9"/>
  <c r="Q1409" i="9"/>
  <c r="Q1410" i="9"/>
  <c r="Q1411" i="9"/>
  <c r="Q1412" i="9"/>
  <c r="Q1413" i="9"/>
  <c r="Q1414" i="9"/>
  <c r="Q1415" i="9"/>
  <c r="Q1416" i="9"/>
  <c r="Q1417" i="9"/>
  <c r="Q1418" i="9"/>
  <c r="Q1419" i="9"/>
  <c r="Q1420" i="9"/>
  <c r="Q1421" i="9"/>
  <c r="Q1422" i="9"/>
  <c r="Q1423" i="9"/>
  <c r="Q1424" i="9"/>
  <c r="Q1425" i="9"/>
  <c r="Q1426" i="9"/>
  <c r="Q1427" i="9"/>
  <c r="Q1428" i="9"/>
  <c r="Q1429" i="9"/>
  <c r="Q1430" i="9"/>
  <c r="Q1431" i="9"/>
  <c r="Q1432" i="9"/>
  <c r="Q1433" i="9"/>
  <c r="Q1434" i="9"/>
  <c r="Q1435" i="9"/>
  <c r="Q1436" i="9"/>
  <c r="Q1437" i="9"/>
  <c r="Q1438" i="9"/>
  <c r="Q1439" i="9"/>
  <c r="Q1440" i="9"/>
  <c r="Q1441" i="9"/>
  <c r="Q1442" i="9"/>
  <c r="Q1443" i="9"/>
  <c r="Q1444" i="9"/>
  <c r="Q1445" i="9"/>
  <c r="Q1446" i="9"/>
  <c r="Q1447" i="9"/>
  <c r="Q1448" i="9"/>
  <c r="Q1449" i="9"/>
  <c r="Q1450" i="9"/>
  <c r="Q1451" i="9"/>
  <c r="Q1452" i="9"/>
  <c r="Q1453" i="9"/>
  <c r="Q1454" i="9"/>
  <c r="Q1455" i="9"/>
  <c r="Q1456" i="9"/>
  <c r="Q1457" i="9"/>
  <c r="Q1458" i="9"/>
  <c r="Q1459" i="9"/>
  <c r="Q1460" i="9"/>
  <c r="Q1461" i="9"/>
  <c r="Q1462" i="9"/>
  <c r="Q1463" i="9"/>
  <c r="Q1464" i="9"/>
  <c r="Q1465" i="9"/>
  <c r="Q1466" i="9"/>
  <c r="Q1467" i="9"/>
  <c r="Q1468" i="9"/>
  <c r="Q1469" i="9"/>
  <c r="Q1470" i="9"/>
  <c r="Q1471" i="9"/>
  <c r="Q1472" i="9"/>
  <c r="Q1473" i="9"/>
  <c r="Q1474" i="9"/>
  <c r="Q1475" i="9"/>
  <c r="Q1476" i="9"/>
  <c r="Q1477" i="9"/>
  <c r="Q1478" i="9"/>
  <c r="Q1479" i="9"/>
  <c r="Q1480" i="9"/>
  <c r="Q1481" i="9"/>
  <c r="Q1482" i="9"/>
  <c r="Q1483" i="9"/>
  <c r="Q1484" i="9"/>
  <c r="Q1485" i="9"/>
  <c r="Q1486" i="9"/>
  <c r="Q1487" i="9"/>
  <c r="Q1488" i="9"/>
  <c r="Q1489" i="9"/>
  <c r="Q1490" i="9"/>
  <c r="Q1491" i="9"/>
  <c r="Q1492" i="9"/>
  <c r="Q1493" i="9"/>
  <c r="Q1494" i="9"/>
  <c r="Q1495" i="9"/>
  <c r="Q1496" i="9"/>
  <c r="Q1497" i="9"/>
  <c r="Q1498" i="9"/>
  <c r="Q1499" i="9"/>
  <c r="Q1500" i="9"/>
  <c r="Q1501" i="9"/>
  <c r="Q1502" i="9"/>
  <c r="Q1503" i="9"/>
  <c r="Q1504" i="9"/>
  <c r="Q1505" i="9"/>
  <c r="Q1506" i="9"/>
  <c r="Q1507" i="9"/>
  <c r="Q1508" i="9"/>
  <c r="Q1509" i="9"/>
  <c r="Q1510" i="9"/>
  <c r="Q1511" i="9"/>
  <c r="Q1512" i="9"/>
  <c r="Q1513" i="9"/>
  <c r="Q1514" i="9"/>
  <c r="Q1515" i="9"/>
  <c r="Q1516" i="9"/>
  <c r="Q1517" i="9"/>
  <c r="Q1518" i="9"/>
  <c r="Q1519" i="9"/>
  <c r="Q1520" i="9"/>
  <c r="Q1521" i="9"/>
  <c r="Q1522" i="9"/>
  <c r="Q1523" i="9"/>
  <c r="Q1524" i="9"/>
  <c r="Q1525" i="9"/>
  <c r="Q1526" i="9"/>
  <c r="Q1527" i="9"/>
  <c r="Q1528" i="9"/>
  <c r="Q1529" i="9"/>
  <c r="Q1530" i="9"/>
  <c r="Q1531" i="9"/>
  <c r="Q1532" i="9"/>
  <c r="Q1533" i="9"/>
  <c r="Q1534" i="9"/>
  <c r="Q1535" i="9"/>
  <c r="Q1536" i="9"/>
  <c r="Q1537" i="9"/>
  <c r="Q1538" i="9"/>
  <c r="Q1539" i="9"/>
  <c r="Q1540" i="9"/>
  <c r="Q1541" i="9"/>
  <c r="Q1542" i="9"/>
  <c r="Q1543" i="9"/>
  <c r="Q1544" i="9"/>
  <c r="Q1545" i="9"/>
  <c r="Q1546" i="9"/>
  <c r="Q1547" i="9"/>
  <c r="Q1548" i="9"/>
  <c r="Q1549" i="9"/>
  <c r="Q1550" i="9"/>
  <c r="Q1551" i="9"/>
  <c r="Q1552" i="9"/>
  <c r="Q1553" i="9"/>
  <c r="Q1554" i="9"/>
  <c r="Q1555" i="9"/>
  <c r="Q1556" i="9"/>
  <c r="Q1557" i="9"/>
  <c r="Q1558" i="9"/>
  <c r="Q1559" i="9"/>
  <c r="Q1560" i="9"/>
  <c r="Q1561" i="9"/>
  <c r="Q1562" i="9"/>
  <c r="Q1563" i="9"/>
  <c r="Q1564" i="9"/>
  <c r="Q1565" i="9"/>
  <c r="Q1566" i="9"/>
  <c r="Q1567" i="9"/>
  <c r="Q1568" i="9"/>
  <c r="Q1569" i="9"/>
  <c r="Q1570" i="9"/>
  <c r="Q1571" i="9"/>
  <c r="Q1572" i="9"/>
  <c r="Q1573" i="9"/>
  <c r="Q1574" i="9"/>
  <c r="Q1575" i="9"/>
  <c r="Q1576" i="9"/>
  <c r="Q1577" i="9"/>
  <c r="Q1578" i="9"/>
  <c r="Q1579" i="9"/>
  <c r="Q1580" i="9"/>
  <c r="Q1581" i="9"/>
  <c r="Q1582" i="9"/>
  <c r="Q1583" i="9"/>
  <c r="Q1584" i="9"/>
  <c r="Q1585" i="9"/>
  <c r="Q1586" i="9"/>
  <c r="Q1587" i="9"/>
  <c r="Q1588" i="9"/>
  <c r="Q1589" i="9"/>
  <c r="Q1590" i="9"/>
  <c r="Q1591" i="9"/>
  <c r="Q1592" i="9"/>
  <c r="Q1593" i="9"/>
  <c r="Q1594" i="9"/>
  <c r="Q1595" i="9"/>
  <c r="Q1596" i="9"/>
  <c r="Q1597" i="9"/>
  <c r="Q1598" i="9"/>
  <c r="Q1599" i="9"/>
  <c r="Q1600" i="9"/>
  <c r="Q1601" i="9"/>
  <c r="Q1602" i="9"/>
  <c r="Q1603" i="9"/>
  <c r="Q1604" i="9"/>
  <c r="Q1605" i="9"/>
  <c r="Q1606" i="9"/>
  <c r="Q1607" i="9"/>
  <c r="Q1608" i="9"/>
  <c r="Q1609" i="9"/>
  <c r="Q1610" i="9"/>
  <c r="Q1611" i="9"/>
  <c r="Q1612" i="9"/>
  <c r="Q1613" i="9"/>
  <c r="Q1614" i="9"/>
  <c r="Q1615" i="9"/>
  <c r="Q1616" i="9"/>
  <c r="Q1617" i="9"/>
  <c r="Q1618" i="9"/>
  <c r="Q1619" i="9"/>
  <c r="Q1620" i="9"/>
  <c r="Q1621" i="9"/>
  <c r="Q1622" i="9"/>
  <c r="Q1623" i="9"/>
  <c r="Q1624" i="9"/>
  <c r="Q1625" i="9"/>
  <c r="Q1626" i="9"/>
  <c r="Q1627" i="9"/>
  <c r="Q1628" i="9"/>
  <c r="Q1629" i="9"/>
  <c r="Q1630" i="9"/>
  <c r="Q1631" i="9"/>
  <c r="Q1632" i="9"/>
  <c r="Q1633" i="9"/>
  <c r="Q1634" i="9"/>
  <c r="Q1635" i="9"/>
  <c r="Q1636" i="9"/>
  <c r="Q1637" i="9"/>
  <c r="Q1638" i="9"/>
  <c r="Q1639" i="9"/>
  <c r="Q1640" i="9"/>
  <c r="Q1641" i="9"/>
  <c r="Q1642" i="9"/>
  <c r="Q1643" i="9"/>
  <c r="Q1644" i="9"/>
  <c r="Q1645" i="9"/>
  <c r="Q1646" i="9"/>
  <c r="Q1647" i="9"/>
  <c r="Q1648" i="9"/>
  <c r="Q1649" i="9"/>
  <c r="Q1650" i="9"/>
  <c r="Q1651" i="9"/>
  <c r="Q1652" i="9"/>
  <c r="Q1653" i="9"/>
  <c r="Q1654" i="9"/>
  <c r="Q1655" i="9"/>
  <c r="Q1656" i="9"/>
  <c r="Q1657" i="9"/>
  <c r="Q1658" i="9"/>
  <c r="Q1659" i="9"/>
  <c r="Q1660" i="9"/>
  <c r="Q1661" i="9"/>
  <c r="Q1662" i="9"/>
  <c r="Q1663" i="9"/>
  <c r="Q1664" i="9"/>
  <c r="Q1665" i="9"/>
  <c r="Q1666" i="9"/>
  <c r="Q1667" i="9"/>
  <c r="Q1668" i="9"/>
  <c r="Q1669" i="9"/>
  <c r="Q1670" i="9"/>
  <c r="Q1671" i="9"/>
  <c r="Q1672" i="9"/>
  <c r="Q1673" i="9"/>
  <c r="Q1674" i="9"/>
  <c r="Q1675" i="9"/>
  <c r="Q1676" i="9"/>
  <c r="Q1677" i="9"/>
  <c r="Q1678" i="9"/>
  <c r="Q1679" i="9"/>
  <c r="Q1680" i="9"/>
  <c r="Q1681" i="9"/>
  <c r="Q1682" i="9"/>
  <c r="Q1683" i="9"/>
  <c r="Q1684" i="9"/>
  <c r="Q1685" i="9"/>
  <c r="Q1686" i="9"/>
  <c r="Q1687" i="9"/>
  <c r="Q1688" i="9"/>
  <c r="Q1689" i="9"/>
  <c r="Q1690" i="9"/>
  <c r="Q1691" i="9"/>
  <c r="Q1692" i="9"/>
  <c r="Q1693" i="9"/>
  <c r="Q1694" i="9"/>
  <c r="Q1695" i="9"/>
  <c r="Q1696" i="9"/>
  <c r="Q1697" i="9"/>
  <c r="Q1698" i="9"/>
  <c r="Q1699" i="9"/>
  <c r="Q1700" i="9"/>
  <c r="Q1701" i="9"/>
  <c r="Q1702" i="9"/>
  <c r="Q1703" i="9"/>
  <c r="Q1704" i="9"/>
  <c r="Q1705" i="9"/>
  <c r="Q1706" i="9"/>
  <c r="Q1707" i="9"/>
  <c r="Q1708" i="9"/>
  <c r="Q1709" i="9"/>
  <c r="Q1710" i="9"/>
  <c r="Q1711" i="9"/>
  <c r="Q1712" i="9"/>
  <c r="Q1713" i="9"/>
  <c r="Q1714" i="9"/>
  <c r="Q1715" i="9"/>
  <c r="Q1716" i="9"/>
  <c r="Q1717" i="9"/>
  <c r="Q1718" i="9"/>
  <c r="Q1719" i="9"/>
  <c r="Q1720" i="9"/>
  <c r="Q1721" i="9"/>
  <c r="Q1722" i="9"/>
  <c r="Q1723" i="9"/>
  <c r="Q1724" i="9"/>
  <c r="Q1725" i="9"/>
  <c r="Q1726" i="9"/>
  <c r="Q1727" i="9"/>
  <c r="Q1728" i="9"/>
  <c r="Q1729" i="9"/>
  <c r="Q1730" i="9"/>
  <c r="Q1731" i="9"/>
  <c r="Q1732" i="9"/>
  <c r="Q1733" i="9"/>
  <c r="Q1734" i="9"/>
  <c r="Q1735" i="9"/>
  <c r="Q1736" i="9"/>
  <c r="Q1737" i="9"/>
  <c r="Q1738" i="9"/>
  <c r="Q1739" i="9"/>
  <c r="Q1740" i="9"/>
  <c r="Q1741" i="9"/>
  <c r="Q1742" i="9"/>
  <c r="Q1743" i="9"/>
  <c r="Q1744" i="9"/>
  <c r="Q1745" i="9"/>
  <c r="Q1746" i="9"/>
  <c r="Q1747" i="9"/>
  <c r="Q1748" i="9"/>
  <c r="Q1749" i="9"/>
  <c r="Q1750" i="9"/>
  <c r="Q1751" i="9"/>
  <c r="Q1752" i="9"/>
  <c r="Q1753" i="9"/>
  <c r="Q1754" i="9"/>
  <c r="Q1755" i="9"/>
  <c r="Q1756" i="9"/>
  <c r="Q1757" i="9"/>
  <c r="Q1758" i="9"/>
  <c r="Q1759" i="9"/>
  <c r="Q1760" i="9"/>
  <c r="Q1761" i="9"/>
  <c r="Q1762" i="9"/>
  <c r="Q1763" i="9"/>
  <c r="Q1764" i="9"/>
  <c r="Q1765" i="9"/>
  <c r="Q1766" i="9"/>
  <c r="Q1767" i="9"/>
  <c r="Q1768" i="9"/>
  <c r="Q1769" i="9"/>
  <c r="Q1770" i="9"/>
  <c r="Q1771" i="9"/>
  <c r="Q1772" i="9"/>
  <c r="Q1773" i="9"/>
  <c r="Q1774" i="9"/>
  <c r="Q1775" i="9"/>
  <c r="Q1776" i="9"/>
  <c r="Q1777" i="9"/>
  <c r="Q1778" i="9"/>
  <c r="Q1779" i="9"/>
  <c r="Q1780" i="9"/>
  <c r="Q1781" i="9"/>
  <c r="Q1782" i="9"/>
  <c r="Q1783" i="9"/>
  <c r="Q1784" i="9"/>
  <c r="Q1785" i="9"/>
  <c r="Q1786" i="9"/>
  <c r="Q1787" i="9"/>
  <c r="Q1788" i="9"/>
  <c r="Q1789" i="9"/>
  <c r="Q1790" i="9"/>
  <c r="Q1791" i="9"/>
  <c r="Q1792" i="9"/>
  <c r="Q1793" i="9"/>
  <c r="Q1794" i="9"/>
  <c r="Q1795" i="9"/>
  <c r="Q1796" i="9"/>
  <c r="Q1797" i="9"/>
  <c r="Q1798" i="9"/>
  <c r="Q1799" i="9"/>
  <c r="Q1800" i="9"/>
  <c r="Q1801" i="9"/>
  <c r="Q1802" i="9"/>
  <c r="Q1803" i="9"/>
  <c r="Q1804" i="9"/>
  <c r="Q1805" i="9"/>
  <c r="Q1806" i="9"/>
  <c r="Q1807" i="9"/>
  <c r="Q1808" i="9"/>
  <c r="Q1809" i="9"/>
  <c r="Q1810" i="9"/>
  <c r="Q1811" i="9"/>
  <c r="Q1812" i="9"/>
  <c r="Q1813" i="9"/>
  <c r="Q1814" i="9"/>
  <c r="Q1815" i="9"/>
  <c r="Q1816" i="9"/>
  <c r="Q1817" i="9"/>
  <c r="Q1818" i="9"/>
  <c r="Q1819" i="9"/>
  <c r="Q1820" i="9"/>
  <c r="Q1821" i="9"/>
  <c r="Q1822" i="9"/>
  <c r="Q1823" i="9"/>
  <c r="Q1824" i="9"/>
  <c r="Q1825" i="9"/>
  <c r="Q1826" i="9"/>
  <c r="Q1827" i="9"/>
  <c r="Q1828" i="9"/>
  <c r="Q1829" i="9"/>
  <c r="Q1830" i="9"/>
  <c r="Q1831" i="9"/>
  <c r="Q1832" i="9"/>
  <c r="Q1833" i="9"/>
  <c r="Q1834" i="9"/>
  <c r="Q1835" i="9"/>
  <c r="Q1836" i="9"/>
  <c r="Q1837" i="9"/>
  <c r="Q1838" i="9"/>
  <c r="Q1839" i="9"/>
  <c r="Q1840" i="9"/>
  <c r="Q1841" i="9"/>
  <c r="Q1842" i="9"/>
  <c r="Q1843" i="9"/>
  <c r="Q1844" i="9"/>
  <c r="Q1845" i="9"/>
  <c r="Q1846" i="9"/>
  <c r="Q1847" i="9"/>
  <c r="Q1848" i="9"/>
  <c r="Q1849" i="9"/>
  <c r="Q1850" i="9"/>
  <c r="Q1851" i="9"/>
  <c r="Q1852" i="9"/>
  <c r="Q1853" i="9"/>
  <c r="Q1854" i="9"/>
  <c r="Q1855" i="9"/>
  <c r="Q1856" i="9"/>
  <c r="Q1857" i="9"/>
  <c r="Q1858" i="9"/>
  <c r="Q1859" i="9"/>
  <c r="Q1860" i="9"/>
  <c r="Q1861" i="9"/>
  <c r="Q1862" i="9"/>
  <c r="Q1863" i="9"/>
  <c r="Q1864" i="9"/>
  <c r="Q1865" i="9"/>
  <c r="Q1866" i="9"/>
  <c r="Q1867" i="9"/>
  <c r="Q1868" i="9"/>
  <c r="Q1869" i="9"/>
  <c r="Q1870" i="9"/>
  <c r="Q1871" i="9"/>
  <c r="Q1872" i="9"/>
  <c r="Q1873" i="9"/>
  <c r="Q1874" i="9"/>
  <c r="Q1875" i="9"/>
  <c r="Q1876" i="9"/>
  <c r="Q1877" i="9"/>
  <c r="Q1878" i="9"/>
  <c r="Q1879" i="9"/>
  <c r="Q1880" i="9"/>
  <c r="Q1881" i="9"/>
  <c r="Q1882" i="9"/>
  <c r="Q1883" i="9"/>
  <c r="Q1884" i="9"/>
  <c r="Q1885" i="9"/>
  <c r="Q1886" i="9"/>
  <c r="Q1887" i="9"/>
  <c r="Q1888" i="9"/>
  <c r="Q1889" i="9"/>
  <c r="Q1890" i="9"/>
  <c r="Q1891" i="9"/>
  <c r="Q1892" i="9"/>
  <c r="Q1893" i="9"/>
  <c r="Q1894" i="9"/>
  <c r="Q1895" i="9"/>
  <c r="Q1896" i="9"/>
  <c r="Q1897" i="9"/>
  <c r="Q1898" i="9"/>
  <c r="Q1899" i="9"/>
  <c r="Q1900" i="9"/>
  <c r="Q1901" i="9"/>
  <c r="Q1902" i="9"/>
  <c r="Q1903" i="9"/>
  <c r="Q1904" i="9"/>
  <c r="Q1905" i="9"/>
  <c r="Q1906" i="9"/>
  <c r="Q1907" i="9"/>
  <c r="Q1908" i="9"/>
  <c r="Q1909" i="9"/>
  <c r="Q1910" i="9"/>
  <c r="Q1911" i="9"/>
  <c r="Q1912" i="9"/>
  <c r="Q1913" i="9"/>
  <c r="Q1914" i="9"/>
  <c r="Q1915" i="9"/>
  <c r="Q1916" i="9"/>
  <c r="Q1917" i="9"/>
  <c r="Q1918" i="9"/>
  <c r="Q1919" i="9"/>
  <c r="Q1920" i="9"/>
  <c r="Q1921" i="9"/>
  <c r="Q1922" i="9"/>
  <c r="Q1923" i="9"/>
  <c r="Q1924" i="9"/>
  <c r="Q1925" i="9"/>
  <c r="Q1926" i="9"/>
  <c r="Q1927" i="9"/>
  <c r="Q1928" i="9"/>
  <c r="Q1929" i="9"/>
  <c r="Q1930" i="9"/>
  <c r="Q1931" i="9"/>
  <c r="Q1932" i="9"/>
  <c r="Q1933" i="9"/>
  <c r="Q1934" i="9"/>
  <c r="Q1935" i="9"/>
  <c r="Q1936" i="9"/>
  <c r="Q1937" i="9"/>
  <c r="Q1938" i="9"/>
  <c r="Q1939" i="9"/>
  <c r="Q1940" i="9"/>
  <c r="Q1941" i="9"/>
  <c r="Q1942" i="9"/>
  <c r="Q1943" i="9"/>
  <c r="Q1944" i="9"/>
  <c r="Q1945" i="9"/>
  <c r="Q1946" i="9"/>
  <c r="Q1947" i="9"/>
  <c r="Q1948" i="9"/>
  <c r="Q1949" i="9"/>
  <c r="Q1950" i="9"/>
  <c r="Q1951" i="9"/>
  <c r="Q1952" i="9"/>
  <c r="Q1953" i="9"/>
  <c r="Q1954" i="9"/>
  <c r="Q1955" i="9"/>
  <c r="Q1956" i="9"/>
  <c r="Q1957" i="9"/>
  <c r="Q1958" i="9"/>
  <c r="Q1959" i="9"/>
  <c r="Q1960" i="9"/>
  <c r="Q1961" i="9"/>
  <c r="Q1962" i="9"/>
  <c r="Q1963" i="9"/>
  <c r="Q1964" i="9"/>
  <c r="Q1965" i="9"/>
  <c r="Q1966" i="9"/>
  <c r="Q1967" i="9"/>
  <c r="Q1968" i="9"/>
  <c r="Q1969" i="9"/>
  <c r="Q1970" i="9"/>
  <c r="Q1971" i="9"/>
  <c r="Q1972" i="9"/>
  <c r="Q1973" i="9"/>
  <c r="Q1974" i="9"/>
  <c r="Q1975" i="9"/>
  <c r="Q1976" i="9"/>
  <c r="Q1977" i="9"/>
  <c r="Q1978" i="9"/>
  <c r="Q1979" i="9"/>
  <c r="Q1980" i="9"/>
  <c r="Q1981" i="9"/>
  <c r="Q1982" i="9"/>
  <c r="Q1983" i="9"/>
  <c r="Q1984" i="9"/>
  <c r="Q1985" i="9"/>
  <c r="Q1986" i="9"/>
  <c r="Q1987" i="9"/>
  <c r="Q1988" i="9"/>
  <c r="Q1989" i="9"/>
  <c r="Q1990" i="9"/>
  <c r="Q1991" i="9"/>
  <c r="Q1992" i="9"/>
  <c r="Q1993" i="9"/>
  <c r="Q1994" i="9"/>
  <c r="Q1995" i="9"/>
  <c r="Q1996" i="9"/>
  <c r="Q1997" i="9"/>
  <c r="Q1998" i="9"/>
  <c r="Q1999" i="9"/>
  <c r="Q2000" i="9"/>
  <c r="Q2001" i="9"/>
  <c r="Q2002" i="9"/>
  <c r="Q2003" i="9"/>
  <c r="Q2004" i="9"/>
  <c r="Q2005" i="9"/>
  <c r="Q2006" i="9"/>
  <c r="Q2007" i="9"/>
  <c r="Q2008" i="9"/>
  <c r="Q2009" i="9"/>
  <c r="Q2010" i="9"/>
  <c r="Q2011" i="9"/>
  <c r="Q2012" i="9"/>
  <c r="Q2013" i="9"/>
  <c r="Q2014" i="9"/>
  <c r="Q2015" i="9"/>
  <c r="Q2016" i="9"/>
  <c r="Q2017" i="9"/>
  <c r="Q2018" i="9"/>
  <c r="Q2019" i="9"/>
  <c r="Q2020" i="9"/>
  <c r="Q2021" i="9"/>
  <c r="Q2022" i="9"/>
  <c r="Q2023" i="9"/>
  <c r="Q2024" i="9"/>
  <c r="Q2025" i="9"/>
  <c r="Q2026" i="9"/>
  <c r="Q2027" i="9"/>
  <c r="Q2028" i="9"/>
  <c r="Q2029" i="9"/>
  <c r="Q2030" i="9"/>
  <c r="Q2031" i="9"/>
  <c r="Q2032" i="9"/>
  <c r="Q2033" i="9"/>
  <c r="Q2034" i="9"/>
  <c r="Q2035" i="9"/>
  <c r="Q2036" i="9"/>
  <c r="Q2037" i="9"/>
  <c r="Q2038" i="9"/>
  <c r="Q2039" i="9"/>
  <c r="Q2040" i="9"/>
  <c r="Q2041" i="9"/>
  <c r="Q2042" i="9"/>
  <c r="Q2043" i="9"/>
  <c r="Q2044" i="9"/>
  <c r="Q2045" i="9"/>
  <c r="Q2046" i="9"/>
  <c r="Q2047" i="9"/>
  <c r="Q2048" i="9"/>
  <c r="Q2049" i="9"/>
  <c r="Q2050" i="9"/>
  <c r="Q2051" i="9"/>
  <c r="Q2052" i="9"/>
  <c r="Q2053" i="9"/>
  <c r="Q2054" i="9"/>
  <c r="Q2055" i="9"/>
  <c r="Q2056" i="9"/>
  <c r="Q2057" i="9"/>
  <c r="Q2058" i="9"/>
  <c r="Q2059" i="9"/>
  <c r="Q2060" i="9"/>
  <c r="Q2061" i="9"/>
  <c r="Q2062" i="9"/>
  <c r="Q2063" i="9"/>
  <c r="Q2064" i="9"/>
  <c r="Q2065" i="9"/>
  <c r="Q2066" i="9"/>
  <c r="Q2067" i="9"/>
  <c r="Q2068" i="9"/>
  <c r="Q2069" i="9"/>
  <c r="Q2070" i="9"/>
  <c r="Q2071" i="9"/>
  <c r="Q2072" i="9"/>
  <c r="Q2073" i="9"/>
  <c r="Q2074" i="9"/>
  <c r="Q2075" i="9"/>
  <c r="Q2076" i="9"/>
  <c r="Q2077" i="9"/>
  <c r="Q2078" i="9"/>
  <c r="Q2079" i="9"/>
  <c r="Q2080" i="9"/>
  <c r="Q2081" i="9"/>
  <c r="Q2082" i="9"/>
  <c r="Q2083" i="9"/>
  <c r="Q2084" i="9"/>
  <c r="Q2085" i="9"/>
  <c r="Q2086" i="9"/>
  <c r="Q2087" i="9"/>
  <c r="Q2088" i="9"/>
  <c r="Q2089" i="9"/>
  <c r="Q2090" i="9"/>
  <c r="Q2091" i="9"/>
  <c r="Q2092" i="9"/>
  <c r="Q2093" i="9"/>
  <c r="Q2094" i="9"/>
  <c r="Q2095" i="9"/>
  <c r="Q2096" i="9"/>
  <c r="Q2097" i="9"/>
  <c r="Q2098" i="9"/>
  <c r="Q2099" i="9"/>
  <c r="Q2100" i="9"/>
  <c r="Q2101" i="9"/>
  <c r="Q2102" i="9"/>
  <c r="Q2103" i="9"/>
  <c r="Q2104" i="9"/>
  <c r="Q2105" i="9"/>
  <c r="Q2106" i="9"/>
  <c r="Q2107" i="9"/>
  <c r="Q2108" i="9"/>
  <c r="Q2109" i="9"/>
  <c r="Q2110" i="9"/>
  <c r="Q2111" i="9"/>
  <c r="Q2112" i="9"/>
  <c r="Q2113" i="9"/>
  <c r="Q2114" i="9"/>
  <c r="Q2115" i="9"/>
  <c r="Q2116" i="9"/>
  <c r="Q2117" i="9"/>
  <c r="Q2118" i="9"/>
  <c r="Q2119" i="9"/>
  <c r="Q2120" i="9"/>
  <c r="Q2121" i="9"/>
  <c r="Q2122" i="9"/>
  <c r="Q2123" i="9"/>
  <c r="Q2124" i="9"/>
  <c r="Q2125" i="9"/>
  <c r="Q2126" i="9"/>
  <c r="Q2127" i="9"/>
  <c r="Q2128" i="9"/>
  <c r="Q2129" i="9"/>
  <c r="Q2130" i="9"/>
  <c r="Q2131" i="9"/>
  <c r="Q2132" i="9"/>
  <c r="Q2133" i="9"/>
  <c r="Q2134" i="9"/>
  <c r="Q2135" i="9"/>
  <c r="Q2136" i="9"/>
  <c r="Q2137" i="9"/>
  <c r="Q2138" i="9"/>
  <c r="Q2139" i="9"/>
  <c r="Q2140" i="9"/>
  <c r="Q2141" i="9"/>
  <c r="Q2142" i="9"/>
  <c r="Q2143" i="9"/>
  <c r="Q2144" i="9"/>
  <c r="Q2145" i="9"/>
  <c r="Q2146" i="9"/>
  <c r="Q2147" i="9"/>
  <c r="Q2148" i="9"/>
  <c r="Q2149" i="9"/>
  <c r="Q2150" i="9"/>
  <c r="Q2151" i="9"/>
  <c r="Q2152" i="9"/>
  <c r="Q2153" i="9"/>
  <c r="Q2154" i="9"/>
  <c r="Q2155" i="9"/>
  <c r="Q2156" i="9"/>
  <c r="Q2157" i="9"/>
  <c r="Q2158" i="9"/>
  <c r="Q2159" i="9"/>
  <c r="Q2160" i="9"/>
  <c r="Q2161" i="9"/>
  <c r="Q2162" i="9"/>
  <c r="Q2163" i="9"/>
  <c r="Q2164" i="9"/>
  <c r="Q2165" i="9"/>
  <c r="Q2166" i="9"/>
  <c r="Q2167" i="9"/>
  <c r="Q2168" i="9"/>
  <c r="Q2169" i="9"/>
  <c r="Q2170" i="9"/>
  <c r="Q2171" i="9"/>
  <c r="Q2172" i="9"/>
  <c r="Q2173" i="9"/>
  <c r="Q2174" i="9"/>
  <c r="Q2175" i="9"/>
  <c r="Q2176" i="9"/>
  <c r="Q2177" i="9"/>
  <c r="Q2178" i="9"/>
  <c r="Q2179" i="9"/>
  <c r="Q2180" i="9"/>
  <c r="Q2181" i="9"/>
  <c r="Q2182" i="9"/>
  <c r="Q2183" i="9"/>
  <c r="Q2184" i="9"/>
  <c r="Q2185" i="9"/>
  <c r="Q2186" i="9"/>
  <c r="Q2187" i="9"/>
  <c r="Q2188" i="9"/>
  <c r="Q2189" i="9"/>
  <c r="Q2190" i="9"/>
  <c r="Q2191" i="9"/>
  <c r="Q2192" i="9"/>
  <c r="Q2193" i="9"/>
  <c r="Q2194" i="9"/>
  <c r="Q2195" i="9"/>
  <c r="Q2196" i="9"/>
  <c r="Q2197" i="9"/>
  <c r="Q2198" i="9"/>
  <c r="Q2199" i="9"/>
  <c r="Q2200" i="9"/>
  <c r="Q2201" i="9"/>
  <c r="Q2202" i="9"/>
  <c r="Q2203" i="9"/>
  <c r="Q2204" i="9"/>
  <c r="Q2205" i="9"/>
  <c r="Q2206" i="9"/>
  <c r="Q2207" i="9"/>
  <c r="Q2208" i="9"/>
  <c r="Q2209" i="9"/>
  <c r="Q2210" i="9"/>
  <c r="Q2211" i="9"/>
  <c r="Q2212" i="9"/>
  <c r="Q2213" i="9"/>
  <c r="Q2214" i="9"/>
  <c r="Q2215" i="9"/>
  <c r="Q2216" i="9"/>
  <c r="Q2217" i="9"/>
  <c r="Q2218" i="9"/>
  <c r="Q2219" i="9"/>
  <c r="Q2220" i="9"/>
  <c r="Q2221" i="9"/>
  <c r="Q2222" i="9"/>
  <c r="Q2223" i="9"/>
  <c r="Q2224" i="9"/>
  <c r="Q2225" i="9"/>
  <c r="Q2226" i="9"/>
  <c r="Q2227" i="9"/>
  <c r="Q2228" i="9"/>
  <c r="Q2229" i="9"/>
  <c r="Q2230" i="9"/>
  <c r="Q2231" i="9"/>
  <c r="Q2232" i="9"/>
  <c r="Q2233" i="9"/>
  <c r="Q2234" i="9"/>
  <c r="Q2235" i="9"/>
  <c r="Q2236" i="9"/>
  <c r="Q2237" i="9"/>
  <c r="Q2238" i="9"/>
  <c r="Q2239" i="9"/>
  <c r="Q2240" i="9"/>
  <c r="Q2241" i="9"/>
  <c r="Q2242" i="9"/>
  <c r="Q2243" i="9"/>
  <c r="Q2244" i="9"/>
  <c r="Q2245" i="9"/>
  <c r="Q2246" i="9"/>
  <c r="Q2247" i="9"/>
  <c r="Q2248" i="9"/>
  <c r="Q2249" i="9"/>
  <c r="Q2250" i="9"/>
  <c r="Q2251" i="9"/>
  <c r="Q2252" i="9"/>
  <c r="Q2253" i="9"/>
  <c r="Q2254" i="9"/>
  <c r="Q2255" i="9"/>
  <c r="Q2256" i="9"/>
  <c r="Q2257" i="9"/>
  <c r="Q2258" i="9"/>
  <c r="Q2259" i="9"/>
  <c r="Q2260" i="9"/>
  <c r="Q2261" i="9"/>
  <c r="Q2262" i="9"/>
  <c r="Q2263" i="9"/>
  <c r="Q2264" i="9"/>
  <c r="Q2265" i="9"/>
  <c r="Q2266" i="9"/>
  <c r="Q2267" i="9"/>
  <c r="Q2268" i="9"/>
  <c r="Q2269" i="9"/>
  <c r="Q2270" i="9"/>
  <c r="Q2271" i="9"/>
  <c r="Q2272" i="9"/>
  <c r="Q2273" i="9"/>
  <c r="Q2274" i="9"/>
  <c r="Q2275" i="9"/>
  <c r="Q2276" i="9"/>
  <c r="Q2277" i="9"/>
  <c r="Q2278" i="9"/>
  <c r="Q2279" i="9"/>
  <c r="Q2280" i="9"/>
  <c r="Q2281" i="9"/>
  <c r="Q2282" i="9"/>
  <c r="Q2283" i="9"/>
  <c r="Q2284" i="9"/>
  <c r="Q2285" i="9"/>
  <c r="Q2286" i="9"/>
  <c r="Q2287" i="9"/>
  <c r="Q2288" i="9"/>
  <c r="Q2289" i="9"/>
  <c r="Q2290" i="9"/>
  <c r="Q2291" i="9"/>
  <c r="Q2292" i="9"/>
  <c r="Q2293" i="9"/>
  <c r="Q2294" i="9"/>
  <c r="Q2295" i="9"/>
  <c r="Q2296" i="9"/>
  <c r="Q2297" i="9"/>
  <c r="Q2298" i="9"/>
  <c r="Q2299" i="9"/>
  <c r="Q2300" i="9"/>
  <c r="Q2301" i="9"/>
  <c r="Q2302" i="9"/>
  <c r="Q2303" i="9"/>
  <c r="Q2304" i="9"/>
  <c r="Q2305" i="9"/>
  <c r="Q2306" i="9"/>
  <c r="Q2307" i="9"/>
  <c r="Q2308" i="9"/>
  <c r="Q2309" i="9"/>
  <c r="Q2310" i="9"/>
  <c r="Q2311" i="9"/>
  <c r="Q2312" i="9"/>
  <c r="Q2313" i="9"/>
  <c r="Q2314" i="9"/>
  <c r="Q2315" i="9"/>
  <c r="Q2316" i="9"/>
  <c r="Q2317" i="9"/>
  <c r="Q2318" i="9"/>
  <c r="Q2319" i="9"/>
  <c r="Q2320" i="9"/>
  <c r="Q2321" i="9"/>
  <c r="Q2322" i="9"/>
  <c r="Q2323" i="9"/>
  <c r="Q2324" i="9"/>
  <c r="Q2325" i="9"/>
  <c r="Q2326" i="9"/>
  <c r="Q2327" i="9"/>
  <c r="Q2328" i="9"/>
  <c r="Q2329" i="9"/>
  <c r="Q2330" i="9"/>
  <c r="Q2331" i="9"/>
  <c r="Q2332" i="9"/>
  <c r="Q2333" i="9"/>
  <c r="Q2334" i="9"/>
  <c r="Q2335" i="9"/>
  <c r="Q2336" i="9"/>
  <c r="Q2337" i="9"/>
  <c r="Q2338" i="9"/>
  <c r="Q2339" i="9"/>
  <c r="Q2340" i="9"/>
  <c r="Q2341" i="9"/>
  <c r="Q2342" i="9"/>
  <c r="Q2343" i="9"/>
  <c r="Q2344" i="9"/>
  <c r="Q2345" i="9"/>
  <c r="Q2346" i="9"/>
  <c r="Q2347" i="9"/>
  <c r="Q2348" i="9"/>
  <c r="Q2349" i="9"/>
  <c r="Q2350" i="9"/>
  <c r="Q2351" i="9"/>
  <c r="Q2352" i="9"/>
  <c r="Q2353" i="9"/>
  <c r="Q2354" i="9"/>
  <c r="Q2355" i="9"/>
  <c r="Q2356" i="9"/>
  <c r="Q2357" i="9"/>
  <c r="Q2358" i="9"/>
  <c r="Q2359" i="9"/>
  <c r="Q2360" i="9"/>
  <c r="Q2361" i="9"/>
  <c r="Q2362" i="9"/>
  <c r="Q2363" i="9"/>
  <c r="Q2364" i="9"/>
  <c r="Q2365" i="9"/>
  <c r="Q2366" i="9"/>
  <c r="Q2367" i="9"/>
  <c r="Q2368" i="9"/>
  <c r="Q2369" i="9"/>
  <c r="Q2370" i="9"/>
  <c r="Q2371" i="9"/>
  <c r="Q2372" i="9"/>
  <c r="Q2373" i="9"/>
  <c r="Q2374" i="9"/>
  <c r="Q2375" i="9"/>
  <c r="Q2376" i="9"/>
  <c r="Q2377" i="9"/>
  <c r="Q2378" i="9"/>
  <c r="Q2379" i="9"/>
  <c r="Q2380" i="9"/>
  <c r="Q2381" i="9"/>
  <c r="Q2382" i="9"/>
  <c r="Q2383" i="9"/>
  <c r="Q2384" i="9"/>
  <c r="Q2385" i="9"/>
  <c r="Q2386" i="9"/>
  <c r="Q2387" i="9"/>
  <c r="Q2388" i="9"/>
  <c r="Q2389" i="9"/>
  <c r="Q2390" i="9"/>
  <c r="Q2391" i="9"/>
  <c r="Q2392" i="9"/>
  <c r="Q2393" i="9"/>
  <c r="Q2394" i="9"/>
  <c r="Q2395" i="9"/>
  <c r="Q2396" i="9"/>
  <c r="Q2397" i="9"/>
  <c r="Q2398" i="9"/>
  <c r="Q2399" i="9"/>
  <c r="Q2400" i="9"/>
  <c r="Q2401" i="9"/>
  <c r="Q2402" i="9"/>
  <c r="Q2403" i="9"/>
  <c r="Q2404" i="9"/>
  <c r="Q2405" i="9"/>
  <c r="Q2406" i="9"/>
  <c r="Q2407" i="9"/>
  <c r="Q2408" i="9"/>
  <c r="Q2409" i="9"/>
  <c r="Q2410" i="9"/>
  <c r="Q2411" i="9"/>
  <c r="Q2412" i="9"/>
  <c r="Q2413" i="9"/>
  <c r="Q2414" i="9"/>
  <c r="Q2415" i="9"/>
  <c r="Q2416" i="9"/>
  <c r="Q2417" i="9"/>
  <c r="Q2418" i="9"/>
  <c r="Q2419" i="9"/>
  <c r="Q2420" i="9"/>
  <c r="Q2421" i="9"/>
  <c r="Q2422" i="9"/>
  <c r="Q2423" i="9"/>
  <c r="Q2424" i="9"/>
  <c r="Q2425" i="9"/>
  <c r="Q2426" i="9"/>
  <c r="Q2427" i="9"/>
  <c r="Q2428" i="9"/>
  <c r="Q2429" i="9"/>
  <c r="Q2430" i="9"/>
  <c r="Q2431" i="9"/>
  <c r="Q2432" i="9"/>
  <c r="Q2433" i="9"/>
  <c r="Q2434" i="9"/>
  <c r="Q2435" i="9"/>
  <c r="Q2436" i="9"/>
  <c r="Q2437" i="9"/>
  <c r="Q2438" i="9"/>
  <c r="Q2439" i="9"/>
  <c r="Q2440" i="9"/>
  <c r="Q2441" i="9"/>
  <c r="Q2442" i="9"/>
  <c r="Q2443" i="9"/>
  <c r="Q2444" i="9"/>
  <c r="Q2445" i="9"/>
  <c r="Q2446" i="9"/>
  <c r="Q2447" i="9"/>
  <c r="Q2448" i="9"/>
  <c r="Q2449" i="9"/>
  <c r="Q2450" i="9"/>
  <c r="Q2451" i="9"/>
  <c r="Q2452" i="9"/>
  <c r="Q2453" i="9"/>
  <c r="Q2454" i="9"/>
  <c r="Q2455" i="9"/>
  <c r="Q2456" i="9"/>
  <c r="Q2457" i="9"/>
  <c r="Q2458" i="9"/>
  <c r="Q2459" i="9"/>
  <c r="Q2460" i="9"/>
  <c r="Q2461" i="9"/>
  <c r="Q2462" i="9"/>
  <c r="Q2463" i="9"/>
  <c r="Q2464" i="9"/>
  <c r="Q2465" i="9"/>
  <c r="Q2466" i="9"/>
  <c r="Q2467" i="9"/>
  <c r="Q2468" i="9"/>
  <c r="Q2469" i="9"/>
  <c r="Q2470" i="9"/>
  <c r="Q2471" i="9"/>
  <c r="Q2472" i="9"/>
  <c r="Q2473" i="9"/>
  <c r="Q2474" i="9"/>
  <c r="Q2475" i="9"/>
  <c r="Q2476" i="9"/>
  <c r="Q2477" i="9"/>
  <c r="Q2478" i="9"/>
  <c r="Q2479" i="9"/>
  <c r="Q2480" i="9"/>
  <c r="Q2481" i="9"/>
  <c r="Q2482" i="9"/>
  <c r="Q2483" i="9"/>
  <c r="Q2484" i="9"/>
  <c r="Q2485" i="9"/>
  <c r="Q2486" i="9"/>
  <c r="Q2487" i="9"/>
  <c r="Q2488" i="9"/>
  <c r="Q2489" i="9"/>
  <c r="Q2490" i="9"/>
  <c r="Q2491" i="9"/>
  <c r="Q2492" i="9"/>
  <c r="Q2493" i="9"/>
  <c r="Q2494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89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6" i="9"/>
  <c r="B5" i="9"/>
  <c r="B2" i="9"/>
  <c r="A37" i="1"/>
  <c r="B2412" i="9"/>
  <c r="B2329" i="9"/>
  <c r="B2246" i="9"/>
  <c r="B2163" i="9"/>
  <c r="B2080" i="9"/>
  <c r="B1997" i="9"/>
  <c r="B1914" i="9"/>
  <c r="B1831" i="9"/>
  <c r="B1748" i="9"/>
  <c r="B1665" i="9"/>
  <c r="B1582" i="9"/>
  <c r="B1499" i="9"/>
  <c r="B1416" i="9"/>
  <c r="B1333" i="9"/>
  <c r="B1250" i="9"/>
  <c r="B1167" i="9"/>
  <c r="B1084" i="9"/>
  <c r="B1001" i="9"/>
  <c r="B918" i="9"/>
  <c r="B835" i="9"/>
  <c r="B752" i="9"/>
  <c r="B669" i="9"/>
  <c r="B586" i="9"/>
  <c r="B503" i="9"/>
  <c r="B420" i="9"/>
  <c r="B337" i="9"/>
  <c r="B254" i="9"/>
  <c r="B171" i="9"/>
  <c r="B88" i="9"/>
  <c r="D54" i="1"/>
  <c r="C54" i="1"/>
  <c r="D53" i="1"/>
  <c r="C53" i="1"/>
  <c r="C40" i="1"/>
  <c r="D42" i="1"/>
  <c r="C42" i="1"/>
  <c r="D50" i="1"/>
  <c r="C50" i="1"/>
  <c r="D43" i="1"/>
  <c r="C43" i="1"/>
  <c r="D46" i="1"/>
  <c r="C46" i="1"/>
  <c r="D47" i="1"/>
  <c r="C47" i="1"/>
  <c r="D51" i="1"/>
  <c r="C51" i="1"/>
  <c r="D44" i="1"/>
  <c r="C44" i="1"/>
  <c r="D48" i="1"/>
  <c r="C48" i="1"/>
  <c r="D52" i="1"/>
  <c r="C52" i="1"/>
  <c r="D41" i="1"/>
  <c r="C41" i="1"/>
  <c r="D45" i="1"/>
  <c r="C45" i="1"/>
  <c r="D49" i="1"/>
  <c r="C49" i="1"/>
  <c r="Q26" i="10"/>
  <c r="Q623" i="10"/>
  <c r="Q565" i="10"/>
  <c r="Q541" i="10"/>
  <c r="Q519" i="10"/>
  <c r="Q480" i="10"/>
  <c r="Q451" i="10"/>
  <c r="Q433" i="10"/>
  <c r="Q414" i="10"/>
  <c r="Q393" i="10"/>
  <c r="Q353" i="10"/>
  <c r="Q333" i="10"/>
  <c r="Q313" i="10"/>
  <c r="Q292" i="10"/>
  <c r="Q269" i="10"/>
  <c r="Q249" i="10"/>
  <c r="Q228" i="10"/>
  <c r="Q210" i="10"/>
  <c r="Q187" i="10"/>
  <c r="Q167" i="10"/>
  <c r="Q148" i="10"/>
  <c r="Q128" i="10"/>
  <c r="Q108" i="10"/>
  <c r="Q89" i="10"/>
  <c r="Q47" i="10"/>
  <c r="H36" i="1"/>
  <c r="I1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N475" i="9"/>
  <c r="N476" i="9"/>
  <c r="N477" i="9"/>
  <c r="N478" i="9"/>
  <c r="N479" i="9"/>
  <c r="N480" i="9"/>
  <c r="N481" i="9"/>
  <c r="N482" i="9"/>
  <c r="N483" i="9"/>
  <c r="N484" i="9"/>
  <c r="N485" i="9"/>
  <c r="N486" i="9"/>
  <c r="N487" i="9"/>
  <c r="N488" i="9"/>
  <c r="N489" i="9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4" i="9"/>
  <c r="N505" i="9"/>
  <c r="N506" i="9"/>
  <c r="N507" i="9"/>
  <c r="N508" i="9"/>
  <c r="N509" i="9"/>
  <c r="N510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7" i="9"/>
  <c r="N588" i="9"/>
  <c r="N589" i="9"/>
  <c r="N590" i="9"/>
  <c r="N591" i="9"/>
  <c r="N592" i="9"/>
  <c r="N593" i="9"/>
  <c r="N594" i="9"/>
  <c r="N595" i="9"/>
  <c r="N596" i="9"/>
  <c r="N597" i="9"/>
  <c r="N598" i="9"/>
  <c r="N599" i="9"/>
  <c r="N600" i="9"/>
  <c r="N601" i="9"/>
  <c r="N602" i="9"/>
  <c r="N603" i="9"/>
  <c r="N604" i="9"/>
  <c r="N605" i="9"/>
  <c r="N606" i="9"/>
  <c r="N607" i="9"/>
  <c r="N608" i="9"/>
  <c r="N609" i="9"/>
  <c r="N610" i="9"/>
  <c r="N611" i="9"/>
  <c r="N612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2" i="9"/>
  <c r="N703" i="9"/>
  <c r="N704" i="9"/>
  <c r="N705" i="9"/>
  <c r="N706" i="9"/>
  <c r="N707" i="9"/>
  <c r="N708" i="9"/>
  <c r="N709" i="9"/>
  <c r="N710" i="9"/>
  <c r="N711" i="9"/>
  <c r="N712" i="9"/>
  <c r="N713" i="9"/>
  <c r="N714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04" i="9"/>
  <c r="N805" i="9"/>
  <c r="N806" i="9"/>
  <c r="N807" i="9"/>
  <c r="N808" i="9"/>
  <c r="N809" i="9"/>
  <c r="N810" i="9"/>
  <c r="N811" i="9"/>
  <c r="N812" i="9"/>
  <c r="N813" i="9"/>
  <c r="N814" i="9"/>
  <c r="N815" i="9"/>
  <c r="N816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07" i="9"/>
  <c r="N908" i="9"/>
  <c r="N909" i="9"/>
  <c r="N910" i="9"/>
  <c r="N911" i="9"/>
  <c r="N912" i="9"/>
  <c r="N913" i="9"/>
  <c r="N914" i="9"/>
  <c r="N915" i="9"/>
  <c r="N916" i="9"/>
  <c r="N917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5" i="9"/>
  <c r="N1086" i="9"/>
  <c r="N1087" i="9"/>
  <c r="N1088" i="9"/>
  <c r="N1089" i="9"/>
  <c r="N1090" i="9"/>
  <c r="N1091" i="9"/>
  <c r="N1092" i="9"/>
  <c r="N1093" i="9"/>
  <c r="N1094" i="9"/>
  <c r="N1095" i="9"/>
  <c r="N1096" i="9"/>
  <c r="N1097" i="9"/>
  <c r="N1098" i="9"/>
  <c r="N1099" i="9"/>
  <c r="N1100" i="9"/>
  <c r="N1101" i="9"/>
  <c r="N1102" i="9"/>
  <c r="N1103" i="9"/>
  <c r="N1104" i="9"/>
  <c r="N1105" i="9"/>
  <c r="N1106" i="9"/>
  <c r="N1107" i="9"/>
  <c r="N1108" i="9"/>
  <c r="N1109" i="9"/>
  <c r="N1110" i="9"/>
  <c r="N1111" i="9"/>
  <c r="N1112" i="9"/>
  <c r="N1113" i="9"/>
  <c r="N1114" i="9"/>
  <c r="N1115" i="9"/>
  <c r="N1116" i="9"/>
  <c r="N1117" i="9"/>
  <c r="N1118" i="9"/>
  <c r="N1119" i="9"/>
  <c r="N1120" i="9"/>
  <c r="N1121" i="9"/>
  <c r="N1122" i="9"/>
  <c r="N1123" i="9"/>
  <c r="N1124" i="9"/>
  <c r="N1125" i="9"/>
  <c r="N1126" i="9"/>
  <c r="N1127" i="9"/>
  <c r="N1128" i="9"/>
  <c r="N1129" i="9"/>
  <c r="N1130" i="9"/>
  <c r="N1131" i="9"/>
  <c r="N1132" i="9"/>
  <c r="N1133" i="9"/>
  <c r="N1134" i="9"/>
  <c r="N1135" i="9"/>
  <c r="N1136" i="9"/>
  <c r="N1137" i="9"/>
  <c r="N1138" i="9"/>
  <c r="N1139" i="9"/>
  <c r="N1140" i="9"/>
  <c r="N1141" i="9"/>
  <c r="N1142" i="9"/>
  <c r="N1143" i="9"/>
  <c r="N1144" i="9"/>
  <c r="N1145" i="9"/>
  <c r="N1146" i="9"/>
  <c r="N1147" i="9"/>
  <c r="N1148" i="9"/>
  <c r="N1149" i="9"/>
  <c r="N1150" i="9"/>
  <c r="N1151" i="9"/>
  <c r="N1152" i="9"/>
  <c r="N1153" i="9"/>
  <c r="N1154" i="9"/>
  <c r="N1155" i="9"/>
  <c r="N1156" i="9"/>
  <c r="N1157" i="9"/>
  <c r="N1158" i="9"/>
  <c r="N1159" i="9"/>
  <c r="N1160" i="9"/>
  <c r="N1161" i="9"/>
  <c r="N1162" i="9"/>
  <c r="N1163" i="9"/>
  <c r="N1164" i="9"/>
  <c r="N1165" i="9"/>
  <c r="N1166" i="9"/>
  <c r="N1168" i="9"/>
  <c r="N1169" i="9"/>
  <c r="N1170" i="9"/>
  <c r="N1171" i="9"/>
  <c r="N1172" i="9"/>
  <c r="N1173" i="9"/>
  <c r="N1174" i="9"/>
  <c r="N1175" i="9"/>
  <c r="N1176" i="9"/>
  <c r="N1177" i="9"/>
  <c r="N1178" i="9"/>
  <c r="N1179" i="9"/>
  <c r="N1180" i="9"/>
  <c r="N1181" i="9"/>
  <c r="N1182" i="9"/>
  <c r="N1183" i="9"/>
  <c r="N1184" i="9"/>
  <c r="N1185" i="9"/>
  <c r="N1186" i="9"/>
  <c r="N1187" i="9"/>
  <c r="N1188" i="9"/>
  <c r="N1189" i="9"/>
  <c r="N1190" i="9"/>
  <c r="N1191" i="9"/>
  <c r="N1192" i="9"/>
  <c r="N1193" i="9"/>
  <c r="N1194" i="9"/>
  <c r="N1195" i="9"/>
  <c r="N1196" i="9"/>
  <c r="N1197" i="9"/>
  <c r="N1198" i="9"/>
  <c r="N1199" i="9"/>
  <c r="N1200" i="9"/>
  <c r="N1201" i="9"/>
  <c r="N1202" i="9"/>
  <c r="N1203" i="9"/>
  <c r="N1204" i="9"/>
  <c r="N1205" i="9"/>
  <c r="N1206" i="9"/>
  <c r="N1207" i="9"/>
  <c r="N1208" i="9"/>
  <c r="N1209" i="9"/>
  <c r="N1210" i="9"/>
  <c r="N1211" i="9"/>
  <c r="N1212" i="9"/>
  <c r="N1213" i="9"/>
  <c r="N1214" i="9"/>
  <c r="N1215" i="9"/>
  <c r="N1216" i="9"/>
  <c r="N1217" i="9"/>
  <c r="N1218" i="9"/>
  <c r="N1219" i="9"/>
  <c r="N1220" i="9"/>
  <c r="N1221" i="9"/>
  <c r="N1222" i="9"/>
  <c r="N1223" i="9"/>
  <c r="N1224" i="9"/>
  <c r="N1225" i="9"/>
  <c r="N1226" i="9"/>
  <c r="N1227" i="9"/>
  <c r="N1228" i="9"/>
  <c r="N1229" i="9"/>
  <c r="N1230" i="9"/>
  <c r="N1231" i="9"/>
  <c r="N1232" i="9"/>
  <c r="N1233" i="9"/>
  <c r="N1234" i="9"/>
  <c r="N1235" i="9"/>
  <c r="N1236" i="9"/>
  <c r="N1237" i="9"/>
  <c r="N1238" i="9"/>
  <c r="N1239" i="9"/>
  <c r="N1240" i="9"/>
  <c r="N1241" i="9"/>
  <c r="N1242" i="9"/>
  <c r="N1243" i="9"/>
  <c r="N1244" i="9"/>
  <c r="N1245" i="9"/>
  <c r="N1246" i="9"/>
  <c r="N1247" i="9"/>
  <c r="N1248" i="9"/>
  <c r="N1249" i="9"/>
  <c r="N1251" i="9"/>
  <c r="N1252" i="9"/>
  <c r="N1253" i="9"/>
  <c r="N1254" i="9"/>
  <c r="N1255" i="9"/>
  <c r="N1256" i="9"/>
  <c r="N1257" i="9"/>
  <c r="N1258" i="9"/>
  <c r="N1259" i="9"/>
  <c r="N1260" i="9"/>
  <c r="N1261" i="9"/>
  <c r="N1262" i="9"/>
  <c r="N1263" i="9"/>
  <c r="N1264" i="9"/>
  <c r="N1265" i="9"/>
  <c r="N1266" i="9"/>
  <c r="N1267" i="9"/>
  <c r="N1268" i="9"/>
  <c r="N1269" i="9"/>
  <c r="N1270" i="9"/>
  <c r="N1271" i="9"/>
  <c r="N1272" i="9"/>
  <c r="N1273" i="9"/>
  <c r="N1274" i="9"/>
  <c r="N1275" i="9"/>
  <c r="N1276" i="9"/>
  <c r="N1277" i="9"/>
  <c r="N1278" i="9"/>
  <c r="N1279" i="9"/>
  <c r="N1280" i="9"/>
  <c r="N1281" i="9"/>
  <c r="N1282" i="9"/>
  <c r="N1283" i="9"/>
  <c r="N1284" i="9"/>
  <c r="N1285" i="9"/>
  <c r="N1286" i="9"/>
  <c r="N1287" i="9"/>
  <c r="N1288" i="9"/>
  <c r="N1289" i="9"/>
  <c r="N1290" i="9"/>
  <c r="N1291" i="9"/>
  <c r="N1292" i="9"/>
  <c r="N1293" i="9"/>
  <c r="N1294" i="9"/>
  <c r="N1295" i="9"/>
  <c r="N1296" i="9"/>
  <c r="N1297" i="9"/>
  <c r="N1298" i="9"/>
  <c r="N1299" i="9"/>
  <c r="N1300" i="9"/>
  <c r="N1301" i="9"/>
  <c r="N1302" i="9"/>
  <c r="N1303" i="9"/>
  <c r="N1304" i="9"/>
  <c r="N1305" i="9"/>
  <c r="N1306" i="9"/>
  <c r="N1307" i="9"/>
  <c r="N1308" i="9"/>
  <c r="N1309" i="9"/>
  <c r="N1310" i="9"/>
  <c r="N1311" i="9"/>
  <c r="N1312" i="9"/>
  <c r="N1313" i="9"/>
  <c r="N1314" i="9"/>
  <c r="N1315" i="9"/>
  <c r="N1316" i="9"/>
  <c r="N1317" i="9"/>
  <c r="N1318" i="9"/>
  <c r="N1319" i="9"/>
  <c r="N1320" i="9"/>
  <c r="N1321" i="9"/>
  <c r="N1322" i="9"/>
  <c r="N1323" i="9"/>
  <c r="N1324" i="9"/>
  <c r="N1325" i="9"/>
  <c r="N1326" i="9"/>
  <c r="N1327" i="9"/>
  <c r="N1328" i="9"/>
  <c r="N1329" i="9"/>
  <c r="N1330" i="9"/>
  <c r="N1331" i="9"/>
  <c r="N1332" i="9"/>
  <c r="N1334" i="9"/>
  <c r="N1335" i="9"/>
  <c r="N1336" i="9"/>
  <c r="N1337" i="9"/>
  <c r="N1338" i="9"/>
  <c r="N1339" i="9"/>
  <c r="N1340" i="9"/>
  <c r="N1341" i="9"/>
  <c r="N1342" i="9"/>
  <c r="N1343" i="9"/>
  <c r="N1344" i="9"/>
  <c r="N1345" i="9"/>
  <c r="N1346" i="9"/>
  <c r="N1347" i="9"/>
  <c r="N1348" i="9"/>
  <c r="N1349" i="9"/>
  <c r="N1350" i="9"/>
  <c r="N1351" i="9"/>
  <c r="N1352" i="9"/>
  <c r="N1353" i="9"/>
  <c r="N1354" i="9"/>
  <c r="N1355" i="9"/>
  <c r="N1356" i="9"/>
  <c r="N1357" i="9"/>
  <c r="N1358" i="9"/>
  <c r="N1359" i="9"/>
  <c r="N1360" i="9"/>
  <c r="N1361" i="9"/>
  <c r="N1362" i="9"/>
  <c r="N1363" i="9"/>
  <c r="N1364" i="9"/>
  <c r="N1365" i="9"/>
  <c r="N1366" i="9"/>
  <c r="N1367" i="9"/>
  <c r="N1368" i="9"/>
  <c r="N1369" i="9"/>
  <c r="N1370" i="9"/>
  <c r="N1371" i="9"/>
  <c r="N1372" i="9"/>
  <c r="N1373" i="9"/>
  <c r="N1374" i="9"/>
  <c r="N1375" i="9"/>
  <c r="N1376" i="9"/>
  <c r="N1377" i="9"/>
  <c r="N1378" i="9"/>
  <c r="N1379" i="9"/>
  <c r="N1380" i="9"/>
  <c r="N1381" i="9"/>
  <c r="N1382" i="9"/>
  <c r="N1383" i="9"/>
  <c r="N1384" i="9"/>
  <c r="N1385" i="9"/>
  <c r="N1386" i="9"/>
  <c r="N1387" i="9"/>
  <c r="N1388" i="9"/>
  <c r="N1389" i="9"/>
  <c r="N1390" i="9"/>
  <c r="N1391" i="9"/>
  <c r="N1392" i="9"/>
  <c r="N1393" i="9"/>
  <c r="N1394" i="9"/>
  <c r="N1395" i="9"/>
  <c r="N1396" i="9"/>
  <c r="N1397" i="9"/>
  <c r="N1398" i="9"/>
  <c r="N1399" i="9"/>
  <c r="N1400" i="9"/>
  <c r="N1401" i="9"/>
  <c r="N1402" i="9"/>
  <c r="N1403" i="9"/>
  <c r="N1404" i="9"/>
  <c r="N1405" i="9"/>
  <c r="N1406" i="9"/>
  <c r="N1407" i="9"/>
  <c r="N1408" i="9"/>
  <c r="N1409" i="9"/>
  <c r="N1410" i="9"/>
  <c r="N1411" i="9"/>
  <c r="N1412" i="9"/>
  <c r="N1413" i="9"/>
  <c r="N1414" i="9"/>
  <c r="N1415" i="9"/>
  <c r="N1417" i="9"/>
  <c r="N1418" i="9"/>
  <c r="N1419" i="9"/>
  <c r="N1420" i="9"/>
  <c r="N1421" i="9"/>
  <c r="N1422" i="9"/>
  <c r="N1423" i="9"/>
  <c r="N1424" i="9"/>
  <c r="N1425" i="9"/>
  <c r="N1426" i="9"/>
  <c r="N1427" i="9"/>
  <c r="N1428" i="9"/>
  <c r="N1429" i="9"/>
  <c r="N1430" i="9"/>
  <c r="N1431" i="9"/>
  <c r="N1432" i="9"/>
  <c r="N1433" i="9"/>
  <c r="N1434" i="9"/>
  <c r="N1435" i="9"/>
  <c r="N1436" i="9"/>
  <c r="N1437" i="9"/>
  <c r="N1438" i="9"/>
  <c r="N1439" i="9"/>
  <c r="N1440" i="9"/>
  <c r="N1441" i="9"/>
  <c r="N1442" i="9"/>
  <c r="N1443" i="9"/>
  <c r="N1444" i="9"/>
  <c r="N1445" i="9"/>
  <c r="N1446" i="9"/>
  <c r="N1447" i="9"/>
  <c r="N1448" i="9"/>
  <c r="N1449" i="9"/>
  <c r="N1450" i="9"/>
  <c r="N1451" i="9"/>
  <c r="N1452" i="9"/>
  <c r="N1453" i="9"/>
  <c r="N1454" i="9"/>
  <c r="N1455" i="9"/>
  <c r="N1456" i="9"/>
  <c r="N1457" i="9"/>
  <c r="N1458" i="9"/>
  <c r="N1459" i="9"/>
  <c r="N1460" i="9"/>
  <c r="N1461" i="9"/>
  <c r="N1462" i="9"/>
  <c r="N1463" i="9"/>
  <c r="N1464" i="9"/>
  <c r="N1465" i="9"/>
  <c r="N1466" i="9"/>
  <c r="N1467" i="9"/>
  <c r="N1468" i="9"/>
  <c r="N1469" i="9"/>
  <c r="N1470" i="9"/>
  <c r="N1471" i="9"/>
  <c r="N1472" i="9"/>
  <c r="N1473" i="9"/>
  <c r="N1474" i="9"/>
  <c r="N1475" i="9"/>
  <c r="N1476" i="9"/>
  <c r="N1477" i="9"/>
  <c r="N1478" i="9"/>
  <c r="N1479" i="9"/>
  <c r="N1480" i="9"/>
  <c r="N1481" i="9"/>
  <c r="N1482" i="9"/>
  <c r="N1483" i="9"/>
  <c r="N1484" i="9"/>
  <c r="N1485" i="9"/>
  <c r="N1486" i="9"/>
  <c r="N1487" i="9"/>
  <c r="N1488" i="9"/>
  <c r="N1489" i="9"/>
  <c r="N1490" i="9"/>
  <c r="N1491" i="9"/>
  <c r="N1492" i="9"/>
  <c r="N1493" i="9"/>
  <c r="N1494" i="9"/>
  <c r="N1495" i="9"/>
  <c r="N1496" i="9"/>
  <c r="N1497" i="9"/>
  <c r="N1498" i="9"/>
  <c r="N1500" i="9"/>
  <c r="N1501" i="9"/>
  <c r="N1502" i="9"/>
  <c r="N1503" i="9"/>
  <c r="N1504" i="9"/>
  <c r="N1505" i="9"/>
  <c r="N1506" i="9"/>
  <c r="N1507" i="9"/>
  <c r="N1508" i="9"/>
  <c r="N1509" i="9"/>
  <c r="N1510" i="9"/>
  <c r="N1511" i="9"/>
  <c r="N1512" i="9"/>
  <c r="N1513" i="9"/>
  <c r="N1514" i="9"/>
  <c r="N1515" i="9"/>
  <c r="N1516" i="9"/>
  <c r="N1517" i="9"/>
  <c r="N1518" i="9"/>
  <c r="N1519" i="9"/>
  <c r="N1520" i="9"/>
  <c r="N1521" i="9"/>
  <c r="N1522" i="9"/>
  <c r="N1523" i="9"/>
  <c r="N1524" i="9"/>
  <c r="N1525" i="9"/>
  <c r="N1526" i="9"/>
  <c r="N1527" i="9"/>
  <c r="N1528" i="9"/>
  <c r="N1529" i="9"/>
  <c r="N1530" i="9"/>
  <c r="N1531" i="9"/>
  <c r="N1532" i="9"/>
  <c r="N1533" i="9"/>
  <c r="N1534" i="9"/>
  <c r="N1535" i="9"/>
  <c r="N1536" i="9"/>
  <c r="N1537" i="9"/>
  <c r="N1538" i="9"/>
  <c r="N1539" i="9"/>
  <c r="N1540" i="9"/>
  <c r="N1541" i="9"/>
  <c r="N1542" i="9"/>
  <c r="N1543" i="9"/>
  <c r="N1544" i="9"/>
  <c r="N1545" i="9"/>
  <c r="N1546" i="9"/>
  <c r="N1547" i="9"/>
  <c r="N1548" i="9"/>
  <c r="N1549" i="9"/>
  <c r="N1550" i="9"/>
  <c r="N1551" i="9"/>
  <c r="N1552" i="9"/>
  <c r="N1553" i="9"/>
  <c r="N1554" i="9"/>
  <c r="N1555" i="9"/>
  <c r="N1556" i="9"/>
  <c r="N1557" i="9"/>
  <c r="N1558" i="9"/>
  <c r="N1559" i="9"/>
  <c r="N1560" i="9"/>
  <c r="N1561" i="9"/>
  <c r="N1562" i="9"/>
  <c r="N1563" i="9"/>
  <c r="N1564" i="9"/>
  <c r="N1565" i="9"/>
  <c r="N1566" i="9"/>
  <c r="N1567" i="9"/>
  <c r="N1568" i="9"/>
  <c r="N1569" i="9"/>
  <c r="N1570" i="9"/>
  <c r="N1571" i="9"/>
  <c r="N1572" i="9"/>
  <c r="N1573" i="9"/>
  <c r="N1574" i="9"/>
  <c r="N1575" i="9"/>
  <c r="N1576" i="9"/>
  <c r="N1577" i="9"/>
  <c r="N1578" i="9"/>
  <c r="N1579" i="9"/>
  <c r="N1580" i="9"/>
  <c r="N1581" i="9"/>
  <c r="N1583" i="9"/>
  <c r="N1584" i="9"/>
  <c r="N1585" i="9"/>
  <c r="N1586" i="9"/>
  <c r="N1587" i="9"/>
  <c r="N1588" i="9"/>
  <c r="N1589" i="9"/>
  <c r="N1590" i="9"/>
  <c r="N1591" i="9"/>
  <c r="N1592" i="9"/>
  <c r="N1593" i="9"/>
  <c r="N1594" i="9"/>
  <c r="N1595" i="9"/>
  <c r="N1596" i="9"/>
  <c r="N1597" i="9"/>
  <c r="N1598" i="9"/>
  <c r="N1599" i="9"/>
  <c r="N1600" i="9"/>
  <c r="N1601" i="9"/>
  <c r="N1602" i="9"/>
  <c r="N1603" i="9"/>
  <c r="N1604" i="9"/>
  <c r="N1605" i="9"/>
  <c r="N1606" i="9"/>
  <c r="N1607" i="9"/>
  <c r="N1608" i="9"/>
  <c r="N1609" i="9"/>
  <c r="N1610" i="9"/>
  <c r="N1611" i="9"/>
  <c r="N1612" i="9"/>
  <c r="N1613" i="9"/>
  <c r="N1614" i="9"/>
  <c r="N1615" i="9"/>
  <c r="N1616" i="9"/>
  <c r="N1617" i="9"/>
  <c r="N1618" i="9"/>
  <c r="N1619" i="9"/>
  <c r="N1620" i="9"/>
  <c r="N1621" i="9"/>
  <c r="N1622" i="9"/>
  <c r="N1623" i="9"/>
  <c r="N1624" i="9"/>
  <c r="N1625" i="9"/>
  <c r="N1626" i="9"/>
  <c r="N1627" i="9"/>
  <c r="N1628" i="9"/>
  <c r="N1629" i="9"/>
  <c r="N1630" i="9"/>
  <c r="N1631" i="9"/>
  <c r="N1632" i="9"/>
  <c r="N1633" i="9"/>
  <c r="N1634" i="9"/>
  <c r="N1635" i="9"/>
  <c r="N1636" i="9"/>
  <c r="N1637" i="9"/>
  <c r="N1638" i="9"/>
  <c r="N1639" i="9"/>
  <c r="N1640" i="9"/>
  <c r="N1641" i="9"/>
  <c r="N1642" i="9"/>
  <c r="N1643" i="9"/>
  <c r="N1644" i="9"/>
  <c r="N1645" i="9"/>
  <c r="N1646" i="9"/>
  <c r="N1647" i="9"/>
  <c r="N1648" i="9"/>
  <c r="N1649" i="9"/>
  <c r="N1650" i="9"/>
  <c r="N1651" i="9"/>
  <c r="N1652" i="9"/>
  <c r="N1653" i="9"/>
  <c r="N1654" i="9"/>
  <c r="N1655" i="9"/>
  <c r="N1656" i="9"/>
  <c r="N1657" i="9"/>
  <c r="N1658" i="9"/>
  <c r="N1659" i="9"/>
  <c r="N1660" i="9"/>
  <c r="N1661" i="9"/>
  <c r="N1662" i="9"/>
  <c r="N1663" i="9"/>
  <c r="N1664" i="9"/>
  <c r="N1666" i="9"/>
  <c r="N1667" i="9"/>
  <c r="N1668" i="9"/>
  <c r="N1669" i="9"/>
  <c r="N1670" i="9"/>
  <c r="N1671" i="9"/>
  <c r="N1672" i="9"/>
  <c r="N1673" i="9"/>
  <c r="N1674" i="9"/>
  <c r="N1675" i="9"/>
  <c r="N1676" i="9"/>
  <c r="N1677" i="9"/>
  <c r="N1678" i="9"/>
  <c r="N1679" i="9"/>
  <c r="N1680" i="9"/>
  <c r="N1681" i="9"/>
  <c r="N1682" i="9"/>
  <c r="N1683" i="9"/>
  <c r="N1684" i="9"/>
  <c r="N1685" i="9"/>
  <c r="N1686" i="9"/>
  <c r="N1687" i="9"/>
  <c r="N1688" i="9"/>
  <c r="N1689" i="9"/>
  <c r="N1690" i="9"/>
  <c r="N1691" i="9"/>
  <c r="N1692" i="9"/>
  <c r="N1693" i="9"/>
  <c r="N1694" i="9"/>
  <c r="N1695" i="9"/>
  <c r="N1696" i="9"/>
  <c r="N1697" i="9"/>
  <c r="N1698" i="9"/>
  <c r="N1699" i="9"/>
  <c r="N1700" i="9"/>
  <c r="N1701" i="9"/>
  <c r="N1702" i="9"/>
  <c r="N1703" i="9"/>
  <c r="N1704" i="9"/>
  <c r="N1705" i="9"/>
  <c r="N1706" i="9"/>
  <c r="N1707" i="9"/>
  <c r="N1708" i="9"/>
  <c r="N1709" i="9"/>
  <c r="N1710" i="9"/>
  <c r="N1711" i="9"/>
  <c r="N1712" i="9"/>
  <c r="N1713" i="9"/>
  <c r="N1714" i="9"/>
  <c r="N1715" i="9"/>
  <c r="N1716" i="9"/>
  <c r="N1717" i="9"/>
  <c r="N1718" i="9"/>
  <c r="N1719" i="9"/>
  <c r="N1720" i="9"/>
  <c r="N1721" i="9"/>
  <c r="N1722" i="9"/>
  <c r="N1723" i="9"/>
  <c r="N1724" i="9"/>
  <c r="N1725" i="9"/>
  <c r="N1726" i="9"/>
  <c r="N1727" i="9"/>
  <c r="N1728" i="9"/>
  <c r="N1729" i="9"/>
  <c r="N1730" i="9"/>
  <c r="N1731" i="9"/>
  <c r="N1732" i="9"/>
  <c r="N1733" i="9"/>
  <c r="N1734" i="9"/>
  <c r="N1735" i="9"/>
  <c r="N1736" i="9"/>
  <c r="N1737" i="9"/>
  <c r="N1738" i="9"/>
  <c r="N1739" i="9"/>
  <c r="N1740" i="9"/>
  <c r="N1741" i="9"/>
  <c r="N1742" i="9"/>
  <c r="N1743" i="9"/>
  <c r="N1744" i="9"/>
  <c r="N1745" i="9"/>
  <c r="N1746" i="9"/>
  <c r="N1747" i="9"/>
  <c r="N1749" i="9"/>
  <c r="N1750" i="9"/>
  <c r="N1751" i="9"/>
  <c r="N1752" i="9"/>
  <c r="N1753" i="9"/>
  <c r="N1754" i="9"/>
  <c r="N1755" i="9"/>
  <c r="N1756" i="9"/>
  <c r="N1757" i="9"/>
  <c r="N1758" i="9"/>
  <c r="N1759" i="9"/>
  <c r="N1760" i="9"/>
  <c r="N1761" i="9"/>
  <c r="N1762" i="9"/>
  <c r="N1763" i="9"/>
  <c r="N1764" i="9"/>
  <c r="N1765" i="9"/>
  <c r="N1766" i="9"/>
  <c r="N1767" i="9"/>
  <c r="N1768" i="9"/>
  <c r="N1769" i="9"/>
  <c r="N1770" i="9"/>
  <c r="N1771" i="9"/>
  <c r="N1772" i="9"/>
  <c r="N1773" i="9"/>
  <c r="N1774" i="9"/>
  <c r="N1775" i="9"/>
  <c r="N1776" i="9"/>
  <c r="N1777" i="9"/>
  <c r="N1778" i="9"/>
  <c r="N1779" i="9"/>
  <c r="N1780" i="9"/>
  <c r="N1781" i="9"/>
  <c r="N1782" i="9"/>
  <c r="N1783" i="9"/>
  <c r="N1784" i="9"/>
  <c r="N1785" i="9"/>
  <c r="N1786" i="9"/>
  <c r="N1787" i="9"/>
  <c r="N1788" i="9"/>
  <c r="N1789" i="9"/>
  <c r="N1790" i="9"/>
  <c r="N1791" i="9"/>
  <c r="N1792" i="9"/>
  <c r="N1793" i="9"/>
  <c r="N1794" i="9"/>
  <c r="N1795" i="9"/>
  <c r="N1796" i="9"/>
  <c r="N1797" i="9"/>
  <c r="N1798" i="9"/>
  <c r="N1799" i="9"/>
  <c r="N1800" i="9"/>
  <c r="N1801" i="9"/>
  <c r="N1802" i="9"/>
  <c r="N1803" i="9"/>
  <c r="N1804" i="9"/>
  <c r="N1805" i="9"/>
  <c r="N1806" i="9"/>
  <c r="N1807" i="9"/>
  <c r="N1808" i="9"/>
  <c r="N1809" i="9"/>
  <c r="N1810" i="9"/>
  <c r="N1811" i="9"/>
  <c r="N1812" i="9"/>
  <c r="N1813" i="9"/>
  <c r="N1814" i="9"/>
  <c r="N1815" i="9"/>
  <c r="N1816" i="9"/>
  <c r="N1817" i="9"/>
  <c r="N1818" i="9"/>
  <c r="N1819" i="9"/>
  <c r="N1820" i="9"/>
  <c r="N1821" i="9"/>
  <c r="N1822" i="9"/>
  <c r="N1823" i="9"/>
  <c r="N1824" i="9"/>
  <c r="N1825" i="9"/>
  <c r="N1826" i="9"/>
  <c r="N1827" i="9"/>
  <c r="N1828" i="9"/>
  <c r="N1829" i="9"/>
  <c r="N1830" i="9"/>
  <c r="N1832" i="9"/>
  <c r="N1833" i="9"/>
  <c r="N1834" i="9"/>
  <c r="N1835" i="9"/>
  <c r="N1836" i="9"/>
  <c r="N1837" i="9"/>
  <c r="N1838" i="9"/>
  <c r="N1839" i="9"/>
  <c r="N1840" i="9"/>
  <c r="N1841" i="9"/>
  <c r="N1842" i="9"/>
  <c r="N1843" i="9"/>
  <c r="N1844" i="9"/>
  <c r="N1845" i="9"/>
  <c r="N1846" i="9"/>
  <c r="N1847" i="9"/>
  <c r="N1848" i="9"/>
  <c r="N1849" i="9"/>
  <c r="N1850" i="9"/>
  <c r="N1851" i="9"/>
  <c r="N1852" i="9"/>
  <c r="N1853" i="9"/>
  <c r="N1854" i="9"/>
  <c r="N1855" i="9"/>
  <c r="N1856" i="9"/>
  <c r="N1857" i="9"/>
  <c r="N1858" i="9"/>
  <c r="N1859" i="9"/>
  <c r="N1860" i="9"/>
  <c r="N1861" i="9"/>
  <c r="N1862" i="9"/>
  <c r="N1863" i="9"/>
  <c r="N1864" i="9"/>
  <c r="N1865" i="9"/>
  <c r="N1866" i="9"/>
  <c r="N1867" i="9"/>
  <c r="N1868" i="9"/>
  <c r="N1869" i="9"/>
  <c r="N1870" i="9"/>
  <c r="N1871" i="9"/>
  <c r="N1872" i="9"/>
  <c r="N1873" i="9"/>
  <c r="N1874" i="9"/>
  <c r="N1875" i="9"/>
  <c r="N1876" i="9"/>
  <c r="N1877" i="9"/>
  <c r="N1878" i="9"/>
  <c r="N1879" i="9"/>
  <c r="N1880" i="9"/>
  <c r="N1881" i="9"/>
  <c r="N1882" i="9"/>
  <c r="N1883" i="9"/>
  <c r="N1884" i="9"/>
  <c r="N1885" i="9"/>
  <c r="N1886" i="9"/>
  <c r="N1887" i="9"/>
  <c r="N1888" i="9"/>
  <c r="N1889" i="9"/>
  <c r="N1890" i="9"/>
  <c r="N1891" i="9"/>
  <c r="N1892" i="9"/>
  <c r="N1893" i="9"/>
  <c r="N1894" i="9"/>
  <c r="N1895" i="9"/>
  <c r="N1896" i="9"/>
  <c r="N1897" i="9"/>
  <c r="N1898" i="9"/>
  <c r="N1899" i="9"/>
  <c r="N1900" i="9"/>
  <c r="N1901" i="9"/>
  <c r="N1902" i="9"/>
  <c r="N1903" i="9"/>
  <c r="N1904" i="9"/>
  <c r="N1905" i="9"/>
  <c r="N1906" i="9"/>
  <c r="N1907" i="9"/>
  <c r="N1908" i="9"/>
  <c r="N1909" i="9"/>
  <c r="N1910" i="9"/>
  <c r="N1911" i="9"/>
  <c r="N1912" i="9"/>
  <c r="N1913" i="9"/>
  <c r="N1915" i="9"/>
  <c r="N1916" i="9"/>
  <c r="N1917" i="9"/>
  <c r="N1918" i="9"/>
  <c r="N1919" i="9"/>
  <c r="N1920" i="9"/>
  <c r="N1921" i="9"/>
  <c r="N1922" i="9"/>
  <c r="N1923" i="9"/>
  <c r="N1924" i="9"/>
  <c r="N1925" i="9"/>
  <c r="N1926" i="9"/>
  <c r="N1927" i="9"/>
  <c r="N1928" i="9"/>
  <c r="N1929" i="9"/>
  <c r="N1930" i="9"/>
  <c r="N1931" i="9"/>
  <c r="N1932" i="9"/>
  <c r="N1933" i="9"/>
  <c r="N1934" i="9"/>
  <c r="N1935" i="9"/>
  <c r="N1936" i="9"/>
  <c r="N1937" i="9"/>
  <c r="N1938" i="9"/>
  <c r="N1939" i="9"/>
  <c r="N1940" i="9"/>
  <c r="N1941" i="9"/>
  <c r="N1942" i="9"/>
  <c r="N1943" i="9"/>
  <c r="N1944" i="9"/>
  <c r="N1945" i="9"/>
  <c r="N1946" i="9"/>
  <c r="N1947" i="9"/>
  <c r="N1948" i="9"/>
  <c r="N1949" i="9"/>
  <c r="N1950" i="9"/>
  <c r="N1951" i="9"/>
  <c r="N1952" i="9"/>
  <c r="N1953" i="9"/>
  <c r="N1954" i="9"/>
  <c r="N1955" i="9"/>
  <c r="N1956" i="9"/>
  <c r="N1957" i="9"/>
  <c r="N1958" i="9"/>
  <c r="N1959" i="9"/>
  <c r="N1960" i="9"/>
  <c r="N1961" i="9"/>
  <c r="N1962" i="9"/>
  <c r="N1963" i="9"/>
  <c r="N1964" i="9"/>
  <c r="N1965" i="9"/>
  <c r="N1966" i="9"/>
  <c r="N1967" i="9"/>
  <c r="N1968" i="9"/>
  <c r="N1969" i="9"/>
  <c r="N1970" i="9"/>
  <c r="N1971" i="9"/>
  <c r="N1972" i="9"/>
  <c r="N1973" i="9"/>
  <c r="N1974" i="9"/>
  <c r="N1975" i="9"/>
  <c r="N1976" i="9"/>
  <c r="N1977" i="9"/>
  <c r="N1978" i="9"/>
  <c r="N1979" i="9"/>
  <c r="N1980" i="9"/>
  <c r="N1981" i="9"/>
  <c r="N1982" i="9"/>
  <c r="N1983" i="9"/>
  <c r="N1984" i="9"/>
  <c r="N1985" i="9"/>
  <c r="N1986" i="9"/>
  <c r="N1987" i="9"/>
  <c r="N1988" i="9"/>
  <c r="N1989" i="9"/>
  <c r="N1990" i="9"/>
  <c r="N1991" i="9"/>
  <c r="N1992" i="9"/>
  <c r="N1993" i="9"/>
  <c r="N1994" i="9"/>
  <c r="N1995" i="9"/>
  <c r="N1996" i="9"/>
  <c r="N1998" i="9"/>
  <c r="N1999" i="9"/>
  <c r="N2000" i="9"/>
  <c r="N2001" i="9"/>
  <c r="N2002" i="9"/>
  <c r="N2003" i="9"/>
  <c r="N2004" i="9"/>
  <c r="N2005" i="9"/>
  <c r="N2006" i="9"/>
  <c r="N2007" i="9"/>
  <c r="N2008" i="9"/>
  <c r="N2009" i="9"/>
  <c r="N2010" i="9"/>
  <c r="N2011" i="9"/>
  <c r="N2012" i="9"/>
  <c r="N2013" i="9"/>
  <c r="N2014" i="9"/>
  <c r="N2015" i="9"/>
  <c r="N2016" i="9"/>
  <c r="N2017" i="9"/>
  <c r="N2018" i="9"/>
  <c r="N2019" i="9"/>
  <c r="N2020" i="9"/>
  <c r="N2021" i="9"/>
  <c r="N2022" i="9"/>
  <c r="N2023" i="9"/>
  <c r="N2024" i="9"/>
  <c r="N2025" i="9"/>
  <c r="N2026" i="9"/>
  <c r="N2027" i="9"/>
  <c r="N2028" i="9"/>
  <c r="N2029" i="9"/>
  <c r="N2030" i="9"/>
  <c r="N2031" i="9"/>
  <c r="N2032" i="9"/>
  <c r="N2033" i="9"/>
  <c r="N2034" i="9"/>
  <c r="N2035" i="9"/>
  <c r="N2036" i="9"/>
  <c r="N2037" i="9"/>
  <c r="N2038" i="9"/>
  <c r="N2039" i="9"/>
  <c r="N2040" i="9"/>
  <c r="N2041" i="9"/>
  <c r="N2042" i="9"/>
  <c r="N2043" i="9"/>
  <c r="N2044" i="9"/>
  <c r="N2045" i="9"/>
  <c r="N2046" i="9"/>
  <c r="N2047" i="9"/>
  <c r="N2048" i="9"/>
  <c r="N2049" i="9"/>
  <c r="N2050" i="9"/>
  <c r="N2051" i="9"/>
  <c r="N2052" i="9"/>
  <c r="N2053" i="9"/>
  <c r="N2054" i="9"/>
  <c r="N2055" i="9"/>
  <c r="N2056" i="9"/>
  <c r="N2057" i="9"/>
  <c r="N2058" i="9"/>
  <c r="N2059" i="9"/>
  <c r="N2060" i="9"/>
  <c r="N2061" i="9"/>
  <c r="N2062" i="9"/>
  <c r="N2063" i="9"/>
  <c r="N2064" i="9"/>
  <c r="N2065" i="9"/>
  <c r="N2066" i="9"/>
  <c r="N2067" i="9"/>
  <c r="N2068" i="9"/>
  <c r="N2069" i="9"/>
  <c r="N2070" i="9"/>
  <c r="N2071" i="9"/>
  <c r="N2072" i="9"/>
  <c r="N2073" i="9"/>
  <c r="N2074" i="9"/>
  <c r="N2075" i="9"/>
  <c r="N2076" i="9"/>
  <c r="N2077" i="9"/>
  <c r="N2078" i="9"/>
  <c r="N2079" i="9"/>
  <c r="N2081" i="9"/>
  <c r="N2082" i="9"/>
  <c r="N2083" i="9"/>
  <c r="N2084" i="9"/>
  <c r="N2085" i="9"/>
  <c r="N2086" i="9"/>
  <c r="N2087" i="9"/>
  <c r="N2088" i="9"/>
  <c r="N2089" i="9"/>
  <c r="N2090" i="9"/>
  <c r="N2091" i="9"/>
  <c r="N2092" i="9"/>
  <c r="N2093" i="9"/>
  <c r="N2094" i="9"/>
  <c r="N2095" i="9"/>
  <c r="N2096" i="9"/>
  <c r="N2097" i="9"/>
  <c r="N2098" i="9"/>
  <c r="N2099" i="9"/>
  <c r="N2100" i="9"/>
  <c r="N2101" i="9"/>
  <c r="N2102" i="9"/>
  <c r="N2103" i="9"/>
  <c r="N2104" i="9"/>
  <c r="N2105" i="9"/>
  <c r="N2106" i="9"/>
  <c r="N2107" i="9"/>
  <c r="N2108" i="9"/>
  <c r="N2109" i="9"/>
  <c r="N2110" i="9"/>
  <c r="N2111" i="9"/>
  <c r="N2112" i="9"/>
  <c r="N2113" i="9"/>
  <c r="N2114" i="9"/>
  <c r="N2115" i="9"/>
  <c r="N2116" i="9"/>
  <c r="N2117" i="9"/>
  <c r="N2118" i="9"/>
  <c r="N2119" i="9"/>
  <c r="N2120" i="9"/>
  <c r="N2121" i="9"/>
  <c r="N2122" i="9"/>
  <c r="N2123" i="9"/>
  <c r="N2124" i="9"/>
  <c r="N2125" i="9"/>
  <c r="N2126" i="9"/>
  <c r="N2127" i="9"/>
  <c r="N2128" i="9"/>
  <c r="N2129" i="9"/>
  <c r="N2130" i="9"/>
  <c r="N2131" i="9"/>
  <c r="N2132" i="9"/>
  <c r="N2133" i="9"/>
  <c r="N2134" i="9"/>
  <c r="N2135" i="9"/>
  <c r="N2136" i="9"/>
  <c r="N2137" i="9"/>
  <c r="N2138" i="9"/>
  <c r="N2139" i="9"/>
  <c r="N2140" i="9"/>
  <c r="N2141" i="9"/>
  <c r="N2142" i="9"/>
  <c r="N2143" i="9"/>
  <c r="N2144" i="9"/>
  <c r="N2145" i="9"/>
  <c r="N2146" i="9"/>
  <c r="N2147" i="9"/>
  <c r="N2148" i="9"/>
  <c r="N2149" i="9"/>
  <c r="N2150" i="9"/>
  <c r="N2151" i="9"/>
  <c r="N2152" i="9"/>
  <c r="N2153" i="9"/>
  <c r="N2154" i="9"/>
  <c r="N2155" i="9"/>
  <c r="N2156" i="9"/>
  <c r="N2157" i="9"/>
  <c r="N2158" i="9"/>
  <c r="N2159" i="9"/>
  <c r="N2160" i="9"/>
  <c r="N2161" i="9"/>
  <c r="N2162" i="9"/>
  <c r="N2164" i="9"/>
  <c r="N2165" i="9"/>
  <c r="N2166" i="9"/>
  <c r="N2167" i="9"/>
  <c r="N2168" i="9"/>
  <c r="N2169" i="9"/>
  <c r="N2170" i="9"/>
  <c r="N2171" i="9"/>
  <c r="N2172" i="9"/>
  <c r="N2173" i="9"/>
  <c r="N2174" i="9"/>
  <c r="N2175" i="9"/>
  <c r="N2176" i="9"/>
  <c r="N2177" i="9"/>
  <c r="N2178" i="9"/>
  <c r="N2179" i="9"/>
  <c r="N2180" i="9"/>
  <c r="N2181" i="9"/>
  <c r="N2182" i="9"/>
  <c r="N2183" i="9"/>
  <c r="N2184" i="9"/>
  <c r="N2185" i="9"/>
  <c r="N2186" i="9"/>
  <c r="N2187" i="9"/>
  <c r="N2188" i="9"/>
  <c r="N2189" i="9"/>
  <c r="N2190" i="9"/>
  <c r="N2191" i="9"/>
  <c r="N2192" i="9"/>
  <c r="N2193" i="9"/>
  <c r="N2194" i="9"/>
  <c r="N2195" i="9"/>
  <c r="N2196" i="9"/>
  <c r="N2197" i="9"/>
  <c r="N2198" i="9"/>
  <c r="N2199" i="9"/>
  <c r="N2200" i="9"/>
  <c r="N2201" i="9"/>
  <c r="N2202" i="9"/>
  <c r="N2203" i="9"/>
  <c r="N2204" i="9"/>
  <c r="N2205" i="9"/>
  <c r="N2206" i="9"/>
  <c r="N2207" i="9"/>
  <c r="N2208" i="9"/>
  <c r="N2209" i="9"/>
  <c r="N2210" i="9"/>
  <c r="N2211" i="9"/>
  <c r="N2212" i="9"/>
  <c r="N2213" i="9"/>
  <c r="N2214" i="9"/>
  <c r="N2215" i="9"/>
  <c r="N2216" i="9"/>
  <c r="N2217" i="9"/>
  <c r="N2218" i="9"/>
  <c r="N2219" i="9"/>
  <c r="N2220" i="9"/>
  <c r="N2221" i="9"/>
  <c r="N2222" i="9"/>
  <c r="N2223" i="9"/>
  <c r="N2224" i="9"/>
  <c r="N2225" i="9"/>
  <c r="N2226" i="9"/>
  <c r="N2227" i="9"/>
  <c r="N2228" i="9"/>
  <c r="N2229" i="9"/>
  <c r="N2230" i="9"/>
  <c r="N2231" i="9"/>
  <c r="N2232" i="9"/>
  <c r="N2233" i="9"/>
  <c r="N2234" i="9"/>
  <c r="N2235" i="9"/>
  <c r="N2236" i="9"/>
  <c r="N2237" i="9"/>
  <c r="N2238" i="9"/>
  <c r="N2239" i="9"/>
  <c r="N2240" i="9"/>
  <c r="N2241" i="9"/>
  <c r="N2242" i="9"/>
  <c r="N2243" i="9"/>
  <c r="N2244" i="9"/>
  <c r="N2245" i="9"/>
  <c r="N2247" i="9"/>
  <c r="N2248" i="9"/>
  <c r="N2249" i="9"/>
  <c r="N2250" i="9"/>
  <c r="N2251" i="9"/>
  <c r="N2252" i="9"/>
  <c r="N2253" i="9"/>
  <c r="N2254" i="9"/>
  <c r="N2255" i="9"/>
  <c r="N2256" i="9"/>
  <c r="N2257" i="9"/>
  <c r="N2258" i="9"/>
  <c r="N2259" i="9"/>
  <c r="N2260" i="9"/>
  <c r="N2261" i="9"/>
  <c r="N2262" i="9"/>
  <c r="N2263" i="9"/>
  <c r="N2264" i="9"/>
  <c r="N2265" i="9"/>
  <c r="N2266" i="9"/>
  <c r="N2267" i="9"/>
  <c r="N2268" i="9"/>
  <c r="N2269" i="9"/>
  <c r="N2270" i="9"/>
  <c r="N2271" i="9"/>
  <c r="N2272" i="9"/>
  <c r="N2273" i="9"/>
  <c r="N2274" i="9"/>
  <c r="N2275" i="9"/>
  <c r="N2276" i="9"/>
  <c r="N2277" i="9"/>
  <c r="N2278" i="9"/>
  <c r="N2279" i="9"/>
  <c r="N2280" i="9"/>
  <c r="N2281" i="9"/>
  <c r="N2282" i="9"/>
  <c r="N2283" i="9"/>
  <c r="N2284" i="9"/>
  <c r="N2285" i="9"/>
  <c r="N2286" i="9"/>
  <c r="N2287" i="9"/>
  <c r="N2288" i="9"/>
  <c r="N2289" i="9"/>
  <c r="N2290" i="9"/>
  <c r="N2291" i="9"/>
  <c r="N2292" i="9"/>
  <c r="N2293" i="9"/>
  <c r="N2294" i="9"/>
  <c r="N2295" i="9"/>
  <c r="N2296" i="9"/>
  <c r="N2297" i="9"/>
  <c r="N2298" i="9"/>
  <c r="N2299" i="9"/>
  <c r="N2300" i="9"/>
  <c r="N2301" i="9"/>
  <c r="N2302" i="9"/>
  <c r="N2303" i="9"/>
  <c r="N2304" i="9"/>
  <c r="N2305" i="9"/>
  <c r="N2306" i="9"/>
  <c r="N2307" i="9"/>
  <c r="N2308" i="9"/>
  <c r="N2309" i="9"/>
  <c r="N2310" i="9"/>
  <c r="N2311" i="9"/>
  <c r="N2312" i="9"/>
  <c r="N2313" i="9"/>
  <c r="N2314" i="9"/>
  <c r="N2315" i="9"/>
  <c r="N2316" i="9"/>
  <c r="N2317" i="9"/>
  <c r="N2318" i="9"/>
  <c r="N2319" i="9"/>
  <c r="N2320" i="9"/>
  <c r="N2321" i="9"/>
  <c r="N2322" i="9"/>
  <c r="N2323" i="9"/>
  <c r="N2324" i="9"/>
  <c r="N2325" i="9"/>
  <c r="N2326" i="9"/>
  <c r="N2327" i="9"/>
  <c r="N2328" i="9"/>
  <c r="N2413" i="9"/>
  <c r="N2414" i="9"/>
  <c r="N2415" i="9"/>
  <c r="N2416" i="9"/>
  <c r="N2417" i="9"/>
  <c r="N2418" i="9"/>
  <c r="N2419" i="9"/>
  <c r="N2420" i="9"/>
  <c r="N2421" i="9"/>
  <c r="N2422" i="9"/>
  <c r="N2423" i="9"/>
  <c r="N2424" i="9"/>
  <c r="N2425" i="9"/>
  <c r="N2426" i="9"/>
  <c r="N2427" i="9"/>
  <c r="N2428" i="9"/>
  <c r="N2429" i="9"/>
  <c r="N2430" i="9"/>
  <c r="N2431" i="9"/>
  <c r="N2432" i="9"/>
  <c r="N2433" i="9"/>
  <c r="N2434" i="9"/>
  <c r="N2435" i="9"/>
  <c r="N2436" i="9"/>
  <c r="N2437" i="9"/>
  <c r="N2438" i="9"/>
  <c r="N2439" i="9"/>
  <c r="N2440" i="9"/>
  <c r="N2441" i="9"/>
  <c r="N2442" i="9"/>
  <c r="N2443" i="9"/>
  <c r="N2444" i="9"/>
  <c r="N2445" i="9"/>
  <c r="N2446" i="9"/>
  <c r="N2447" i="9"/>
  <c r="N2448" i="9"/>
  <c r="N2449" i="9"/>
  <c r="N2450" i="9"/>
  <c r="N2451" i="9"/>
  <c r="N2452" i="9"/>
  <c r="N2453" i="9"/>
  <c r="N2454" i="9"/>
  <c r="N2455" i="9"/>
  <c r="N2456" i="9"/>
  <c r="N2457" i="9"/>
  <c r="N2458" i="9"/>
  <c r="N2459" i="9"/>
  <c r="N2460" i="9"/>
  <c r="N2461" i="9"/>
  <c r="N2462" i="9"/>
  <c r="N2463" i="9"/>
  <c r="N2464" i="9"/>
  <c r="N2465" i="9"/>
  <c r="N2466" i="9"/>
  <c r="N2467" i="9"/>
  <c r="N2468" i="9"/>
  <c r="N2469" i="9"/>
  <c r="N2470" i="9"/>
  <c r="N2471" i="9"/>
  <c r="N2472" i="9"/>
  <c r="N2473" i="9"/>
  <c r="N2474" i="9"/>
  <c r="N2475" i="9"/>
  <c r="N2476" i="9"/>
  <c r="N2477" i="9"/>
  <c r="N2478" i="9"/>
  <c r="N2479" i="9"/>
  <c r="N2480" i="9"/>
  <c r="N2481" i="9"/>
  <c r="N2482" i="9"/>
  <c r="N2483" i="9"/>
  <c r="N2484" i="9"/>
  <c r="N2485" i="9"/>
  <c r="N2486" i="9"/>
  <c r="N2487" i="9"/>
  <c r="N2488" i="9"/>
  <c r="N2489" i="9"/>
  <c r="N2490" i="9"/>
  <c r="N2491" i="9"/>
  <c r="N2492" i="9"/>
  <c r="N2493" i="9"/>
  <c r="N2494" i="9"/>
  <c r="M87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4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M658" i="9"/>
  <c r="M659" i="9"/>
  <c r="M660" i="9"/>
  <c r="M661" i="9"/>
  <c r="M662" i="9"/>
  <c r="M663" i="9"/>
  <c r="M664" i="9"/>
  <c r="M665" i="9"/>
  <c r="M666" i="9"/>
  <c r="M667" i="9"/>
  <c r="M668" i="9"/>
  <c r="M670" i="9"/>
  <c r="M671" i="9"/>
  <c r="M672" i="9"/>
  <c r="M673" i="9"/>
  <c r="M674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723" i="9"/>
  <c r="M724" i="9"/>
  <c r="M725" i="9"/>
  <c r="M726" i="9"/>
  <c r="M727" i="9"/>
  <c r="M728" i="9"/>
  <c r="M729" i="9"/>
  <c r="M730" i="9"/>
  <c r="M731" i="9"/>
  <c r="M732" i="9"/>
  <c r="M733" i="9"/>
  <c r="M734" i="9"/>
  <c r="M735" i="9"/>
  <c r="M736" i="9"/>
  <c r="M737" i="9"/>
  <c r="M738" i="9"/>
  <c r="M739" i="9"/>
  <c r="M740" i="9"/>
  <c r="M741" i="9"/>
  <c r="M742" i="9"/>
  <c r="M743" i="9"/>
  <c r="M744" i="9"/>
  <c r="M745" i="9"/>
  <c r="M746" i="9"/>
  <c r="M747" i="9"/>
  <c r="M748" i="9"/>
  <c r="M749" i="9"/>
  <c r="M750" i="9"/>
  <c r="M751" i="9"/>
  <c r="M753" i="9"/>
  <c r="M754" i="9"/>
  <c r="M755" i="9"/>
  <c r="M756" i="9"/>
  <c r="M757" i="9"/>
  <c r="M758" i="9"/>
  <c r="M759" i="9"/>
  <c r="M760" i="9"/>
  <c r="M761" i="9"/>
  <c r="M762" i="9"/>
  <c r="M763" i="9"/>
  <c r="M764" i="9"/>
  <c r="M765" i="9"/>
  <c r="M766" i="9"/>
  <c r="M767" i="9"/>
  <c r="M768" i="9"/>
  <c r="M769" i="9"/>
  <c r="M770" i="9"/>
  <c r="M771" i="9"/>
  <c r="M772" i="9"/>
  <c r="M773" i="9"/>
  <c r="M774" i="9"/>
  <c r="M775" i="9"/>
  <c r="M776" i="9"/>
  <c r="M777" i="9"/>
  <c r="M778" i="9"/>
  <c r="M779" i="9"/>
  <c r="M780" i="9"/>
  <c r="M781" i="9"/>
  <c r="M782" i="9"/>
  <c r="M783" i="9"/>
  <c r="M784" i="9"/>
  <c r="M785" i="9"/>
  <c r="M786" i="9"/>
  <c r="M787" i="9"/>
  <c r="M788" i="9"/>
  <c r="M789" i="9"/>
  <c r="M790" i="9"/>
  <c r="M791" i="9"/>
  <c r="M792" i="9"/>
  <c r="M793" i="9"/>
  <c r="M794" i="9"/>
  <c r="M795" i="9"/>
  <c r="M796" i="9"/>
  <c r="M797" i="9"/>
  <c r="M798" i="9"/>
  <c r="M799" i="9"/>
  <c r="M800" i="9"/>
  <c r="M801" i="9"/>
  <c r="M802" i="9"/>
  <c r="M803" i="9"/>
  <c r="M804" i="9"/>
  <c r="M805" i="9"/>
  <c r="M806" i="9"/>
  <c r="M807" i="9"/>
  <c r="M808" i="9"/>
  <c r="M809" i="9"/>
  <c r="M810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M849" i="9"/>
  <c r="M850" i="9"/>
  <c r="M851" i="9"/>
  <c r="M852" i="9"/>
  <c r="M853" i="9"/>
  <c r="M854" i="9"/>
  <c r="M855" i="9"/>
  <c r="M856" i="9"/>
  <c r="M857" i="9"/>
  <c r="M858" i="9"/>
  <c r="M859" i="9"/>
  <c r="M860" i="9"/>
  <c r="M861" i="9"/>
  <c r="M862" i="9"/>
  <c r="M863" i="9"/>
  <c r="M864" i="9"/>
  <c r="M865" i="9"/>
  <c r="M866" i="9"/>
  <c r="M867" i="9"/>
  <c r="M868" i="9"/>
  <c r="M869" i="9"/>
  <c r="M870" i="9"/>
  <c r="M871" i="9"/>
  <c r="M872" i="9"/>
  <c r="M873" i="9"/>
  <c r="M874" i="9"/>
  <c r="M875" i="9"/>
  <c r="M876" i="9"/>
  <c r="M877" i="9"/>
  <c r="M878" i="9"/>
  <c r="M879" i="9"/>
  <c r="M880" i="9"/>
  <c r="M881" i="9"/>
  <c r="M882" i="9"/>
  <c r="M883" i="9"/>
  <c r="M884" i="9"/>
  <c r="M885" i="9"/>
  <c r="M886" i="9"/>
  <c r="M887" i="9"/>
  <c r="M888" i="9"/>
  <c r="M889" i="9"/>
  <c r="M890" i="9"/>
  <c r="M891" i="9"/>
  <c r="M892" i="9"/>
  <c r="M893" i="9"/>
  <c r="M894" i="9"/>
  <c r="M895" i="9"/>
  <c r="M896" i="9"/>
  <c r="M897" i="9"/>
  <c r="M898" i="9"/>
  <c r="M899" i="9"/>
  <c r="M900" i="9"/>
  <c r="M901" i="9"/>
  <c r="M902" i="9"/>
  <c r="M903" i="9"/>
  <c r="M904" i="9"/>
  <c r="M905" i="9"/>
  <c r="M906" i="9"/>
  <c r="M907" i="9"/>
  <c r="M908" i="9"/>
  <c r="M909" i="9"/>
  <c r="M910" i="9"/>
  <c r="M911" i="9"/>
  <c r="M912" i="9"/>
  <c r="M913" i="9"/>
  <c r="M914" i="9"/>
  <c r="M915" i="9"/>
  <c r="M916" i="9"/>
  <c r="M917" i="9"/>
  <c r="M919" i="9"/>
  <c r="M920" i="9"/>
  <c r="M921" i="9"/>
  <c r="M922" i="9"/>
  <c r="M923" i="9"/>
  <c r="M924" i="9"/>
  <c r="M925" i="9"/>
  <c r="M926" i="9"/>
  <c r="M927" i="9"/>
  <c r="M928" i="9"/>
  <c r="M929" i="9"/>
  <c r="M930" i="9"/>
  <c r="M931" i="9"/>
  <c r="M932" i="9"/>
  <c r="M933" i="9"/>
  <c r="M934" i="9"/>
  <c r="M935" i="9"/>
  <c r="M936" i="9"/>
  <c r="M937" i="9"/>
  <c r="M938" i="9"/>
  <c r="M939" i="9"/>
  <c r="M940" i="9"/>
  <c r="M941" i="9"/>
  <c r="M942" i="9"/>
  <c r="M943" i="9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M960" i="9"/>
  <c r="M961" i="9"/>
  <c r="M962" i="9"/>
  <c r="M963" i="9"/>
  <c r="M964" i="9"/>
  <c r="M965" i="9"/>
  <c r="M966" i="9"/>
  <c r="M967" i="9"/>
  <c r="M968" i="9"/>
  <c r="M969" i="9"/>
  <c r="M970" i="9"/>
  <c r="M971" i="9"/>
  <c r="M972" i="9"/>
  <c r="M973" i="9"/>
  <c r="M974" i="9"/>
  <c r="M975" i="9"/>
  <c r="M976" i="9"/>
  <c r="M977" i="9"/>
  <c r="M978" i="9"/>
  <c r="M979" i="9"/>
  <c r="M980" i="9"/>
  <c r="M981" i="9"/>
  <c r="M982" i="9"/>
  <c r="M983" i="9"/>
  <c r="M984" i="9"/>
  <c r="M985" i="9"/>
  <c r="M986" i="9"/>
  <c r="M987" i="9"/>
  <c r="M988" i="9"/>
  <c r="M989" i="9"/>
  <c r="M990" i="9"/>
  <c r="M991" i="9"/>
  <c r="M992" i="9"/>
  <c r="M993" i="9"/>
  <c r="M994" i="9"/>
  <c r="M995" i="9"/>
  <c r="M996" i="9"/>
  <c r="M997" i="9"/>
  <c r="M998" i="9"/>
  <c r="M999" i="9"/>
  <c r="M1000" i="9"/>
  <c r="M1002" i="9"/>
  <c r="M1003" i="9"/>
  <c r="M1004" i="9"/>
  <c r="M1005" i="9"/>
  <c r="M1006" i="9"/>
  <c r="M1007" i="9"/>
  <c r="M1008" i="9"/>
  <c r="M1009" i="9"/>
  <c r="M1010" i="9"/>
  <c r="M1011" i="9"/>
  <c r="M1012" i="9"/>
  <c r="M1013" i="9"/>
  <c r="M1014" i="9"/>
  <c r="M1015" i="9"/>
  <c r="M1016" i="9"/>
  <c r="M1017" i="9"/>
  <c r="M1018" i="9"/>
  <c r="M1019" i="9"/>
  <c r="M1020" i="9"/>
  <c r="M1021" i="9"/>
  <c r="M1022" i="9"/>
  <c r="M1023" i="9"/>
  <c r="M1024" i="9"/>
  <c r="M1025" i="9"/>
  <c r="M1026" i="9"/>
  <c r="M1027" i="9"/>
  <c r="M1028" i="9"/>
  <c r="M1029" i="9"/>
  <c r="M1030" i="9"/>
  <c r="M1031" i="9"/>
  <c r="M1032" i="9"/>
  <c r="M1033" i="9"/>
  <c r="M1034" i="9"/>
  <c r="M1035" i="9"/>
  <c r="M1036" i="9"/>
  <c r="M1037" i="9"/>
  <c r="M1038" i="9"/>
  <c r="M1039" i="9"/>
  <c r="M1040" i="9"/>
  <c r="M1041" i="9"/>
  <c r="M1042" i="9"/>
  <c r="M1043" i="9"/>
  <c r="M1044" i="9"/>
  <c r="M1045" i="9"/>
  <c r="M1046" i="9"/>
  <c r="M1047" i="9"/>
  <c r="M1048" i="9"/>
  <c r="M1049" i="9"/>
  <c r="M1050" i="9"/>
  <c r="M1051" i="9"/>
  <c r="M1052" i="9"/>
  <c r="M1053" i="9"/>
  <c r="M1054" i="9"/>
  <c r="M1055" i="9"/>
  <c r="M1056" i="9"/>
  <c r="M1057" i="9"/>
  <c r="M1058" i="9"/>
  <c r="M1059" i="9"/>
  <c r="M1060" i="9"/>
  <c r="M1061" i="9"/>
  <c r="M1062" i="9"/>
  <c r="M1063" i="9"/>
  <c r="M1064" i="9"/>
  <c r="M1065" i="9"/>
  <c r="M1066" i="9"/>
  <c r="M1067" i="9"/>
  <c r="M1068" i="9"/>
  <c r="M1069" i="9"/>
  <c r="M1070" i="9"/>
  <c r="M1071" i="9"/>
  <c r="M1072" i="9"/>
  <c r="M1073" i="9"/>
  <c r="M1074" i="9"/>
  <c r="M1075" i="9"/>
  <c r="M1076" i="9"/>
  <c r="M1077" i="9"/>
  <c r="M1078" i="9"/>
  <c r="M1079" i="9"/>
  <c r="M1080" i="9"/>
  <c r="M1081" i="9"/>
  <c r="M1082" i="9"/>
  <c r="M1083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1097" i="9"/>
  <c r="M1098" i="9"/>
  <c r="M1099" i="9"/>
  <c r="M1100" i="9"/>
  <c r="M1101" i="9"/>
  <c r="M1102" i="9"/>
  <c r="M1103" i="9"/>
  <c r="M1104" i="9"/>
  <c r="M1105" i="9"/>
  <c r="M1106" i="9"/>
  <c r="M1107" i="9"/>
  <c r="M1108" i="9"/>
  <c r="M1109" i="9"/>
  <c r="M1110" i="9"/>
  <c r="M1111" i="9"/>
  <c r="M1112" i="9"/>
  <c r="M1113" i="9"/>
  <c r="M1114" i="9"/>
  <c r="M1115" i="9"/>
  <c r="M1116" i="9"/>
  <c r="M1117" i="9"/>
  <c r="M1118" i="9"/>
  <c r="M1119" i="9"/>
  <c r="M1120" i="9"/>
  <c r="M1121" i="9"/>
  <c r="M1122" i="9"/>
  <c r="M1123" i="9"/>
  <c r="M1124" i="9"/>
  <c r="M1125" i="9"/>
  <c r="M1126" i="9"/>
  <c r="M1127" i="9"/>
  <c r="M1128" i="9"/>
  <c r="M1129" i="9"/>
  <c r="M1130" i="9"/>
  <c r="M1131" i="9"/>
  <c r="M1132" i="9"/>
  <c r="M1133" i="9"/>
  <c r="M1134" i="9"/>
  <c r="M1135" i="9"/>
  <c r="M1136" i="9"/>
  <c r="M1137" i="9"/>
  <c r="M1138" i="9"/>
  <c r="M1139" i="9"/>
  <c r="M1140" i="9"/>
  <c r="M1141" i="9"/>
  <c r="M1142" i="9"/>
  <c r="M1143" i="9"/>
  <c r="M1144" i="9"/>
  <c r="M1145" i="9"/>
  <c r="M1146" i="9"/>
  <c r="M1147" i="9"/>
  <c r="M1148" i="9"/>
  <c r="M1149" i="9"/>
  <c r="M1150" i="9"/>
  <c r="M1151" i="9"/>
  <c r="M1152" i="9"/>
  <c r="M1153" i="9"/>
  <c r="M1154" i="9"/>
  <c r="M1155" i="9"/>
  <c r="M1156" i="9"/>
  <c r="M1157" i="9"/>
  <c r="M1158" i="9"/>
  <c r="M1159" i="9"/>
  <c r="M1160" i="9"/>
  <c r="M1161" i="9"/>
  <c r="M1162" i="9"/>
  <c r="M1163" i="9"/>
  <c r="M1164" i="9"/>
  <c r="M1165" i="9"/>
  <c r="M1166" i="9"/>
  <c r="M1168" i="9"/>
  <c r="M1169" i="9"/>
  <c r="M1170" i="9"/>
  <c r="M1171" i="9"/>
  <c r="M1172" i="9"/>
  <c r="M1173" i="9"/>
  <c r="M1174" i="9"/>
  <c r="M1175" i="9"/>
  <c r="M1176" i="9"/>
  <c r="M1177" i="9"/>
  <c r="M1178" i="9"/>
  <c r="M1179" i="9"/>
  <c r="M1180" i="9"/>
  <c r="M1181" i="9"/>
  <c r="M1182" i="9"/>
  <c r="M1183" i="9"/>
  <c r="M1184" i="9"/>
  <c r="M1185" i="9"/>
  <c r="M1186" i="9"/>
  <c r="M1187" i="9"/>
  <c r="M1188" i="9"/>
  <c r="M1189" i="9"/>
  <c r="M1190" i="9"/>
  <c r="M1191" i="9"/>
  <c r="M1192" i="9"/>
  <c r="M1193" i="9"/>
  <c r="M1194" i="9"/>
  <c r="M1195" i="9"/>
  <c r="M1196" i="9"/>
  <c r="M1197" i="9"/>
  <c r="M1198" i="9"/>
  <c r="M1199" i="9"/>
  <c r="M1200" i="9"/>
  <c r="M1201" i="9"/>
  <c r="M1202" i="9"/>
  <c r="M1203" i="9"/>
  <c r="M1204" i="9"/>
  <c r="M1205" i="9"/>
  <c r="M1206" i="9"/>
  <c r="M1207" i="9"/>
  <c r="M1208" i="9"/>
  <c r="M1209" i="9"/>
  <c r="M1210" i="9"/>
  <c r="M1211" i="9"/>
  <c r="M1212" i="9"/>
  <c r="M1213" i="9"/>
  <c r="M1214" i="9"/>
  <c r="M1215" i="9"/>
  <c r="M1216" i="9"/>
  <c r="M1217" i="9"/>
  <c r="M1218" i="9"/>
  <c r="M1219" i="9"/>
  <c r="M1220" i="9"/>
  <c r="M1221" i="9"/>
  <c r="M1222" i="9"/>
  <c r="M1223" i="9"/>
  <c r="M1224" i="9"/>
  <c r="M1225" i="9"/>
  <c r="M1226" i="9"/>
  <c r="M1227" i="9"/>
  <c r="M1228" i="9"/>
  <c r="M1229" i="9"/>
  <c r="M1230" i="9"/>
  <c r="M1231" i="9"/>
  <c r="M1232" i="9"/>
  <c r="M1233" i="9"/>
  <c r="M1234" i="9"/>
  <c r="M1235" i="9"/>
  <c r="M1236" i="9"/>
  <c r="M1237" i="9"/>
  <c r="M1238" i="9"/>
  <c r="M1239" i="9"/>
  <c r="M1240" i="9"/>
  <c r="M1241" i="9"/>
  <c r="M1242" i="9"/>
  <c r="M1243" i="9"/>
  <c r="M1244" i="9"/>
  <c r="M1245" i="9"/>
  <c r="M1246" i="9"/>
  <c r="M1247" i="9"/>
  <c r="M1248" i="9"/>
  <c r="M1249" i="9"/>
  <c r="M1251" i="9"/>
  <c r="M1252" i="9"/>
  <c r="M1253" i="9"/>
  <c r="M1254" i="9"/>
  <c r="M1255" i="9"/>
  <c r="M1256" i="9"/>
  <c r="M1257" i="9"/>
  <c r="M1258" i="9"/>
  <c r="M1259" i="9"/>
  <c r="M1260" i="9"/>
  <c r="M1261" i="9"/>
  <c r="M1262" i="9"/>
  <c r="M1263" i="9"/>
  <c r="M1264" i="9"/>
  <c r="M1265" i="9"/>
  <c r="M1266" i="9"/>
  <c r="M1267" i="9"/>
  <c r="M1268" i="9"/>
  <c r="M1269" i="9"/>
  <c r="M1270" i="9"/>
  <c r="M1271" i="9"/>
  <c r="M1272" i="9"/>
  <c r="M1273" i="9"/>
  <c r="M1274" i="9"/>
  <c r="M1275" i="9"/>
  <c r="M1276" i="9"/>
  <c r="M1277" i="9"/>
  <c r="M1278" i="9"/>
  <c r="M1279" i="9"/>
  <c r="M1280" i="9"/>
  <c r="M1281" i="9"/>
  <c r="M1282" i="9"/>
  <c r="M1283" i="9"/>
  <c r="M1284" i="9"/>
  <c r="M1285" i="9"/>
  <c r="M1286" i="9"/>
  <c r="M1287" i="9"/>
  <c r="M1288" i="9"/>
  <c r="M1289" i="9"/>
  <c r="M1290" i="9"/>
  <c r="M1291" i="9"/>
  <c r="M1292" i="9"/>
  <c r="M1293" i="9"/>
  <c r="M1294" i="9"/>
  <c r="M1295" i="9"/>
  <c r="M1296" i="9"/>
  <c r="M1297" i="9"/>
  <c r="M1298" i="9"/>
  <c r="M1299" i="9"/>
  <c r="M1300" i="9"/>
  <c r="M1301" i="9"/>
  <c r="M1302" i="9"/>
  <c r="M1303" i="9"/>
  <c r="M1304" i="9"/>
  <c r="M1305" i="9"/>
  <c r="M1306" i="9"/>
  <c r="M1307" i="9"/>
  <c r="M1308" i="9"/>
  <c r="M1309" i="9"/>
  <c r="M1310" i="9"/>
  <c r="M1311" i="9"/>
  <c r="M1312" i="9"/>
  <c r="M1313" i="9"/>
  <c r="M1314" i="9"/>
  <c r="M1315" i="9"/>
  <c r="M1316" i="9"/>
  <c r="M1317" i="9"/>
  <c r="M1318" i="9"/>
  <c r="M1319" i="9"/>
  <c r="M1320" i="9"/>
  <c r="M1321" i="9"/>
  <c r="M1322" i="9"/>
  <c r="M1323" i="9"/>
  <c r="M1324" i="9"/>
  <c r="M1325" i="9"/>
  <c r="M1326" i="9"/>
  <c r="M1327" i="9"/>
  <c r="M1328" i="9"/>
  <c r="M1329" i="9"/>
  <c r="M1330" i="9"/>
  <c r="M1331" i="9"/>
  <c r="M1332" i="9"/>
  <c r="M1334" i="9"/>
  <c r="M1335" i="9"/>
  <c r="M1336" i="9"/>
  <c r="M1337" i="9"/>
  <c r="M1338" i="9"/>
  <c r="M1339" i="9"/>
  <c r="M1340" i="9"/>
  <c r="M1341" i="9"/>
  <c r="M1342" i="9"/>
  <c r="M1343" i="9"/>
  <c r="M1344" i="9"/>
  <c r="M1345" i="9"/>
  <c r="M1346" i="9"/>
  <c r="M1347" i="9"/>
  <c r="M1348" i="9"/>
  <c r="M1349" i="9"/>
  <c r="M1350" i="9"/>
  <c r="M1351" i="9"/>
  <c r="M1352" i="9"/>
  <c r="M1353" i="9"/>
  <c r="M1354" i="9"/>
  <c r="M1355" i="9"/>
  <c r="M1356" i="9"/>
  <c r="M1357" i="9"/>
  <c r="M1358" i="9"/>
  <c r="M1359" i="9"/>
  <c r="M1360" i="9"/>
  <c r="M1361" i="9"/>
  <c r="M1362" i="9"/>
  <c r="M1363" i="9"/>
  <c r="M1364" i="9"/>
  <c r="M1365" i="9"/>
  <c r="M1366" i="9"/>
  <c r="M1367" i="9"/>
  <c r="M1368" i="9"/>
  <c r="M1369" i="9"/>
  <c r="M1370" i="9"/>
  <c r="M1371" i="9"/>
  <c r="M1372" i="9"/>
  <c r="M1373" i="9"/>
  <c r="M1374" i="9"/>
  <c r="M1375" i="9"/>
  <c r="M1376" i="9"/>
  <c r="M1377" i="9"/>
  <c r="M1378" i="9"/>
  <c r="M1379" i="9"/>
  <c r="M1380" i="9"/>
  <c r="M1381" i="9"/>
  <c r="M1382" i="9"/>
  <c r="M1383" i="9"/>
  <c r="M1384" i="9"/>
  <c r="M1385" i="9"/>
  <c r="M1386" i="9"/>
  <c r="M1387" i="9"/>
  <c r="M1388" i="9"/>
  <c r="M1389" i="9"/>
  <c r="M1390" i="9"/>
  <c r="M1391" i="9"/>
  <c r="M1392" i="9"/>
  <c r="M1393" i="9"/>
  <c r="M1394" i="9"/>
  <c r="M1395" i="9"/>
  <c r="M1396" i="9"/>
  <c r="M1397" i="9"/>
  <c r="M1398" i="9"/>
  <c r="M1399" i="9"/>
  <c r="M1400" i="9"/>
  <c r="M1401" i="9"/>
  <c r="M1402" i="9"/>
  <c r="M1403" i="9"/>
  <c r="M1404" i="9"/>
  <c r="M1405" i="9"/>
  <c r="M1406" i="9"/>
  <c r="M1407" i="9"/>
  <c r="M1408" i="9"/>
  <c r="M1409" i="9"/>
  <c r="M1410" i="9"/>
  <c r="M1411" i="9"/>
  <c r="M1412" i="9"/>
  <c r="M1413" i="9"/>
  <c r="M1414" i="9"/>
  <c r="M1415" i="9"/>
  <c r="M1500" i="9"/>
  <c r="M1501" i="9"/>
  <c r="M1502" i="9"/>
  <c r="M1503" i="9"/>
  <c r="M1504" i="9"/>
  <c r="M1505" i="9"/>
  <c r="M1506" i="9"/>
  <c r="M1507" i="9"/>
  <c r="M1508" i="9"/>
  <c r="M1509" i="9"/>
  <c r="M1510" i="9"/>
  <c r="M1511" i="9"/>
  <c r="M1512" i="9"/>
  <c r="M1513" i="9"/>
  <c r="M1514" i="9"/>
  <c r="M1515" i="9"/>
  <c r="M1516" i="9"/>
  <c r="M1517" i="9"/>
  <c r="M1518" i="9"/>
  <c r="M1519" i="9"/>
  <c r="M1520" i="9"/>
  <c r="M1521" i="9"/>
  <c r="M1522" i="9"/>
  <c r="M1523" i="9"/>
  <c r="M1524" i="9"/>
  <c r="M1525" i="9"/>
  <c r="M1526" i="9"/>
  <c r="M1527" i="9"/>
  <c r="M1528" i="9"/>
  <c r="M1529" i="9"/>
  <c r="M1530" i="9"/>
  <c r="M1531" i="9"/>
  <c r="M1532" i="9"/>
  <c r="M1533" i="9"/>
  <c r="M1534" i="9"/>
  <c r="M1535" i="9"/>
  <c r="M1536" i="9"/>
  <c r="M1537" i="9"/>
  <c r="M1538" i="9"/>
  <c r="M1539" i="9"/>
  <c r="M1540" i="9"/>
  <c r="M1541" i="9"/>
  <c r="M1542" i="9"/>
  <c r="M1543" i="9"/>
  <c r="M1544" i="9"/>
  <c r="M1545" i="9"/>
  <c r="M1546" i="9"/>
  <c r="M1547" i="9"/>
  <c r="M1548" i="9"/>
  <c r="M1549" i="9"/>
  <c r="M1550" i="9"/>
  <c r="M1551" i="9"/>
  <c r="M1552" i="9"/>
  <c r="M1553" i="9"/>
  <c r="M1554" i="9"/>
  <c r="M1555" i="9"/>
  <c r="M1556" i="9"/>
  <c r="M1557" i="9"/>
  <c r="M1558" i="9"/>
  <c r="M1559" i="9"/>
  <c r="M1560" i="9"/>
  <c r="M1561" i="9"/>
  <c r="M1562" i="9"/>
  <c r="M1563" i="9"/>
  <c r="M1564" i="9"/>
  <c r="M1565" i="9"/>
  <c r="M1566" i="9"/>
  <c r="M1567" i="9"/>
  <c r="M1568" i="9"/>
  <c r="M1569" i="9"/>
  <c r="M1570" i="9"/>
  <c r="M1571" i="9"/>
  <c r="M1572" i="9"/>
  <c r="M1573" i="9"/>
  <c r="M1574" i="9"/>
  <c r="M1575" i="9"/>
  <c r="M1576" i="9"/>
  <c r="M1577" i="9"/>
  <c r="M1578" i="9"/>
  <c r="M1579" i="9"/>
  <c r="M1580" i="9"/>
  <c r="M1581" i="9"/>
  <c r="M1583" i="9"/>
  <c r="M1584" i="9"/>
  <c r="M1585" i="9"/>
  <c r="M1586" i="9"/>
  <c r="M1587" i="9"/>
  <c r="M1588" i="9"/>
  <c r="M1589" i="9"/>
  <c r="M1590" i="9"/>
  <c r="M1591" i="9"/>
  <c r="M1592" i="9"/>
  <c r="M1593" i="9"/>
  <c r="M1594" i="9"/>
  <c r="M1595" i="9"/>
  <c r="M1596" i="9"/>
  <c r="M1597" i="9"/>
  <c r="M1598" i="9"/>
  <c r="M1599" i="9"/>
  <c r="M1600" i="9"/>
  <c r="M1601" i="9"/>
  <c r="M1602" i="9"/>
  <c r="M1603" i="9"/>
  <c r="M1604" i="9"/>
  <c r="M1605" i="9"/>
  <c r="M1606" i="9"/>
  <c r="M1607" i="9"/>
  <c r="M1608" i="9"/>
  <c r="M1609" i="9"/>
  <c r="M1610" i="9"/>
  <c r="M1611" i="9"/>
  <c r="M1612" i="9"/>
  <c r="M1613" i="9"/>
  <c r="M1614" i="9"/>
  <c r="M1615" i="9"/>
  <c r="M1616" i="9"/>
  <c r="M1617" i="9"/>
  <c r="M1618" i="9"/>
  <c r="M1619" i="9"/>
  <c r="M1620" i="9"/>
  <c r="M1621" i="9"/>
  <c r="M1622" i="9"/>
  <c r="M1623" i="9"/>
  <c r="M1624" i="9"/>
  <c r="M1625" i="9"/>
  <c r="M1626" i="9"/>
  <c r="M1627" i="9"/>
  <c r="M1628" i="9"/>
  <c r="M1629" i="9"/>
  <c r="M1630" i="9"/>
  <c r="M1631" i="9"/>
  <c r="M1632" i="9"/>
  <c r="M1633" i="9"/>
  <c r="M1634" i="9"/>
  <c r="M1635" i="9"/>
  <c r="M1636" i="9"/>
  <c r="M1637" i="9"/>
  <c r="M1638" i="9"/>
  <c r="M1639" i="9"/>
  <c r="M1640" i="9"/>
  <c r="M1641" i="9"/>
  <c r="M1642" i="9"/>
  <c r="M1643" i="9"/>
  <c r="M1644" i="9"/>
  <c r="M1645" i="9"/>
  <c r="M1646" i="9"/>
  <c r="M1647" i="9"/>
  <c r="M1648" i="9"/>
  <c r="M1649" i="9"/>
  <c r="M1650" i="9"/>
  <c r="M1651" i="9"/>
  <c r="M1652" i="9"/>
  <c r="M1653" i="9"/>
  <c r="M1654" i="9"/>
  <c r="M1655" i="9"/>
  <c r="M1656" i="9"/>
  <c r="M1657" i="9"/>
  <c r="M1658" i="9"/>
  <c r="M1659" i="9"/>
  <c r="M1660" i="9"/>
  <c r="M1661" i="9"/>
  <c r="M1662" i="9"/>
  <c r="M1663" i="9"/>
  <c r="M1664" i="9"/>
  <c r="M1666" i="9"/>
  <c r="M1667" i="9"/>
  <c r="M1668" i="9"/>
  <c r="M1669" i="9"/>
  <c r="M1670" i="9"/>
  <c r="M1671" i="9"/>
  <c r="M1672" i="9"/>
  <c r="M1673" i="9"/>
  <c r="M1674" i="9"/>
  <c r="M1675" i="9"/>
  <c r="M1676" i="9"/>
  <c r="M1677" i="9"/>
  <c r="M1678" i="9"/>
  <c r="M1679" i="9"/>
  <c r="M1680" i="9"/>
  <c r="M1681" i="9"/>
  <c r="M1682" i="9"/>
  <c r="M1683" i="9"/>
  <c r="M1684" i="9"/>
  <c r="M1685" i="9"/>
  <c r="M1686" i="9"/>
  <c r="M1687" i="9"/>
  <c r="M1688" i="9"/>
  <c r="M1689" i="9"/>
  <c r="M1690" i="9"/>
  <c r="M1691" i="9"/>
  <c r="M1692" i="9"/>
  <c r="M1693" i="9"/>
  <c r="M1694" i="9"/>
  <c r="M1695" i="9"/>
  <c r="M1696" i="9"/>
  <c r="M1697" i="9"/>
  <c r="M1698" i="9"/>
  <c r="M1699" i="9"/>
  <c r="M1700" i="9"/>
  <c r="M1701" i="9"/>
  <c r="M1702" i="9"/>
  <c r="M1703" i="9"/>
  <c r="M1704" i="9"/>
  <c r="M1705" i="9"/>
  <c r="M1706" i="9"/>
  <c r="M1707" i="9"/>
  <c r="M1708" i="9"/>
  <c r="M1709" i="9"/>
  <c r="M1710" i="9"/>
  <c r="M1711" i="9"/>
  <c r="M1712" i="9"/>
  <c r="M1713" i="9"/>
  <c r="M1714" i="9"/>
  <c r="M1715" i="9"/>
  <c r="M1716" i="9"/>
  <c r="M1717" i="9"/>
  <c r="M1718" i="9"/>
  <c r="M1719" i="9"/>
  <c r="M1720" i="9"/>
  <c r="M1721" i="9"/>
  <c r="M1722" i="9"/>
  <c r="M1723" i="9"/>
  <c r="M1724" i="9"/>
  <c r="M1725" i="9"/>
  <c r="M1726" i="9"/>
  <c r="M1727" i="9"/>
  <c r="M1728" i="9"/>
  <c r="M1729" i="9"/>
  <c r="M1730" i="9"/>
  <c r="M1731" i="9"/>
  <c r="M1732" i="9"/>
  <c r="M1733" i="9"/>
  <c r="M1734" i="9"/>
  <c r="M1735" i="9"/>
  <c r="M1736" i="9"/>
  <c r="M1737" i="9"/>
  <c r="M1738" i="9"/>
  <c r="M1739" i="9"/>
  <c r="M1740" i="9"/>
  <c r="M1741" i="9"/>
  <c r="M1742" i="9"/>
  <c r="M1743" i="9"/>
  <c r="M1744" i="9"/>
  <c r="M1745" i="9"/>
  <c r="M1746" i="9"/>
  <c r="M1747" i="9"/>
  <c r="M1749" i="9"/>
  <c r="M1750" i="9"/>
  <c r="M1751" i="9"/>
  <c r="M1752" i="9"/>
  <c r="M1753" i="9"/>
  <c r="M1754" i="9"/>
  <c r="M1755" i="9"/>
  <c r="M1756" i="9"/>
  <c r="M1757" i="9"/>
  <c r="M1758" i="9"/>
  <c r="M1759" i="9"/>
  <c r="M1760" i="9"/>
  <c r="M1761" i="9"/>
  <c r="M1762" i="9"/>
  <c r="M1763" i="9"/>
  <c r="M1764" i="9"/>
  <c r="M1765" i="9"/>
  <c r="M1766" i="9"/>
  <c r="M1767" i="9"/>
  <c r="M1768" i="9"/>
  <c r="M1769" i="9"/>
  <c r="M1770" i="9"/>
  <c r="M1771" i="9"/>
  <c r="M1772" i="9"/>
  <c r="M1773" i="9"/>
  <c r="M1774" i="9"/>
  <c r="M1775" i="9"/>
  <c r="M1776" i="9"/>
  <c r="M1777" i="9"/>
  <c r="M1778" i="9"/>
  <c r="M1779" i="9"/>
  <c r="M1780" i="9"/>
  <c r="M1781" i="9"/>
  <c r="M1782" i="9"/>
  <c r="M1783" i="9"/>
  <c r="M1784" i="9"/>
  <c r="M1785" i="9"/>
  <c r="M1786" i="9"/>
  <c r="M1787" i="9"/>
  <c r="M1788" i="9"/>
  <c r="M1789" i="9"/>
  <c r="M1790" i="9"/>
  <c r="M1791" i="9"/>
  <c r="M1792" i="9"/>
  <c r="M1793" i="9"/>
  <c r="M1794" i="9"/>
  <c r="M1795" i="9"/>
  <c r="M1796" i="9"/>
  <c r="M1797" i="9"/>
  <c r="M1798" i="9"/>
  <c r="M1799" i="9"/>
  <c r="M1800" i="9"/>
  <c r="M1801" i="9"/>
  <c r="M1802" i="9"/>
  <c r="M1803" i="9"/>
  <c r="M1804" i="9"/>
  <c r="M1805" i="9"/>
  <c r="M1806" i="9"/>
  <c r="M1807" i="9"/>
  <c r="M1808" i="9"/>
  <c r="M1809" i="9"/>
  <c r="M1810" i="9"/>
  <c r="M1811" i="9"/>
  <c r="M1812" i="9"/>
  <c r="M1813" i="9"/>
  <c r="M1814" i="9"/>
  <c r="M1815" i="9"/>
  <c r="M1816" i="9"/>
  <c r="M1817" i="9"/>
  <c r="M1818" i="9"/>
  <c r="M1819" i="9"/>
  <c r="M1820" i="9"/>
  <c r="M1821" i="9"/>
  <c r="M1822" i="9"/>
  <c r="M1823" i="9"/>
  <c r="M1824" i="9"/>
  <c r="M1825" i="9"/>
  <c r="M1826" i="9"/>
  <c r="M1827" i="9"/>
  <c r="M1828" i="9"/>
  <c r="M1829" i="9"/>
  <c r="M1830" i="9"/>
  <c r="M1832" i="9"/>
  <c r="M1833" i="9"/>
  <c r="M1834" i="9"/>
  <c r="M1835" i="9"/>
  <c r="M1836" i="9"/>
  <c r="M1837" i="9"/>
  <c r="M1838" i="9"/>
  <c r="M1839" i="9"/>
  <c r="M1840" i="9"/>
  <c r="M1841" i="9"/>
  <c r="M1842" i="9"/>
  <c r="M1843" i="9"/>
  <c r="M1844" i="9"/>
  <c r="M1845" i="9"/>
  <c r="M1846" i="9"/>
  <c r="M1847" i="9"/>
  <c r="M1848" i="9"/>
  <c r="M1849" i="9"/>
  <c r="M1850" i="9"/>
  <c r="M1851" i="9"/>
  <c r="M1852" i="9"/>
  <c r="M1853" i="9"/>
  <c r="M1854" i="9"/>
  <c r="M1855" i="9"/>
  <c r="M1856" i="9"/>
  <c r="M1857" i="9"/>
  <c r="M1858" i="9"/>
  <c r="M1859" i="9"/>
  <c r="M1860" i="9"/>
  <c r="M1861" i="9"/>
  <c r="M1862" i="9"/>
  <c r="M1863" i="9"/>
  <c r="M1864" i="9"/>
  <c r="M1865" i="9"/>
  <c r="M1866" i="9"/>
  <c r="M1867" i="9"/>
  <c r="M1868" i="9"/>
  <c r="M1869" i="9"/>
  <c r="M1870" i="9"/>
  <c r="M1871" i="9"/>
  <c r="M1872" i="9"/>
  <c r="M1873" i="9"/>
  <c r="M1874" i="9"/>
  <c r="M1875" i="9"/>
  <c r="M1876" i="9"/>
  <c r="M1877" i="9"/>
  <c r="M1878" i="9"/>
  <c r="M1879" i="9"/>
  <c r="M1880" i="9"/>
  <c r="M1881" i="9"/>
  <c r="M1882" i="9"/>
  <c r="M1883" i="9"/>
  <c r="M1884" i="9"/>
  <c r="M1885" i="9"/>
  <c r="M1886" i="9"/>
  <c r="M1887" i="9"/>
  <c r="M1888" i="9"/>
  <c r="M1889" i="9"/>
  <c r="M1890" i="9"/>
  <c r="M1891" i="9"/>
  <c r="M1892" i="9"/>
  <c r="M1893" i="9"/>
  <c r="M1894" i="9"/>
  <c r="M1895" i="9"/>
  <c r="M1896" i="9"/>
  <c r="M1897" i="9"/>
  <c r="M1898" i="9"/>
  <c r="M1899" i="9"/>
  <c r="M1900" i="9"/>
  <c r="M1901" i="9"/>
  <c r="M1902" i="9"/>
  <c r="M1903" i="9"/>
  <c r="M1904" i="9"/>
  <c r="M1905" i="9"/>
  <c r="M1906" i="9"/>
  <c r="M1907" i="9"/>
  <c r="M1908" i="9"/>
  <c r="M1909" i="9"/>
  <c r="M1910" i="9"/>
  <c r="M1911" i="9"/>
  <c r="M1912" i="9"/>
  <c r="M1913" i="9"/>
  <c r="M1915" i="9"/>
  <c r="M1916" i="9"/>
  <c r="M1917" i="9"/>
  <c r="M1918" i="9"/>
  <c r="M1919" i="9"/>
  <c r="M1920" i="9"/>
  <c r="M1921" i="9"/>
  <c r="M1922" i="9"/>
  <c r="M1923" i="9"/>
  <c r="M1924" i="9"/>
  <c r="M1925" i="9"/>
  <c r="M1926" i="9"/>
  <c r="M1927" i="9"/>
  <c r="M1928" i="9"/>
  <c r="M1929" i="9"/>
  <c r="M1930" i="9"/>
  <c r="M1931" i="9"/>
  <c r="M1932" i="9"/>
  <c r="M1933" i="9"/>
  <c r="M1934" i="9"/>
  <c r="M1935" i="9"/>
  <c r="M1936" i="9"/>
  <c r="M1937" i="9"/>
  <c r="M1938" i="9"/>
  <c r="M1939" i="9"/>
  <c r="M1940" i="9"/>
  <c r="M1941" i="9"/>
  <c r="M1942" i="9"/>
  <c r="M1943" i="9"/>
  <c r="M1944" i="9"/>
  <c r="M1945" i="9"/>
  <c r="M1946" i="9"/>
  <c r="M1947" i="9"/>
  <c r="M1948" i="9"/>
  <c r="M1949" i="9"/>
  <c r="M1950" i="9"/>
  <c r="M1951" i="9"/>
  <c r="M1952" i="9"/>
  <c r="M1953" i="9"/>
  <c r="M1954" i="9"/>
  <c r="M1955" i="9"/>
  <c r="M1956" i="9"/>
  <c r="M1957" i="9"/>
  <c r="M1958" i="9"/>
  <c r="M1959" i="9"/>
  <c r="M1960" i="9"/>
  <c r="M1961" i="9"/>
  <c r="M1962" i="9"/>
  <c r="M1963" i="9"/>
  <c r="M1964" i="9"/>
  <c r="M1965" i="9"/>
  <c r="M1966" i="9"/>
  <c r="M1967" i="9"/>
  <c r="M1968" i="9"/>
  <c r="M1969" i="9"/>
  <c r="M1970" i="9"/>
  <c r="M1971" i="9"/>
  <c r="M1972" i="9"/>
  <c r="M1973" i="9"/>
  <c r="M1974" i="9"/>
  <c r="M1975" i="9"/>
  <c r="M1976" i="9"/>
  <c r="M1977" i="9"/>
  <c r="M1978" i="9"/>
  <c r="M1979" i="9"/>
  <c r="M1980" i="9"/>
  <c r="M1981" i="9"/>
  <c r="M1982" i="9"/>
  <c r="M1983" i="9"/>
  <c r="M1984" i="9"/>
  <c r="M1985" i="9"/>
  <c r="M1986" i="9"/>
  <c r="M1987" i="9"/>
  <c r="M1988" i="9"/>
  <c r="M1989" i="9"/>
  <c r="M1990" i="9"/>
  <c r="M1991" i="9"/>
  <c r="M1992" i="9"/>
  <c r="M1993" i="9"/>
  <c r="M1994" i="9"/>
  <c r="M1995" i="9"/>
  <c r="M1996" i="9"/>
  <c r="M1998" i="9"/>
  <c r="M1999" i="9"/>
  <c r="M2000" i="9"/>
  <c r="M2001" i="9"/>
  <c r="M2002" i="9"/>
  <c r="M2003" i="9"/>
  <c r="M2004" i="9"/>
  <c r="M2005" i="9"/>
  <c r="M2006" i="9"/>
  <c r="M2007" i="9"/>
  <c r="M2008" i="9"/>
  <c r="M2009" i="9"/>
  <c r="M2010" i="9"/>
  <c r="M2011" i="9"/>
  <c r="M2012" i="9"/>
  <c r="M2013" i="9"/>
  <c r="M2014" i="9"/>
  <c r="M2015" i="9"/>
  <c r="M2016" i="9"/>
  <c r="M2017" i="9"/>
  <c r="M2018" i="9"/>
  <c r="M2019" i="9"/>
  <c r="M2020" i="9"/>
  <c r="M2021" i="9"/>
  <c r="M2022" i="9"/>
  <c r="M2023" i="9"/>
  <c r="M2024" i="9"/>
  <c r="M2025" i="9"/>
  <c r="M2026" i="9"/>
  <c r="M2027" i="9"/>
  <c r="M2028" i="9"/>
  <c r="M2029" i="9"/>
  <c r="M2030" i="9"/>
  <c r="M2031" i="9"/>
  <c r="M2032" i="9"/>
  <c r="M2033" i="9"/>
  <c r="M2034" i="9"/>
  <c r="M2035" i="9"/>
  <c r="M2036" i="9"/>
  <c r="M2037" i="9"/>
  <c r="M2038" i="9"/>
  <c r="M2039" i="9"/>
  <c r="M2040" i="9"/>
  <c r="M2041" i="9"/>
  <c r="M2042" i="9"/>
  <c r="M2043" i="9"/>
  <c r="M2044" i="9"/>
  <c r="M2045" i="9"/>
  <c r="M2046" i="9"/>
  <c r="M2047" i="9"/>
  <c r="M2048" i="9"/>
  <c r="M2049" i="9"/>
  <c r="M2050" i="9"/>
  <c r="M2051" i="9"/>
  <c r="M2052" i="9"/>
  <c r="M2053" i="9"/>
  <c r="M2054" i="9"/>
  <c r="M2055" i="9"/>
  <c r="M2056" i="9"/>
  <c r="M2057" i="9"/>
  <c r="M2058" i="9"/>
  <c r="M2059" i="9"/>
  <c r="M2060" i="9"/>
  <c r="M2061" i="9"/>
  <c r="M2062" i="9"/>
  <c r="M2063" i="9"/>
  <c r="M2064" i="9"/>
  <c r="M2065" i="9"/>
  <c r="M2066" i="9"/>
  <c r="M2067" i="9"/>
  <c r="M2068" i="9"/>
  <c r="M2069" i="9"/>
  <c r="M2070" i="9"/>
  <c r="M2071" i="9"/>
  <c r="M2072" i="9"/>
  <c r="M2073" i="9"/>
  <c r="M2074" i="9"/>
  <c r="M2075" i="9"/>
  <c r="M2076" i="9"/>
  <c r="M2077" i="9"/>
  <c r="M2078" i="9"/>
  <c r="M2079" i="9"/>
  <c r="M2081" i="9"/>
  <c r="M2082" i="9"/>
  <c r="M2083" i="9"/>
  <c r="M2084" i="9"/>
  <c r="M2085" i="9"/>
  <c r="M2086" i="9"/>
  <c r="M2087" i="9"/>
  <c r="M2088" i="9"/>
  <c r="M2089" i="9"/>
  <c r="M2090" i="9"/>
  <c r="M2091" i="9"/>
  <c r="M2092" i="9"/>
  <c r="M2093" i="9"/>
  <c r="M2094" i="9"/>
  <c r="M2095" i="9"/>
  <c r="M2096" i="9"/>
  <c r="M2097" i="9"/>
  <c r="M2098" i="9"/>
  <c r="M2099" i="9"/>
  <c r="M2100" i="9"/>
  <c r="M2101" i="9"/>
  <c r="M2102" i="9"/>
  <c r="M2103" i="9"/>
  <c r="M2104" i="9"/>
  <c r="M2105" i="9"/>
  <c r="M2106" i="9"/>
  <c r="M2107" i="9"/>
  <c r="M2108" i="9"/>
  <c r="M2109" i="9"/>
  <c r="M2110" i="9"/>
  <c r="M2111" i="9"/>
  <c r="M2112" i="9"/>
  <c r="M2113" i="9"/>
  <c r="M2114" i="9"/>
  <c r="M2115" i="9"/>
  <c r="M2116" i="9"/>
  <c r="M2117" i="9"/>
  <c r="M2118" i="9"/>
  <c r="M2119" i="9"/>
  <c r="M2120" i="9"/>
  <c r="M2121" i="9"/>
  <c r="M2122" i="9"/>
  <c r="M2123" i="9"/>
  <c r="M2124" i="9"/>
  <c r="M2125" i="9"/>
  <c r="M2126" i="9"/>
  <c r="M2127" i="9"/>
  <c r="M2128" i="9"/>
  <c r="M2129" i="9"/>
  <c r="M2130" i="9"/>
  <c r="M2131" i="9"/>
  <c r="M2132" i="9"/>
  <c r="M2133" i="9"/>
  <c r="M2134" i="9"/>
  <c r="M2135" i="9"/>
  <c r="M2136" i="9"/>
  <c r="M2137" i="9"/>
  <c r="M2138" i="9"/>
  <c r="M2139" i="9"/>
  <c r="M2140" i="9"/>
  <c r="M2141" i="9"/>
  <c r="M2142" i="9"/>
  <c r="M2143" i="9"/>
  <c r="M2144" i="9"/>
  <c r="M2145" i="9"/>
  <c r="M2146" i="9"/>
  <c r="M2147" i="9"/>
  <c r="M2148" i="9"/>
  <c r="M2149" i="9"/>
  <c r="M2150" i="9"/>
  <c r="M2151" i="9"/>
  <c r="M2152" i="9"/>
  <c r="M2153" i="9"/>
  <c r="M2154" i="9"/>
  <c r="M2155" i="9"/>
  <c r="M2156" i="9"/>
  <c r="M2157" i="9"/>
  <c r="M2158" i="9"/>
  <c r="M2159" i="9"/>
  <c r="M2160" i="9"/>
  <c r="M2161" i="9"/>
  <c r="M2162" i="9"/>
  <c r="M2164" i="9"/>
  <c r="M2165" i="9"/>
  <c r="M2166" i="9"/>
  <c r="M2167" i="9"/>
  <c r="M2168" i="9"/>
  <c r="M2169" i="9"/>
  <c r="M2170" i="9"/>
  <c r="M2171" i="9"/>
  <c r="M2172" i="9"/>
  <c r="M2173" i="9"/>
  <c r="M2174" i="9"/>
  <c r="M2175" i="9"/>
  <c r="M2176" i="9"/>
  <c r="M2177" i="9"/>
  <c r="M2178" i="9"/>
  <c r="M2179" i="9"/>
  <c r="M2180" i="9"/>
  <c r="M2181" i="9"/>
  <c r="M2182" i="9"/>
  <c r="M2183" i="9"/>
  <c r="M2184" i="9"/>
  <c r="M2185" i="9"/>
  <c r="M2186" i="9"/>
  <c r="M2187" i="9"/>
  <c r="M2188" i="9"/>
  <c r="M2189" i="9"/>
  <c r="M2190" i="9"/>
  <c r="M2191" i="9"/>
  <c r="M2192" i="9"/>
  <c r="M2193" i="9"/>
  <c r="M2194" i="9"/>
  <c r="M2195" i="9"/>
  <c r="M2196" i="9"/>
  <c r="M2197" i="9"/>
  <c r="M2198" i="9"/>
  <c r="M2199" i="9"/>
  <c r="M2200" i="9"/>
  <c r="M2201" i="9"/>
  <c r="M2202" i="9"/>
  <c r="M2203" i="9"/>
  <c r="M2204" i="9"/>
  <c r="M2205" i="9"/>
  <c r="M2206" i="9"/>
  <c r="M2207" i="9"/>
  <c r="M2208" i="9"/>
  <c r="M2209" i="9"/>
  <c r="M2210" i="9"/>
  <c r="M2211" i="9"/>
  <c r="M2212" i="9"/>
  <c r="M2213" i="9"/>
  <c r="M2214" i="9"/>
  <c r="M2215" i="9"/>
  <c r="M2216" i="9"/>
  <c r="M2217" i="9"/>
  <c r="M2218" i="9"/>
  <c r="M2219" i="9"/>
  <c r="M2220" i="9"/>
  <c r="M2221" i="9"/>
  <c r="M2222" i="9"/>
  <c r="M2223" i="9"/>
  <c r="M2224" i="9"/>
  <c r="M2225" i="9"/>
  <c r="M2226" i="9"/>
  <c r="M2227" i="9"/>
  <c r="M2228" i="9"/>
  <c r="M2229" i="9"/>
  <c r="M2230" i="9"/>
  <c r="M2231" i="9"/>
  <c r="M2232" i="9"/>
  <c r="M2233" i="9"/>
  <c r="M2234" i="9"/>
  <c r="M2235" i="9"/>
  <c r="M2236" i="9"/>
  <c r="M2237" i="9"/>
  <c r="M2238" i="9"/>
  <c r="M2239" i="9"/>
  <c r="M2240" i="9"/>
  <c r="M2241" i="9"/>
  <c r="M2242" i="9"/>
  <c r="M2243" i="9"/>
  <c r="M2244" i="9"/>
  <c r="M2245" i="9"/>
  <c r="M2330" i="9"/>
  <c r="M2331" i="9"/>
  <c r="M2332" i="9"/>
  <c r="M2333" i="9"/>
  <c r="M2334" i="9"/>
  <c r="M2335" i="9"/>
  <c r="M2336" i="9"/>
  <c r="M2337" i="9"/>
  <c r="M2338" i="9"/>
  <c r="M2339" i="9"/>
  <c r="M2340" i="9"/>
  <c r="M2341" i="9"/>
  <c r="M2342" i="9"/>
  <c r="M2343" i="9"/>
  <c r="M2344" i="9"/>
  <c r="M2345" i="9"/>
  <c r="M2346" i="9"/>
  <c r="M2347" i="9"/>
  <c r="M2348" i="9"/>
  <c r="M2349" i="9"/>
  <c r="M2350" i="9"/>
  <c r="M2351" i="9"/>
  <c r="M2352" i="9"/>
  <c r="M2353" i="9"/>
  <c r="M2354" i="9"/>
  <c r="M2355" i="9"/>
  <c r="M2356" i="9"/>
  <c r="M2357" i="9"/>
  <c r="M2358" i="9"/>
  <c r="M2359" i="9"/>
  <c r="M2360" i="9"/>
  <c r="M2361" i="9"/>
  <c r="M2362" i="9"/>
  <c r="M2363" i="9"/>
  <c r="M2364" i="9"/>
  <c r="M2365" i="9"/>
  <c r="M2366" i="9"/>
  <c r="M2367" i="9"/>
  <c r="M2368" i="9"/>
  <c r="M2369" i="9"/>
  <c r="M2370" i="9"/>
  <c r="M2371" i="9"/>
  <c r="M2372" i="9"/>
  <c r="M2373" i="9"/>
  <c r="M2374" i="9"/>
  <c r="M2375" i="9"/>
  <c r="M2376" i="9"/>
  <c r="M2377" i="9"/>
  <c r="M2378" i="9"/>
  <c r="M2379" i="9"/>
  <c r="M2380" i="9"/>
  <c r="M2381" i="9"/>
  <c r="M2382" i="9"/>
  <c r="M2383" i="9"/>
  <c r="M2384" i="9"/>
  <c r="M2385" i="9"/>
  <c r="M2386" i="9"/>
  <c r="M2387" i="9"/>
  <c r="M2388" i="9"/>
  <c r="M2389" i="9"/>
  <c r="M2390" i="9"/>
  <c r="M2391" i="9"/>
  <c r="M2392" i="9"/>
  <c r="M2393" i="9"/>
  <c r="M2394" i="9"/>
  <c r="M2395" i="9"/>
  <c r="M2396" i="9"/>
  <c r="M2397" i="9"/>
  <c r="M2398" i="9"/>
  <c r="M2399" i="9"/>
  <c r="M2400" i="9"/>
  <c r="M2401" i="9"/>
  <c r="M2402" i="9"/>
  <c r="M2403" i="9"/>
  <c r="M2404" i="9"/>
  <c r="M2405" i="9"/>
  <c r="M2406" i="9"/>
  <c r="M2407" i="9"/>
  <c r="M2408" i="9"/>
  <c r="M2409" i="9"/>
  <c r="M2410" i="9"/>
  <c r="M2411" i="9"/>
  <c r="M2413" i="9"/>
  <c r="M2414" i="9"/>
  <c r="M2415" i="9"/>
  <c r="M2416" i="9"/>
  <c r="M2417" i="9"/>
  <c r="M2418" i="9"/>
  <c r="M2419" i="9"/>
  <c r="M2420" i="9"/>
  <c r="M2421" i="9"/>
  <c r="M2422" i="9"/>
  <c r="M2423" i="9"/>
  <c r="M2424" i="9"/>
  <c r="M2425" i="9"/>
  <c r="M2426" i="9"/>
  <c r="M2427" i="9"/>
  <c r="M2428" i="9"/>
  <c r="M2429" i="9"/>
  <c r="M2430" i="9"/>
  <c r="M2431" i="9"/>
  <c r="M2432" i="9"/>
  <c r="M2433" i="9"/>
  <c r="M2434" i="9"/>
  <c r="M2435" i="9"/>
  <c r="M2436" i="9"/>
  <c r="M2437" i="9"/>
  <c r="M2438" i="9"/>
  <c r="M2439" i="9"/>
  <c r="M2440" i="9"/>
  <c r="M2441" i="9"/>
  <c r="M2442" i="9"/>
  <c r="M2443" i="9"/>
  <c r="M2444" i="9"/>
  <c r="M2445" i="9"/>
  <c r="M2446" i="9"/>
  <c r="M2447" i="9"/>
  <c r="M2448" i="9"/>
  <c r="M2449" i="9"/>
  <c r="M2450" i="9"/>
  <c r="M2451" i="9"/>
  <c r="M2452" i="9"/>
  <c r="M2453" i="9"/>
  <c r="M2454" i="9"/>
  <c r="M2455" i="9"/>
  <c r="M2456" i="9"/>
  <c r="M2457" i="9"/>
  <c r="M2458" i="9"/>
  <c r="M2459" i="9"/>
  <c r="M2460" i="9"/>
  <c r="M2461" i="9"/>
  <c r="M2462" i="9"/>
  <c r="M2463" i="9"/>
  <c r="M2464" i="9"/>
  <c r="M2465" i="9"/>
  <c r="M2466" i="9"/>
  <c r="M2467" i="9"/>
  <c r="M2468" i="9"/>
  <c r="M2469" i="9"/>
  <c r="M2470" i="9"/>
  <c r="M2471" i="9"/>
  <c r="M2472" i="9"/>
  <c r="M2473" i="9"/>
  <c r="M2474" i="9"/>
  <c r="M2475" i="9"/>
  <c r="M2476" i="9"/>
  <c r="M2477" i="9"/>
  <c r="M2478" i="9"/>
  <c r="M2479" i="9"/>
  <c r="M2480" i="9"/>
  <c r="M2481" i="9"/>
  <c r="M2482" i="9"/>
  <c r="M2483" i="9"/>
  <c r="M2484" i="9"/>
  <c r="M2485" i="9"/>
  <c r="M2486" i="9"/>
  <c r="M2487" i="9"/>
  <c r="M2488" i="9"/>
  <c r="M2489" i="9"/>
  <c r="M2490" i="9"/>
  <c r="M2491" i="9"/>
  <c r="M2492" i="9"/>
  <c r="M2493" i="9"/>
  <c r="M2494" i="9"/>
  <c r="X10" i="1"/>
  <c r="K15" i="1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6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V10" i="1"/>
  <c r="V11" i="1"/>
  <c r="L4" i="1"/>
  <c r="O57" i="1"/>
  <c r="O58" i="1"/>
  <c r="O88" i="1"/>
  <c r="O85" i="1"/>
  <c r="O84" i="1"/>
  <c r="O83" i="1"/>
  <c r="O81" i="1"/>
  <c r="O80" i="1"/>
  <c r="O79" i="1"/>
  <c r="O78" i="1"/>
  <c r="O77" i="1"/>
  <c r="O75" i="1"/>
  <c r="O74" i="1"/>
  <c r="O71" i="1"/>
  <c r="O70" i="1"/>
  <c r="O69" i="1"/>
  <c r="O68" i="1"/>
  <c r="O67" i="1"/>
  <c r="O66" i="1"/>
  <c r="O65" i="1"/>
  <c r="O64" i="1"/>
  <c r="O63" i="1"/>
  <c r="O61" i="1"/>
  <c r="O60" i="1"/>
  <c r="B4" i="9"/>
  <c r="I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D5" i="10"/>
  <c r="C5" i="10"/>
  <c r="B5" i="10"/>
  <c r="D3" i="10"/>
  <c r="C3" i="10"/>
  <c r="B3" i="10"/>
  <c r="D4" i="10"/>
  <c r="C4" i="10"/>
  <c r="B4" i="10"/>
  <c r="D6" i="10"/>
  <c r="C6" i="10"/>
  <c r="B6" i="10"/>
  <c r="D7" i="10"/>
  <c r="C7" i="10"/>
  <c r="B7" i="10"/>
  <c r="D8" i="10"/>
  <c r="C8" i="10"/>
  <c r="B8" i="10"/>
  <c r="D9" i="10"/>
  <c r="C9" i="10"/>
  <c r="B9" i="10"/>
  <c r="D10" i="10"/>
  <c r="C10" i="10"/>
  <c r="B10" i="10"/>
  <c r="D11" i="10"/>
  <c r="C11" i="10"/>
  <c r="B11" i="10"/>
  <c r="D12" i="10"/>
  <c r="C12" i="10"/>
  <c r="B12" i="10"/>
  <c r="D13" i="10"/>
  <c r="C13" i="10"/>
  <c r="B13" i="10"/>
  <c r="D14" i="10"/>
  <c r="C14" i="10"/>
  <c r="B14" i="10"/>
  <c r="D15" i="10"/>
  <c r="C15" i="10"/>
  <c r="B15" i="10"/>
  <c r="D16" i="10"/>
  <c r="C16" i="10"/>
  <c r="B16" i="10"/>
  <c r="D17" i="10"/>
  <c r="C17" i="10"/>
  <c r="B17" i="10"/>
  <c r="D18" i="10"/>
  <c r="C18" i="10"/>
  <c r="B18" i="10"/>
  <c r="D19" i="10"/>
  <c r="C19" i="10"/>
  <c r="B19" i="10"/>
  <c r="D20" i="10"/>
  <c r="C20" i="10"/>
  <c r="B20" i="10"/>
  <c r="D21" i="10"/>
  <c r="C21" i="10"/>
  <c r="B21" i="10"/>
  <c r="D2" i="10"/>
  <c r="C2" i="10"/>
  <c r="B2" i="10"/>
  <c r="O125" i="1"/>
  <c r="N125" i="1"/>
  <c r="O124" i="1"/>
  <c r="N124" i="1"/>
  <c r="O123" i="1"/>
  <c r="N123" i="1"/>
  <c r="O122" i="1"/>
  <c r="N122" i="1"/>
  <c r="O121" i="1"/>
  <c r="N121" i="1"/>
  <c r="O120" i="1"/>
  <c r="N120" i="1"/>
  <c r="O119" i="1"/>
  <c r="N119" i="1"/>
  <c r="O118" i="1"/>
  <c r="N118" i="1"/>
  <c r="O117" i="1"/>
  <c r="N117" i="1"/>
  <c r="O116" i="1"/>
  <c r="N116" i="1"/>
  <c r="O115" i="1"/>
  <c r="N115" i="1"/>
  <c r="O114" i="1"/>
  <c r="N114" i="1"/>
  <c r="O113" i="1"/>
  <c r="N113" i="1"/>
  <c r="O112" i="1"/>
  <c r="N112" i="1"/>
  <c r="O111" i="1"/>
  <c r="N111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G84" i="1"/>
  <c r="F84" i="1"/>
  <c r="G81" i="1"/>
  <c r="F81" i="1"/>
  <c r="G88" i="1"/>
  <c r="G86" i="1"/>
  <c r="G85" i="1"/>
  <c r="G83" i="1"/>
  <c r="G80" i="1"/>
  <c r="G79" i="1"/>
  <c r="G78" i="1"/>
  <c r="G77" i="1"/>
  <c r="G76" i="1"/>
  <c r="G75" i="1"/>
  <c r="G74" i="1"/>
  <c r="F88" i="1"/>
  <c r="H88" i="1"/>
  <c r="F86" i="1"/>
  <c r="H86" i="1"/>
  <c r="F85" i="1"/>
  <c r="F83" i="1"/>
  <c r="F80" i="1"/>
  <c r="H80" i="1"/>
  <c r="F79" i="1"/>
  <c r="H79" i="1"/>
  <c r="F78" i="1"/>
  <c r="H78" i="1"/>
  <c r="F77" i="1"/>
  <c r="H77" i="1"/>
  <c r="F76" i="1"/>
  <c r="H76" i="1"/>
  <c r="F75" i="1"/>
  <c r="H75" i="1"/>
  <c r="F74" i="1"/>
  <c r="H74" i="1"/>
  <c r="D87" i="1"/>
  <c r="C87" i="1"/>
  <c r="D75" i="1"/>
  <c r="C75" i="1"/>
  <c r="D74" i="1"/>
  <c r="D88" i="1"/>
  <c r="D85" i="1"/>
  <c r="D84" i="1"/>
  <c r="D83" i="1"/>
  <c r="D82" i="1"/>
  <c r="D81" i="1"/>
  <c r="D80" i="1"/>
  <c r="D79" i="1"/>
  <c r="D78" i="1"/>
  <c r="D77" i="1"/>
  <c r="C88" i="1"/>
  <c r="C85" i="1"/>
  <c r="C84" i="1"/>
  <c r="C83" i="1"/>
  <c r="C82" i="1"/>
  <c r="C81" i="1"/>
  <c r="C80" i="1"/>
  <c r="C79" i="1"/>
  <c r="C78" i="1"/>
  <c r="C77" i="1"/>
  <c r="C74" i="1"/>
  <c r="M126" i="1"/>
  <c r="J126" i="1"/>
  <c r="K126" i="1"/>
  <c r="L126" i="1"/>
  <c r="J109" i="1"/>
  <c r="K109" i="1"/>
  <c r="L109" i="1"/>
  <c r="M109" i="1"/>
  <c r="I109" i="1"/>
  <c r="I126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94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G111" i="1"/>
  <c r="D111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94" i="1"/>
  <c r="E100" i="1"/>
  <c r="E104" i="1"/>
  <c r="E94" i="1"/>
  <c r="H111" i="1"/>
  <c r="E96" i="1"/>
  <c r="E97" i="1"/>
  <c r="E98" i="1"/>
  <c r="E99" i="1"/>
  <c r="E101" i="1"/>
  <c r="E102" i="1"/>
  <c r="E103" i="1"/>
  <c r="E105" i="1"/>
  <c r="E106" i="1"/>
  <c r="E107" i="1"/>
  <c r="E108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95" i="1"/>
  <c r="E69" i="1"/>
  <c r="H83" i="1"/>
  <c r="H85" i="1"/>
  <c r="E87" i="1"/>
  <c r="E65" i="1"/>
  <c r="E67" i="1"/>
  <c r="L11" i="1"/>
  <c r="H61" i="1"/>
  <c r="H66" i="1"/>
  <c r="H71" i="1"/>
  <c r="R70" i="1"/>
  <c r="R72" i="1"/>
  <c r="R74" i="1"/>
  <c r="R76" i="1"/>
  <c r="R78" i="1"/>
  <c r="R82" i="1"/>
  <c r="L8" i="1"/>
  <c r="R68" i="1"/>
  <c r="R71" i="1"/>
  <c r="R73" i="1"/>
  <c r="R75" i="1"/>
  <c r="R77" i="1"/>
  <c r="R79" i="1"/>
  <c r="R69" i="1"/>
  <c r="R80" i="1"/>
  <c r="R81" i="1"/>
  <c r="E61" i="1"/>
  <c r="E71" i="1"/>
  <c r="E60" i="1"/>
  <c r="E66" i="1"/>
  <c r="E74" i="1"/>
  <c r="H65" i="1"/>
  <c r="E64" i="1"/>
  <c r="E84" i="1"/>
  <c r="E83" i="1"/>
  <c r="H84" i="1"/>
  <c r="H63" i="1"/>
  <c r="H70" i="1"/>
  <c r="E79" i="1"/>
  <c r="L89" i="1"/>
  <c r="J89" i="1"/>
  <c r="E70" i="1"/>
  <c r="E58" i="1"/>
  <c r="E88" i="1"/>
  <c r="H81" i="1"/>
  <c r="H69" i="1"/>
  <c r="E78" i="1"/>
  <c r="E82" i="1"/>
  <c r="H57" i="1"/>
  <c r="H60" i="1"/>
  <c r="H64" i="1"/>
  <c r="H67" i="1"/>
  <c r="H68" i="1"/>
  <c r="E80" i="1"/>
  <c r="E77" i="1"/>
  <c r="E81" i="1"/>
  <c r="E85" i="1"/>
  <c r="E75" i="1"/>
  <c r="E68" i="1"/>
  <c r="E59" i="1"/>
  <c r="K4" i="1"/>
  <c r="E63" i="1"/>
  <c r="H58" i="1"/>
  <c r="E57" i="1"/>
  <c r="K89" i="1"/>
  <c r="M89" i="1"/>
  <c r="E9" i="1"/>
  <c r="E8" i="1"/>
  <c r="E7" i="1"/>
  <c r="X6" i="1"/>
  <c r="E10" i="1"/>
  <c r="X4" i="1"/>
  <c r="G54" i="1"/>
  <c r="F54" i="1"/>
  <c r="G53" i="1"/>
  <c r="F53" i="1"/>
  <c r="G52" i="1"/>
  <c r="F52" i="1"/>
  <c r="G50" i="1"/>
  <c r="F50" i="1"/>
  <c r="G48" i="1"/>
  <c r="F48" i="1"/>
  <c r="G46" i="1"/>
  <c r="F46" i="1"/>
  <c r="G44" i="1"/>
  <c r="F44" i="1"/>
  <c r="G42" i="1"/>
  <c r="F42" i="1"/>
  <c r="G40" i="1"/>
  <c r="F40" i="1"/>
  <c r="G51" i="1"/>
  <c r="F51" i="1"/>
  <c r="G49" i="1"/>
  <c r="F49" i="1"/>
  <c r="G47" i="1"/>
  <c r="F47" i="1"/>
  <c r="G45" i="1"/>
  <c r="F45" i="1"/>
  <c r="G43" i="1"/>
  <c r="F43" i="1"/>
  <c r="G41" i="1"/>
  <c r="F41" i="1"/>
  <c r="X7" i="1"/>
  <c r="X9" i="1"/>
  <c r="E11" i="1"/>
  <c r="X5" i="1"/>
  <c r="X3" i="1"/>
  <c r="X2" i="1"/>
  <c r="E6" i="1"/>
  <c r="E12" i="1"/>
  <c r="H37" i="1"/>
  <c r="I2" i="9"/>
  <c r="X8" i="1"/>
</calcChain>
</file>

<file path=xl/connections.xml><?xml version="1.0" encoding="utf-8"?>
<connections xmlns="http://schemas.openxmlformats.org/spreadsheetml/2006/main">
  <connection id="1" interval="999" name="Connexion" type="4" refreshedVersion="4" background="1" saveData="1">
    <webPr sourceData="1" parsePre="1" consecutive="1" xl2000="1" url="http://www.espn.com/nba/team/stats/_/name/cle/cat/PER"/>
  </connection>
  <connection id="2" interval="999" name="Connexion1" type="4" refreshedVersion="4" background="1" saveData="1">
    <webPr sourceData="1" parsePre="1" consecutive="1" xl2000="1" url="http://www.espn.com/nba/team/stats/_/name/gs/cat/PER"/>
  </connection>
  <connection id="3" name="Connexion10" type="4" refreshedVersion="4" background="1" saveData="1">
    <webPr sourceData="1" parsePre="1" consecutive="1" xl2000="1" url="http://www.espn.com/nba/team/stats/_/name/dal/cat/PER"/>
  </connection>
  <connection id="4" name="Connexion11" type="4" refreshedVersion="4" background="1" saveData="1">
    <webPr sourceData="1" parsePre="1" consecutive="1" xl2000="1" url="http://www.espn.com/nba/team/stats/_/name/den/cat/PER"/>
  </connection>
  <connection id="5" name="Connexion12" type="4" refreshedVersion="4" background="1" saveData="1">
    <webPr sourceData="1" parsePre="1" consecutive="1" xl2000="1" url="http://www.espn.com/nba/team/stats/_/name/det/cat/PER"/>
  </connection>
  <connection id="6" name="Connexion13" type="4" refreshedVersion="4" background="1" saveData="1">
    <webPr sourceData="1" parsePre="1" consecutive="1" xl2000="1" url="http://www.espn.com/nba/team/stats/_/name/hou/cat/PER"/>
  </connection>
  <connection id="7" name="Connexion14" type="4" refreshedVersion="4" background="1" saveData="1">
    <webPr sourceData="1" parsePre="1" consecutive="1" xl2000="1" url="http://www.espn.com/nba/team/stats/_/name/ind/cat/PER"/>
  </connection>
  <connection id="8" name="Connexion15" type="4" refreshedVersion="4" background="1" saveData="1">
    <webPr sourceData="1" parsePre="1" consecutive="1" xl2000="1" url="http://www.espn.com/nba/team/stats/_/name/lal/cat/PER"/>
  </connection>
  <connection id="9" name="Connexion16" type="4" refreshedVersion="4" background="1" saveData="1">
    <webPr sourceData="1" parsePre="1" consecutive="1" xl2000="1" url="http://www.espn.com/nba/team/stats/_/name/mem/cat/PER"/>
  </connection>
  <connection id="10" name="Connexion17" type="4" refreshedVersion="4" background="1" saveData="1">
    <webPr sourceData="1" parsePre="1" consecutive="1" xl2000="1" url="http://www.espn.com/nba/team/stats/_/name/mia/cat/PER"/>
  </connection>
  <connection id="11" name="Connexion18" type="4" refreshedVersion="4" background="1" saveData="1">
    <webPr sourceData="1" parsePre="1" consecutive="1" xl2000="1" url="http://www.espn.com/nba/team/stats/_/name/mil/cat/PER"/>
  </connection>
  <connection id="12" name="Connexion19" type="4" refreshedVersion="4" background="1" saveData="1">
    <webPr sourceData="1" parsePre="1" consecutive="1" xl2000="1" url="http://www.espn.com/nba/team/stats/_/name/min/cat/PER"/>
  </connection>
  <connection id="13" interval="999" name="Connexion2" type="4" refreshedVersion="4" background="1" saveData="1">
    <webPr sourceData="1" parsePre="1" consecutive="1" xl2000="1" url="http://www.espn.com/nba/team/stats/_/name/ny/cat/PER"/>
  </connection>
  <connection id="14" name="Connexion20" type="4" refreshedVersion="4" background="1" saveData="1">
    <webPr sourceData="1" parsePre="1" consecutive="1" xl2000="1" url="http://www.espn.com/nba/team/stats/_/name/no/cat/PER"/>
  </connection>
  <connection id="15" name="Connexion21" type="4" refreshedVersion="4" background="1" saveData="1">
    <webPr sourceData="1" parsePre="1" consecutive="1" xl2000="1" url="http://www.espn.com/nba/team/stats/_/name/okc/cat/PER"/>
  </connection>
  <connection id="16" name="Connexion22" type="4" refreshedVersion="4" background="1" saveData="1">
    <webPr sourceData="1" parsePre="1" consecutive="1" xl2000="1" url="http://www.espn.com/nba/team/stats/_/name/orl/cat/PER"/>
  </connection>
  <connection id="17" name="Connexion23" type="4" refreshedVersion="4" background="1" saveData="1">
    <webPr sourceData="1" parsePre="1" consecutive="1" xl2000="1" url="http://www.espn.com/nba/team/stats/_/name/phi/cat/PER"/>
  </connection>
  <connection id="18" name="Connexion24" type="4" refreshedVersion="4" background="1" saveData="1">
    <webPr sourceData="1" parsePre="1" consecutive="1" xl2000="1" url="http://www.espn.com/nba/team/stats/_/name/phx/cat/PER"/>
  </connection>
  <connection id="19" name="Connexion25" type="4" refreshedVersion="4" background="1" saveData="1">
    <webPr sourceData="1" parsePre="1" consecutive="1" xl2000="1" url="http://www.espn.com/nba/team/stats/_/name/sac/cat/PER"/>
  </connection>
  <connection id="20" name="Connexion26" type="4" refreshedVersion="4" background="1" saveData="1">
    <webPr sourceData="1" parsePre="1" consecutive="1" xl2000="1" url="http://www.espn.com/nba/team/stats/_/name/tor/cat/PER"/>
  </connection>
  <connection id="21" interval="999" name="Connexion3" type="4" refreshedVersion="6" background="1" saveData="1">
    <webPr sourceData="1" parsePre="1" consecutive="1" xl2000="1" url="http://www.espn.com/nba/team/stats/_/name/por/cat/PER"/>
  </connection>
  <connection id="22" interval="999" name="Connexion4" type="4" refreshedVersion="4" background="1" saveData="1">
    <webPr sourceData="1" parsePre="1" consecutive="1" xl2000="1" url="http://www.espn.com/nba/team/stats/_/name/sa/cat/PER"/>
  </connection>
  <connection id="23" interval="999" name="Connexion5" type="4" refreshedVersion="4" background="1" saveData="1">
    <webPr sourceData="1" parsePre="1" consecutive="1" xl2000="1" url="http://www.espn.com/nba/team/stats/_/name/utah/cat/PER"/>
  </connection>
  <connection id="24" name="Connexion6" type="4" refreshedVersion="4" background="1" saveData="1">
    <webPr sourceData="1" parsePre="1" consecutive="1" xl2000="1" url="https://insider.espn.com/nba/hollinger/statistics"/>
  </connection>
  <connection id="25" name="Connexion7" type="4" refreshedVersion="4" background="1" saveData="1">
    <webPr sourceData="1" parsePre="1" consecutive="1" xl2000="1" url="http://www.espn.com/nba/team/stats/_/name/bos/cat/PER"/>
  </connection>
  <connection id="26" name="Connexion8" type="4" refreshedVersion="4" background="1" saveData="1">
    <webPr sourceData="1" parsePre="1" consecutive="1" xl2000="1" url="http://www.espn.com/nba/team/stats/_/name/bkn/cat/PER"/>
  </connection>
  <connection id="27" name="Connexion9" type="4" refreshedVersion="4" background="1" saveData="1">
    <webPr sourceData="1" parsePre="1" consecutive="1" xl2000="1" url="http://www.espn.com/nba/team/stats/_/name/cha/cat/PER"/>
  </connection>
</connections>
</file>

<file path=xl/sharedStrings.xml><?xml version="1.0" encoding="utf-8"?>
<sst xmlns="http://schemas.openxmlformats.org/spreadsheetml/2006/main" count="27362" uniqueCount="2006">
  <si>
    <t>Atlanta</t>
  </si>
  <si>
    <t>Boston</t>
  </si>
  <si>
    <t>Chicago</t>
  </si>
  <si>
    <t>Charlotte</t>
  </si>
  <si>
    <t>Cleveland</t>
  </si>
  <si>
    <t>Detroit</t>
  </si>
  <si>
    <t>Miami</t>
  </si>
  <si>
    <t>Indiana</t>
  </si>
  <si>
    <t>Milwaukee</t>
  </si>
  <si>
    <t>NY Knicks</t>
  </si>
  <si>
    <t>Orlando</t>
  </si>
  <si>
    <t>Philadelphie</t>
  </si>
  <si>
    <t>Toronto</t>
  </si>
  <si>
    <t>Washington</t>
  </si>
  <si>
    <t>Dallas</t>
  </si>
  <si>
    <t>Denver</t>
  </si>
  <si>
    <t>Golden</t>
  </si>
  <si>
    <t>Houston</t>
  </si>
  <si>
    <t>Clippers</t>
  </si>
  <si>
    <t>Lakers</t>
  </si>
  <si>
    <t>Memphis</t>
  </si>
  <si>
    <t>Minnesota</t>
  </si>
  <si>
    <t>New Orleans</t>
  </si>
  <si>
    <t>OKC</t>
  </si>
  <si>
    <t>Portland</t>
  </si>
  <si>
    <t>Phoenix</t>
  </si>
  <si>
    <t>Sacramento</t>
  </si>
  <si>
    <t>San Anotnio</t>
  </si>
  <si>
    <t>Utah</t>
  </si>
  <si>
    <t>OUEST</t>
  </si>
  <si>
    <t>EST</t>
  </si>
  <si>
    <t>EQUIPES</t>
  </si>
  <si>
    <t>Victoire</t>
  </si>
  <si>
    <t>Défaite</t>
  </si>
  <si>
    <t>Domicile</t>
  </si>
  <si>
    <t>Extérieur</t>
  </si>
  <si>
    <t>%</t>
  </si>
  <si>
    <t>PTS</t>
  </si>
  <si>
    <t>3PT%</t>
  </si>
  <si>
    <t>FG%</t>
  </si>
  <si>
    <t>FT%</t>
  </si>
  <si>
    <t>2PT%</t>
  </si>
  <si>
    <t>Classement</t>
  </si>
  <si>
    <t>Saison 2016-17</t>
  </si>
  <si>
    <t>Saison 2015-16</t>
  </si>
  <si>
    <t>Brooklyn</t>
  </si>
  <si>
    <t>San Antonio</t>
  </si>
  <si>
    <t>SA</t>
  </si>
  <si>
    <t>@SA</t>
  </si>
  <si>
    <t>D</t>
  </si>
  <si>
    <t>E</t>
  </si>
  <si>
    <t>LAC</t>
  </si>
  <si>
    <t>LAL</t>
  </si>
  <si>
    <t>GS</t>
  </si>
  <si>
    <t>LA Clippers</t>
  </si>
  <si>
    <t>LA Lakers</t>
  </si>
  <si>
    <t>/</t>
  </si>
  <si>
    <t>Paul Millsap, PF</t>
  </si>
  <si>
    <t>Jeff Teague, PG</t>
  </si>
  <si>
    <t>Al Horford, C</t>
  </si>
  <si>
    <t>Kent Bazemore, SF</t>
  </si>
  <si>
    <t>Dennis Schroder, PG</t>
  </si>
  <si>
    <t>Kyle Korver, SG</t>
  </si>
  <si>
    <t>Thabo Sefolosha, SF</t>
  </si>
  <si>
    <t>Tim Hardaway Jr., SG</t>
  </si>
  <si>
    <t>Kris Humphries, PF†</t>
  </si>
  <si>
    <t>Mike Scott, PF</t>
  </si>
  <si>
    <t>Tiago Splitter, C</t>
  </si>
  <si>
    <t>Shelvin Mack, PG†</t>
  </si>
  <si>
    <t>Mike Muscala, PF</t>
  </si>
  <si>
    <t>Justin Holiday, SG†</t>
  </si>
  <si>
    <t>Lamar Patterson, SG</t>
  </si>
  <si>
    <t>Walter Tavares, C</t>
  </si>
  <si>
    <t>Kirk Hinrich, SG†</t>
  </si>
  <si>
    <t>Isaiah Thomas, PG</t>
  </si>
  <si>
    <t>Avery Bradley, PG</t>
  </si>
  <si>
    <t>Jae Crowder, SF</t>
  </si>
  <si>
    <t>Evan Turner, SG</t>
  </si>
  <si>
    <t>Jared Sullinger, C</t>
  </si>
  <si>
    <t>Kelly Olynyk, C</t>
  </si>
  <si>
    <t>Marcus Smart, PG</t>
  </si>
  <si>
    <t>Amir Johnson, PF</t>
  </si>
  <si>
    <t>David Lee, PF†</t>
  </si>
  <si>
    <t>Tyler Zeller, C</t>
  </si>
  <si>
    <t>Jonas Jerebko, PF</t>
  </si>
  <si>
    <t>R.J. Hunter, SG</t>
  </si>
  <si>
    <t>Coty Clarke, PF</t>
  </si>
  <si>
    <t>Terry Rozier, PG</t>
  </si>
  <si>
    <t>Jordan Mickey, PF</t>
  </si>
  <si>
    <t>James Young, SG</t>
  </si>
  <si>
    <t>Brook Lopez, C</t>
  </si>
  <si>
    <t>Thaddeus Young, PF</t>
  </si>
  <si>
    <t>Sean Kilpatrick, SG†</t>
  </si>
  <si>
    <t>Jarrett Jack, PG</t>
  </si>
  <si>
    <t>Joe Johnson, SF†</t>
  </si>
  <si>
    <t>Bojan Bogdanovic, SG</t>
  </si>
  <si>
    <t>Wayne Ellington, SG</t>
  </si>
  <si>
    <t>Shane Larkin, PG</t>
  </si>
  <si>
    <t>Donald Sloan, PG</t>
  </si>
  <si>
    <t>Andrea Bargnani, C</t>
  </si>
  <si>
    <t>Henry Sims, C</t>
  </si>
  <si>
    <t>Markel Brown, SG</t>
  </si>
  <si>
    <t>Rondae Hollis-Jefferson, SG</t>
  </si>
  <si>
    <t>Willie Reed, PF</t>
  </si>
  <si>
    <t>Chris McCullough, PF</t>
  </si>
  <si>
    <t>Thomas Robinson, PF</t>
  </si>
  <si>
    <t>Sergey Karasev, SG</t>
  </si>
  <si>
    <t>Jimmy Butler, SG</t>
  </si>
  <si>
    <t>Pau Gasol, C</t>
  </si>
  <si>
    <t>Derrick Rose, PG</t>
  </si>
  <si>
    <t>Nikola Mirotic, PF</t>
  </si>
  <si>
    <t>Doug McDermott, SF</t>
  </si>
  <si>
    <t>Taj Gibson, PF</t>
  </si>
  <si>
    <t>E'Twaun Moore, SG</t>
  </si>
  <si>
    <t>Mike Dunleavy, SG</t>
  </si>
  <si>
    <t>Aaron Brooks, PG</t>
  </si>
  <si>
    <t>Bobby Portis, PF</t>
  </si>
  <si>
    <t>Tony Snell, SF</t>
  </si>
  <si>
    <t>Joakim Noah, C</t>
  </si>
  <si>
    <t>Cristiano Felicio, PF</t>
  </si>
  <si>
    <t>Cameron Bairstow, PF</t>
  </si>
  <si>
    <t>Kemba Walker, PG</t>
  </si>
  <si>
    <t>Nicolas Batum, SG</t>
  </si>
  <si>
    <t>Michael Kidd-Gilchrist, SF</t>
  </si>
  <si>
    <t>Al Jefferson, C</t>
  </si>
  <si>
    <t>Jeremy Lin, PG</t>
  </si>
  <si>
    <t>Marvin Williams, PF</t>
  </si>
  <si>
    <t>Courtney Lee, SG†</t>
  </si>
  <si>
    <t>Jeremy Lamb, SG</t>
  </si>
  <si>
    <t>Cody Zeller, PF</t>
  </si>
  <si>
    <t>Frank Kaminsky III, C</t>
  </si>
  <si>
    <t>Spencer Hawes, PF</t>
  </si>
  <si>
    <t>P.J. Hairston, SF†</t>
  </si>
  <si>
    <t>Troy Daniels, SG</t>
  </si>
  <si>
    <t>Brian Roberts, PG†</t>
  </si>
  <si>
    <t>Tyler Hansbrough, PF</t>
  </si>
  <si>
    <t>Jorge Gutierrez, PG</t>
  </si>
  <si>
    <t>Aaron Harrison, SG</t>
  </si>
  <si>
    <t>LeBron James, SF</t>
  </si>
  <si>
    <t>Kyrie Irving, PG</t>
  </si>
  <si>
    <t>Kevin Love, PF</t>
  </si>
  <si>
    <t>Dahntay Jones, SG</t>
  </si>
  <si>
    <t>J.R. Smith, SG</t>
  </si>
  <si>
    <t>Mo Williams, PG</t>
  </si>
  <si>
    <t>Tristan Thompson, C</t>
  </si>
  <si>
    <t>Channing Frye, PF†</t>
  </si>
  <si>
    <t>Matthew Dellavedova, PG</t>
  </si>
  <si>
    <t>Timofey Mozgov, C</t>
  </si>
  <si>
    <t>Iman Shumpert, SG</t>
  </si>
  <si>
    <t>Richard Jefferson, SF</t>
  </si>
  <si>
    <t>Jordan McRae, SG†</t>
  </si>
  <si>
    <t>James Jones, SG</t>
  </si>
  <si>
    <t>Jared Cunningham, SG†</t>
  </si>
  <si>
    <t>Anderson Varejao, C†</t>
  </si>
  <si>
    <t>Sasha Kaun, C</t>
  </si>
  <si>
    <t>Joe Harris, SG</t>
  </si>
  <si>
    <t>Reggie Jackson, PG</t>
  </si>
  <si>
    <t>Tobias Harris, SF†</t>
  </si>
  <si>
    <t>Andre Drummond, C</t>
  </si>
  <si>
    <t>Kentavious Caldwell-Pope, SG</t>
  </si>
  <si>
    <t>Marcus Morris, PF</t>
  </si>
  <si>
    <t>Ersan Ilyasova, PF†</t>
  </si>
  <si>
    <t>Stanley Johnson, SF</t>
  </si>
  <si>
    <t>Jodie Meeks, SG</t>
  </si>
  <si>
    <t>Brandon Jennings, PG†</t>
  </si>
  <si>
    <t>Aron Baynes, PF</t>
  </si>
  <si>
    <t>Anthony Tolliver, PF</t>
  </si>
  <si>
    <t>Spencer Dinwiddie, PG</t>
  </si>
  <si>
    <t>Steve Blake, PG</t>
  </si>
  <si>
    <t>Darrun Hilliard, SG</t>
  </si>
  <si>
    <t>Reggie Bullock, SF</t>
  </si>
  <si>
    <t>Justin Harper, PF</t>
  </si>
  <si>
    <t>Joel Anthony, C</t>
  </si>
  <si>
    <t>Indianna</t>
  </si>
  <si>
    <t>Paul George, SF</t>
  </si>
  <si>
    <t>Monta Ellis, SG</t>
  </si>
  <si>
    <t>George Hill, PG</t>
  </si>
  <si>
    <t>C.J. Miles, SF</t>
  </si>
  <si>
    <t>Myles Turner, PF</t>
  </si>
  <si>
    <t>Ian Mahinmi, C</t>
  </si>
  <si>
    <t>Rodney Stuckey, PG</t>
  </si>
  <si>
    <t>Jordan Hill, PF</t>
  </si>
  <si>
    <t>Lavoy Allen, PF</t>
  </si>
  <si>
    <t>Ty Lawson, PG†</t>
  </si>
  <si>
    <t>Chase Budinger, SF†</t>
  </si>
  <si>
    <t>Solomon Hill, SF</t>
  </si>
  <si>
    <t>Rakeem Christmas, PF</t>
  </si>
  <si>
    <t>Glenn Robinson III, SG</t>
  </si>
  <si>
    <t>Joe Young, PG</t>
  </si>
  <si>
    <t>Shayne Whittington, PF</t>
  </si>
  <si>
    <t>Chris Bosh, PF</t>
  </si>
  <si>
    <t>Dwyane Wade, SG</t>
  </si>
  <si>
    <t>Hassan Whiteside, C</t>
  </si>
  <si>
    <t>Goran Dragic, PG</t>
  </si>
  <si>
    <t>Luol Deng, SF</t>
  </si>
  <si>
    <t>Gerald Green, SF</t>
  </si>
  <si>
    <t>Tyler Johnson, SG</t>
  </si>
  <si>
    <t>Josh Richardson, SG</t>
  </si>
  <si>
    <t>Justise Winslow, SF</t>
  </si>
  <si>
    <t>Amar'e Stoudemire, C</t>
  </si>
  <si>
    <t>Mario Chalmers, PG†</t>
  </si>
  <si>
    <t>Beno Udrih, PG†</t>
  </si>
  <si>
    <t>Josh McRoberts, PF</t>
  </si>
  <si>
    <t>Briante Weber, PG†</t>
  </si>
  <si>
    <t>Chris Andersen, PF†</t>
  </si>
  <si>
    <t>Udonis Haslem, PF</t>
  </si>
  <si>
    <t>Jarnell Stokes, PF†</t>
  </si>
  <si>
    <t>James Ennis, SF†</t>
  </si>
  <si>
    <t>Khris Middleton, SG</t>
  </si>
  <si>
    <t>Giannis Antetokounmpo, SF</t>
  </si>
  <si>
    <t>Greg Monroe, C</t>
  </si>
  <si>
    <t>Jabari Parker, PF</t>
  </si>
  <si>
    <t>Michael Carter-Williams, PG</t>
  </si>
  <si>
    <t>Jerryd Bayless, PG</t>
  </si>
  <si>
    <t>O.J. Mayo, SG</t>
  </si>
  <si>
    <t>John Henson, PF</t>
  </si>
  <si>
    <t>Greivis Vasquez, PG</t>
  </si>
  <si>
    <t>Miles Plumlee, C</t>
  </si>
  <si>
    <t>Tyler Ennis, PG</t>
  </si>
  <si>
    <t>Rashad Vaughn, SG</t>
  </si>
  <si>
    <t>Johnny O'Bryant III, PF</t>
  </si>
  <si>
    <t>Steve Novak, SF†</t>
  </si>
  <si>
    <t>Chris Copeland, SF</t>
  </si>
  <si>
    <t>Damien Inglis, SF</t>
  </si>
  <si>
    <t>PER</t>
  </si>
  <si>
    <t>Carmelo Anthony, SF</t>
  </si>
  <si>
    <t>Kristaps Porzingis, PF</t>
  </si>
  <si>
    <t>Arron Afflalo, SG</t>
  </si>
  <si>
    <t>Robin Lopez, C</t>
  </si>
  <si>
    <t>Derrick Williams, PF</t>
  </si>
  <si>
    <t>Lance Thomas, SF</t>
  </si>
  <si>
    <t>Langston Galloway, SG</t>
  </si>
  <si>
    <t>Jose Calderon, PG</t>
  </si>
  <si>
    <t>Jerian Grant, PG</t>
  </si>
  <si>
    <t>Sasha Vujacic, SG</t>
  </si>
  <si>
    <t>Kyle O'Quinn, PF</t>
  </si>
  <si>
    <t>Kevin Seraphin, C</t>
  </si>
  <si>
    <t>Jimmer Fredette, PG†</t>
  </si>
  <si>
    <t>Thanasis Antetokounmpo, SF</t>
  </si>
  <si>
    <t>Cleanthony Early, SF</t>
  </si>
  <si>
    <t>Lou Amundson, PF</t>
  </si>
  <si>
    <t>Nikola Vucevic, C</t>
  </si>
  <si>
    <t>Victor Oladipo, SG</t>
  </si>
  <si>
    <t>Evan Fournier, SG</t>
  </si>
  <si>
    <t>Elfrid Payton, PG</t>
  </si>
  <si>
    <t>Aaron Gordon, PF</t>
  </si>
  <si>
    <t>Jason Smith, PF</t>
  </si>
  <si>
    <t>Andrew Nicholson, PF</t>
  </si>
  <si>
    <t>Mario Hezonja, SG</t>
  </si>
  <si>
    <t>Dewayne Dedmon, C</t>
  </si>
  <si>
    <t>C.J. Watson, PG</t>
  </si>
  <si>
    <t>Shabazz Napier, PG</t>
  </si>
  <si>
    <t>Devyn Marble, SF</t>
  </si>
  <si>
    <t>Keith Appling, PG</t>
  </si>
  <si>
    <t>Philadephie</t>
  </si>
  <si>
    <t>Jahlil Okafor, C</t>
  </si>
  <si>
    <t>Ish Smith, PG†</t>
  </si>
  <si>
    <t>Robert Covington, SF</t>
  </si>
  <si>
    <t>Nerlens Noel, PF</t>
  </si>
  <si>
    <t>Isaiah Canaan, PG</t>
  </si>
  <si>
    <t>Hollis Thompson, SG</t>
  </si>
  <si>
    <t>Carl Landry, PF</t>
  </si>
  <si>
    <t>Jerami Grant, SF</t>
  </si>
  <si>
    <t>Nik Stauskas, SG</t>
  </si>
  <si>
    <t>Tony Wroten, SG</t>
  </si>
  <si>
    <t>T.J. McConnell, PG</t>
  </si>
  <si>
    <t>Richaun Holmes, PF</t>
  </si>
  <si>
    <t>JaKarr Sampson, SG†</t>
  </si>
  <si>
    <t>Elton Brand, PF</t>
  </si>
  <si>
    <t>Phil Pressey, PG†</t>
  </si>
  <si>
    <t>Kendall Marshall, PG</t>
  </si>
  <si>
    <t>Christian Wood, PF</t>
  </si>
  <si>
    <t>Sonny Weems, SG†</t>
  </si>
  <si>
    <t>DeMar DeRozan, SG</t>
  </si>
  <si>
    <t>Kyle Lowry, PG</t>
  </si>
  <si>
    <t>Jonas Valanciunas, C</t>
  </si>
  <si>
    <t>DeMarre Carroll, SF</t>
  </si>
  <si>
    <t>Terrence Ross, SF</t>
  </si>
  <si>
    <t>Luis Scola, PF</t>
  </si>
  <si>
    <t>Cory Joseph, PG</t>
  </si>
  <si>
    <t>Patrick Patterson, PF</t>
  </si>
  <si>
    <t>Norman Powell, SG</t>
  </si>
  <si>
    <t>Bismack Biyombo, C</t>
  </si>
  <si>
    <t>James Johnson, PF</t>
  </si>
  <si>
    <t>Jason Thompson, PF†</t>
  </si>
  <si>
    <t>Delon Wright, PG</t>
  </si>
  <si>
    <t>Lucas Nogueira, C</t>
  </si>
  <si>
    <t>Anthony Bennett, PF</t>
  </si>
  <si>
    <t>Bruno Caboclo, SF</t>
  </si>
  <si>
    <t>John Wall, PG</t>
  </si>
  <si>
    <t>Bradley Beal, SG</t>
  </si>
  <si>
    <t>Marcin Gortat, C</t>
  </si>
  <si>
    <t>Markieff Morris, PF†</t>
  </si>
  <si>
    <t>Otto Porter Jr., SF</t>
  </si>
  <si>
    <t>Ramon Sessions, PG</t>
  </si>
  <si>
    <t>Gary Neal, PG</t>
  </si>
  <si>
    <t>Nene Hilario, C</t>
  </si>
  <si>
    <t>Marcus Thornton, SF†</t>
  </si>
  <si>
    <t>Jared Dudley, SF</t>
  </si>
  <si>
    <t>Garrett Temple, SG</t>
  </si>
  <si>
    <t>Alan Anderson, SG</t>
  </si>
  <si>
    <t>JJ Hickson, C†</t>
  </si>
  <si>
    <t>Kelly Oubre Jr., SF</t>
  </si>
  <si>
    <t>Drew Gooden, PF</t>
  </si>
  <si>
    <t>Jarell Eddie, SG</t>
  </si>
  <si>
    <t>DeJuan Blair, C</t>
  </si>
  <si>
    <t>Ryan Hollins, C†</t>
  </si>
  <si>
    <t>PER 5 START *</t>
  </si>
  <si>
    <t>* based on player start game</t>
  </si>
  <si>
    <t>Dirk Nowitzki, PF</t>
  </si>
  <si>
    <t>Deron Williams, PG</t>
  </si>
  <si>
    <t>Chandler Parsons, SF</t>
  </si>
  <si>
    <t>Wesley Matthews, SG</t>
  </si>
  <si>
    <t>J.J. Barea, PG</t>
  </si>
  <si>
    <t>Raymond Felton, PG</t>
  </si>
  <si>
    <t>Zaza Pachulia, C</t>
  </si>
  <si>
    <t>Devin Harris, PG</t>
  </si>
  <si>
    <t>Dwight Powell, PF</t>
  </si>
  <si>
    <t>Charlie Villanueva, PF</t>
  </si>
  <si>
    <t>JaVale McGee, C</t>
  </si>
  <si>
    <t>Justin Anderson, SG</t>
  </si>
  <si>
    <t>Salah Mejri, C</t>
  </si>
  <si>
    <t>John Jenkins, SG†</t>
  </si>
  <si>
    <t>Jeremy Evans, SF</t>
  </si>
  <si>
    <t>Danilo Gallinari, SF</t>
  </si>
  <si>
    <t>Will Barton, SF</t>
  </si>
  <si>
    <t>Emmanuel Mudiay, PG</t>
  </si>
  <si>
    <t>Kenneth Faried, PF</t>
  </si>
  <si>
    <t>Gary Harris, SG</t>
  </si>
  <si>
    <t>D.J. Augustin, PG†</t>
  </si>
  <si>
    <t>Nikola Jokic, C</t>
  </si>
  <si>
    <t>Jusuf Nurkic, C</t>
  </si>
  <si>
    <t>Joffrey Lauvergne, C</t>
  </si>
  <si>
    <t>Jameer Nelson, PG</t>
  </si>
  <si>
    <t>Darrell Arthur, PF</t>
  </si>
  <si>
    <t>Randy Foye, SG†</t>
  </si>
  <si>
    <t>Axel Toupane, SG</t>
  </si>
  <si>
    <t>Kostas Papanikolaou, SF</t>
  </si>
  <si>
    <t>Mike Miller, SG</t>
  </si>
  <si>
    <t>Erick Green, PG†</t>
  </si>
  <si>
    <t>Stephen Curry, PG</t>
  </si>
  <si>
    <t>Klay Thompson, SG</t>
  </si>
  <si>
    <t>Draymond Green, PF</t>
  </si>
  <si>
    <t>Harrison Barnes, SF</t>
  </si>
  <si>
    <t>Marreese Speights, C</t>
  </si>
  <si>
    <t>Andre Iguodala, SF</t>
  </si>
  <si>
    <t>Festus Ezeli, C</t>
  </si>
  <si>
    <t>Leandro Barbosa, SG</t>
  </si>
  <si>
    <t>Shaun Livingston, PG</t>
  </si>
  <si>
    <t>Andrew Bogut, C</t>
  </si>
  <si>
    <t>Brandon Rush, SG</t>
  </si>
  <si>
    <t>Ian Clark, SG</t>
  </si>
  <si>
    <t>James Michael McAdoo, SF</t>
  </si>
  <si>
    <t>Kevon Looney, SF</t>
  </si>
  <si>
    <t>James Harden, SG</t>
  </si>
  <si>
    <t>Dwight Howard, C</t>
  </si>
  <si>
    <t>Michael Beasley, SF</t>
  </si>
  <si>
    <t>Trevor Ariza, SF</t>
  </si>
  <si>
    <t>Patrick Beverley, PG</t>
  </si>
  <si>
    <t>Terrence Jones, PF</t>
  </si>
  <si>
    <t>Corey Brewer, SF</t>
  </si>
  <si>
    <t>Clint Capela, C</t>
  </si>
  <si>
    <t>Josh Smith, C†</t>
  </si>
  <si>
    <t>Donatas Motiejunas, PF</t>
  </si>
  <si>
    <t>Jason Terry, SG</t>
  </si>
  <si>
    <t>Montrezl Harrell, PF</t>
  </si>
  <si>
    <t>Andrew Goudelock, PG</t>
  </si>
  <si>
    <t>K.J. McDaniels, SG</t>
  </si>
  <si>
    <t>Chuck Hayes, PF</t>
  </si>
  <si>
    <t>Sam Dekker, SF</t>
  </si>
  <si>
    <t>Blake Griffin, PF</t>
  </si>
  <si>
    <t>Chris Paul, PG</t>
  </si>
  <si>
    <t>JJ Redick, SG</t>
  </si>
  <si>
    <t>Jamal Crawford, SG</t>
  </si>
  <si>
    <t>DeAndre Jordan, C</t>
  </si>
  <si>
    <t>Jeff Green, SF†</t>
  </si>
  <si>
    <t>Austin Rivers, PG</t>
  </si>
  <si>
    <t>Wesley Johnson, SF</t>
  </si>
  <si>
    <t>Paul Pierce, SF</t>
  </si>
  <si>
    <t>Cole Aldrich, C</t>
  </si>
  <si>
    <t>Lance Stephenson, SG†</t>
  </si>
  <si>
    <t>Luc Richard Mbah a Moute, PF</t>
  </si>
  <si>
    <t>C.J. Wilcox, SG</t>
  </si>
  <si>
    <t>Pablo Prigioni, PG</t>
  </si>
  <si>
    <t>Jeff Ayres, PF</t>
  </si>
  <si>
    <t>Branden Dawson, SF</t>
  </si>
  <si>
    <t>Alex Stepheson, PF†</t>
  </si>
  <si>
    <t>Kobe Bryant, SF</t>
  </si>
  <si>
    <t>Jordan Clarkson, PG</t>
  </si>
  <si>
    <t>Louis Williams, SG</t>
  </si>
  <si>
    <t>D'Angelo Russell, PG</t>
  </si>
  <si>
    <t>Julius Randle, PF</t>
  </si>
  <si>
    <t>Nick Young, SF</t>
  </si>
  <si>
    <t>Brandon Bass, PF</t>
  </si>
  <si>
    <t>Roy Hibbert, C</t>
  </si>
  <si>
    <t>Larry Nance Jr., PF</t>
  </si>
  <si>
    <t>Metta World Peace, SF</t>
  </si>
  <si>
    <t>Marcelo Huertas, PG</t>
  </si>
  <si>
    <t>Ryan Kelly, PF</t>
  </si>
  <si>
    <t>Anthony Brown, SF</t>
  </si>
  <si>
    <t>Robert Sacre, C</t>
  </si>
  <si>
    <t>Tarik Black, C</t>
  </si>
  <si>
    <t>Marc Gasol, C</t>
  </si>
  <si>
    <t>Mike Conley, PG</t>
  </si>
  <si>
    <t>Zach Randolph, PF</t>
  </si>
  <si>
    <t>Matt Barnes, SF</t>
  </si>
  <si>
    <t>Jordan Farmar, PG</t>
  </si>
  <si>
    <t>Tony Allen, SG</t>
  </si>
  <si>
    <t>JaMychal Green, PF</t>
  </si>
  <si>
    <t>Brandan Wright, PF</t>
  </si>
  <si>
    <t>Ray McCallum, PG†</t>
  </si>
  <si>
    <t>Vince Carter, SG</t>
  </si>
  <si>
    <t>Xavier Munford, PG</t>
  </si>
  <si>
    <t>Jarell Martin, PF</t>
  </si>
  <si>
    <t>Jordan Adams, SG</t>
  </si>
  <si>
    <t>Elliot Williams, SG</t>
  </si>
  <si>
    <t>Russ Smith, PG</t>
  </si>
  <si>
    <t>Bryce Cotton, PG†</t>
  </si>
  <si>
    <t>Andrew Wiggins, SF</t>
  </si>
  <si>
    <t>Karl-Anthony Towns, PF</t>
  </si>
  <si>
    <t>Zach LaVine, PG</t>
  </si>
  <si>
    <t>Kevin Martin, SG†</t>
  </si>
  <si>
    <t>Shabazz Muhammad, SF</t>
  </si>
  <si>
    <t>Gorgui Dieng, C</t>
  </si>
  <si>
    <t>Ricky Rubio, PG</t>
  </si>
  <si>
    <t>Nemanja Bjelica, PF</t>
  </si>
  <si>
    <t>Nikola Pekovic, C</t>
  </si>
  <si>
    <t>Tyus Jones, PG</t>
  </si>
  <si>
    <t>Andre Miller, PG†</t>
  </si>
  <si>
    <t>Kevin Garnett, PF</t>
  </si>
  <si>
    <t>Tayshaun Prince, SF</t>
  </si>
  <si>
    <t>Adreian Payne, PF</t>
  </si>
  <si>
    <t>Greg Smith, PF</t>
  </si>
  <si>
    <t>Damjan Rudez, SF</t>
  </si>
  <si>
    <t>Anthony Davis, PF</t>
  </si>
  <si>
    <t>Ryan Anderson, PF</t>
  </si>
  <si>
    <t>Jrue Holiday, PG</t>
  </si>
  <si>
    <t>Eric Gordon, SG</t>
  </si>
  <si>
    <t>Tyreke Evans, SG</t>
  </si>
  <si>
    <t>Tim Frazier, PG†</t>
  </si>
  <si>
    <t>Jordan Hamilton, SG</t>
  </si>
  <si>
    <t>Norris Cole, PG</t>
  </si>
  <si>
    <t>Toney Douglas, PG</t>
  </si>
  <si>
    <t>Luke Babbitt, SF</t>
  </si>
  <si>
    <t>Dante Cunningham, PF</t>
  </si>
  <si>
    <t>Alexis Ajinca, C</t>
  </si>
  <si>
    <t>Bryce Dejean-Jones, SG</t>
  </si>
  <si>
    <t>Alonzo Gee, SG</t>
  </si>
  <si>
    <t>Omer Asik, C</t>
  </si>
  <si>
    <t>Kendrick Perkins, C</t>
  </si>
  <si>
    <t>Orlando Johnson, SG†</t>
  </si>
  <si>
    <t>Kevin Durant, SF</t>
  </si>
  <si>
    <t>Russell Westbrook, PG</t>
  </si>
  <si>
    <t>Enes Kanter, C</t>
  </si>
  <si>
    <t>Serge Ibaka, PF</t>
  </si>
  <si>
    <t>Dion Waiters, SG</t>
  </si>
  <si>
    <t>Steven Adams, C</t>
  </si>
  <si>
    <t>Anthony Morrow, SG</t>
  </si>
  <si>
    <t>Cameron Payne, PG</t>
  </si>
  <si>
    <t>Andre Roberson, SG</t>
  </si>
  <si>
    <t>Kyle Singler, SF</t>
  </si>
  <si>
    <t>Josh Huestis, SF</t>
  </si>
  <si>
    <t>Nick Collison, PF</t>
  </si>
  <si>
    <t>Nazr Mohammed, C</t>
  </si>
  <si>
    <t>Mitch McGary, PF</t>
  </si>
  <si>
    <t>Eric Bledsoe, PG</t>
  </si>
  <si>
    <t>Brandon Knight, PG</t>
  </si>
  <si>
    <t>Devin Booker, SG</t>
  </si>
  <si>
    <t>Mirza Teletovic, PF</t>
  </si>
  <si>
    <t>T.J. Warren, SF</t>
  </si>
  <si>
    <t>Alex Len, C</t>
  </si>
  <si>
    <t>Archie Goodwin, SG</t>
  </si>
  <si>
    <t>Jon Leuer, PF</t>
  </si>
  <si>
    <t>P.J. Tucker, SF</t>
  </si>
  <si>
    <t>Tyson Chandler, C</t>
  </si>
  <si>
    <t>Ronnie Price, PG</t>
  </si>
  <si>
    <t>Alan Williams, PF</t>
  </si>
  <si>
    <t>Cory Jefferson, PF</t>
  </si>
  <si>
    <t>Lorenzo Brown, PG</t>
  </si>
  <si>
    <t>Damian Lillard, PG</t>
  </si>
  <si>
    <t>C.J. McCollum, SG</t>
  </si>
  <si>
    <t>Allen Crabbe, SG</t>
  </si>
  <si>
    <t>Al-Farouq Aminu, SF</t>
  </si>
  <si>
    <t>Mason Plumlee, PF</t>
  </si>
  <si>
    <t>Gerald Henderson, SG</t>
  </si>
  <si>
    <t>Meyers Leonard, PF</t>
  </si>
  <si>
    <t>Ed Davis, PF</t>
  </si>
  <si>
    <t>Maurice Harkless, SF</t>
  </si>
  <si>
    <t>Noah Vonleh, PF</t>
  </si>
  <si>
    <t>Chris Kaman, C</t>
  </si>
  <si>
    <t>Cliff Alexander, PF</t>
  </si>
  <si>
    <t>Luis Montero, SG</t>
  </si>
  <si>
    <t>Pat Connaughton, SG</t>
  </si>
  <si>
    <t>DeMarcus Cousins, C</t>
  </si>
  <si>
    <t>Rudy Gay, SF</t>
  </si>
  <si>
    <t>Darren Collison, PG</t>
  </si>
  <si>
    <t>Rajon Rondo, PG</t>
  </si>
  <si>
    <t>Omri Casspi, SF</t>
  </si>
  <si>
    <t>Marco Belinelli, SG</t>
  </si>
  <si>
    <t>Ben McLemore, SG</t>
  </si>
  <si>
    <t>Willie Cauley-Stein, C</t>
  </si>
  <si>
    <t>Seth Curry, SG</t>
  </si>
  <si>
    <t>Kosta Koufos, C</t>
  </si>
  <si>
    <t>Duje Dukan, PF</t>
  </si>
  <si>
    <t>Quincy Acy, SF</t>
  </si>
  <si>
    <t>Caron Butler, SF</t>
  </si>
  <si>
    <t>James Anderson, SG</t>
  </si>
  <si>
    <t>Eric Moreland, PF</t>
  </si>
  <si>
    <t>Kawhi Leonard, SF</t>
  </si>
  <si>
    <t>LaMarcus Aldridge, PF</t>
  </si>
  <si>
    <t>Tony Parker, PG</t>
  </si>
  <si>
    <t>Manu Ginobili, SG</t>
  </si>
  <si>
    <t>Tim Duncan, C</t>
  </si>
  <si>
    <t>Patty Mills, PG</t>
  </si>
  <si>
    <t>Danny Green, SG</t>
  </si>
  <si>
    <t>David West, PF</t>
  </si>
  <si>
    <t>Boris Diaw, C</t>
  </si>
  <si>
    <t>Jonathon Simmons, SG</t>
  </si>
  <si>
    <t>Boban Marjanovic, C</t>
  </si>
  <si>
    <t>Kyle Anderson, SF</t>
  </si>
  <si>
    <t>Rasual Butler, SF</t>
  </si>
  <si>
    <t>Matt Bonner, C</t>
  </si>
  <si>
    <t>Gordon Hayward, SF</t>
  </si>
  <si>
    <t>Derrick Favors, PF</t>
  </si>
  <si>
    <t>Rodney Hood, SG</t>
  </si>
  <si>
    <t>Alec Burks, SG</t>
  </si>
  <si>
    <t>Trey Burke, PG</t>
  </si>
  <si>
    <t>Rudy Gobert, C</t>
  </si>
  <si>
    <t>Trey Lyles, PF</t>
  </si>
  <si>
    <t>Raul Neto, PG</t>
  </si>
  <si>
    <t>Trevor Booker, PF</t>
  </si>
  <si>
    <t>Jeff Withey, C</t>
  </si>
  <si>
    <t>Joe Ingles, SF</t>
  </si>
  <si>
    <t>Chris Johnson, SF</t>
  </si>
  <si>
    <t>Tibor Pleiss, C</t>
  </si>
  <si>
    <t>Elijah Millsap, SG</t>
  </si>
  <si>
    <t>J.J. O'Brien, SF</t>
  </si>
  <si>
    <t>2015/16</t>
  </si>
  <si>
    <t>2016/17</t>
  </si>
  <si>
    <t>Légendes +/- GS</t>
  </si>
  <si>
    <t>Patrick McCaw, PG</t>
  </si>
  <si>
    <t>DeAndre Bembry, SF</t>
  </si>
  <si>
    <t>Will Bynum, PG</t>
  </si>
  <si>
    <t>Matt Costello, SF</t>
  </si>
  <si>
    <t>Malcolm Delaney, G</t>
  </si>
  <si>
    <t>Josh Magette</t>
  </si>
  <si>
    <t>Taurean Prince</t>
  </si>
  <si>
    <t>Jaylen Brown, SF</t>
  </si>
  <si>
    <t>Isaiah Whitehead, SG</t>
  </si>
  <si>
    <t>Justin Hamilton, PF</t>
  </si>
  <si>
    <t>Paul Zipser, SF</t>
  </si>
  <si>
    <t>Thomas Walkup, SG</t>
  </si>
  <si>
    <t>Denzel Valentine, SG</t>
  </si>
  <si>
    <t>D'Vauntes Smith-Rivera</t>
  </si>
  <si>
    <t>Spencer Dinwiddie, PF</t>
  </si>
  <si>
    <t>J.J Avila, PF</t>
  </si>
  <si>
    <t>Chris Andersen, PF</t>
  </si>
  <si>
    <t>Ish Smith, PG</t>
  </si>
  <si>
    <t>Henry Ellenson, PF</t>
  </si>
  <si>
    <t>ATL</t>
  </si>
  <si>
    <t>BOS</t>
  </si>
  <si>
    <t>BRO</t>
  </si>
  <si>
    <t>CHI</t>
  </si>
  <si>
    <t>CHA</t>
  </si>
  <si>
    <t>CLE</t>
  </si>
  <si>
    <t>DET</t>
  </si>
  <si>
    <t>IND</t>
  </si>
  <si>
    <t>MIA</t>
  </si>
  <si>
    <t>MIL</t>
  </si>
  <si>
    <t>NYK</t>
  </si>
  <si>
    <t>ORL</t>
  </si>
  <si>
    <t>TOR</t>
  </si>
  <si>
    <t>WAS</t>
  </si>
  <si>
    <t>DAL</t>
  </si>
  <si>
    <t>DEN</t>
  </si>
  <si>
    <t>GOL</t>
  </si>
  <si>
    <t>HOU</t>
  </si>
  <si>
    <t>MEM</t>
  </si>
  <si>
    <t>MIN</t>
  </si>
  <si>
    <t>NEW</t>
  </si>
  <si>
    <t>PHO</t>
  </si>
  <si>
    <t>OKL</t>
  </si>
  <si>
    <t>POR</t>
  </si>
  <si>
    <t>SAC</t>
  </si>
  <si>
    <t>SAN</t>
  </si>
  <si>
    <t>UTA</t>
  </si>
  <si>
    <t>PHI</t>
  </si>
  <si>
    <t>Classement PER 2015/16 - TOP 20</t>
  </si>
  <si>
    <t>Notes et classements des joueurs de chaque équipe de l'année 2015/16 et 2016/17 basée sur la base de données de ESPN par rapport au PER.                                                                                                *PER: Player Efficiency Ranking</t>
  </si>
  <si>
    <t>Rodney McGruder, SG</t>
  </si>
  <si>
    <t>Malcolm Brogdon, SG</t>
  </si>
  <si>
    <t>Ron Baker, SG</t>
  </si>
  <si>
    <t>Willy Hernangomez, C</t>
  </si>
  <si>
    <t>Brandon Jennings, PG</t>
  </si>
  <si>
    <t>Courtney Lee, SG</t>
  </si>
  <si>
    <t>Jeff Green, SF</t>
  </si>
  <si>
    <t>Joel Embiid, C</t>
  </si>
  <si>
    <t>Sergio Rodriguez, PG</t>
  </si>
  <si>
    <t>Dario Saric, SF</t>
  </si>
  <si>
    <t>Jakob Poeltl, C</t>
  </si>
  <si>
    <t>Pascal Siakam, SF</t>
  </si>
  <si>
    <t>Danuel House, PF</t>
  </si>
  <si>
    <t>Sheldon McClellan, SG</t>
  </si>
  <si>
    <t>Daniel Ochefu, PF</t>
  </si>
  <si>
    <t>Thomas Satoransky, SG</t>
  </si>
  <si>
    <t>Casper Ware, PG</t>
  </si>
  <si>
    <t>Nicolas Brussino, SF</t>
  </si>
  <si>
    <t>Dorian Finney-Smith, SF</t>
  </si>
  <si>
    <t>Wilson Chandler, SF</t>
  </si>
  <si>
    <t>Juancho Hernangomez, PF</t>
  </si>
  <si>
    <t>Jamal Murray, SG</t>
  </si>
  <si>
    <t>Brice Johnson, F</t>
  </si>
  <si>
    <t>Diamond Stone, C</t>
  </si>
  <si>
    <t>Brandon Ingram, SF</t>
  </si>
  <si>
    <t>Wade Baldwin IV, PG</t>
  </si>
  <si>
    <t>Deyonta Davis, PF</t>
  </si>
  <si>
    <t>Andrew Harrison, PG</t>
  </si>
  <si>
    <t>Buddy Hield, SG</t>
  </si>
  <si>
    <t>Alex Abrines, SG</t>
  </si>
  <si>
    <t>Semaj Christon, PG</t>
  </si>
  <si>
    <t>Ersan Ilyasova, PF</t>
  </si>
  <si>
    <t>Domantas Sabonis, PF</t>
  </si>
  <si>
    <t>Dragan Bender, PF</t>
  </si>
  <si>
    <t>Marquese Chriss, PF</t>
  </si>
  <si>
    <t>Tyler Ulis, PG</t>
  </si>
  <si>
    <t>Ty Lawson, PG</t>
  </si>
  <si>
    <t>Malachi Richardson, SG</t>
  </si>
  <si>
    <t>Bryn Forbes, SG</t>
  </si>
  <si>
    <t>Nicolas Laprovittola, G</t>
  </si>
  <si>
    <t>David Lee, PF</t>
  </si>
  <si>
    <t>Dante Exum, PG</t>
  </si>
  <si>
    <t>Joe Johnson, SF</t>
  </si>
  <si>
    <t>Choix des équipes</t>
  </si>
  <si>
    <t>PER 5 START</t>
  </si>
  <si>
    <t>Victoire D/E</t>
  </si>
  <si>
    <t>* basé sur les joueurs ayant débuté le match</t>
  </si>
  <si>
    <t>2 meilleurs joueurs</t>
  </si>
  <si>
    <t>Unités</t>
  </si>
  <si>
    <t>PT Enc. D.</t>
  </si>
  <si>
    <t>PT Enc. E.</t>
  </si>
  <si>
    <t>H -</t>
  </si>
  <si>
    <t>Total de points potentiel</t>
  </si>
  <si>
    <t>Total de points potentiel / equipe</t>
  </si>
  <si>
    <t xml:space="preserve"> +/-</t>
  </si>
  <si>
    <t>lakers</t>
  </si>
  <si>
    <t>dallas</t>
  </si>
  <si>
    <t>clipe</t>
  </si>
  <si>
    <t>PTS marqué Extérieur</t>
  </si>
  <si>
    <t>PTS marqués Domicile</t>
  </si>
  <si>
    <t>PTS encaissés Domicile</t>
  </si>
  <si>
    <t>PTS encaissés Extérieur</t>
  </si>
  <si>
    <t>PT marqués D.</t>
  </si>
  <si>
    <t>PT marqués E.</t>
  </si>
  <si>
    <t>Pronostiques - Analyse de l'équipe favorite pour gagner le match</t>
  </si>
  <si>
    <t>GS: Nbr de fois dans le 5 majeur</t>
  </si>
  <si>
    <t>PER: Efficacité des joueurs</t>
  </si>
  <si>
    <t>PG: Meneur</t>
  </si>
  <si>
    <t>SG: Arrière</t>
  </si>
  <si>
    <t>SF: Ailier</t>
  </si>
  <si>
    <t>PF: Ailier fort</t>
  </si>
  <si>
    <t>C: Pivot</t>
  </si>
  <si>
    <t>G: Meneur</t>
  </si>
  <si>
    <t xml:space="preserve">Aujourd'hui - </t>
  </si>
  <si>
    <t>La première équipe de la conférence EST est</t>
  </si>
  <si>
    <t>La première équipe de la conférence OUEST est</t>
  </si>
  <si>
    <t>PER 5 MAJEUR *</t>
  </si>
  <si>
    <t>Rechercher une équipe:</t>
  </si>
  <si>
    <t>Rechercher un joueur:</t>
  </si>
  <si>
    <t>Ecart de points max potentiel</t>
  </si>
  <si>
    <t>Total de point potentiel encaissés</t>
  </si>
  <si>
    <t>Tableau de statistiques NBA</t>
  </si>
  <si>
    <t>CLASSEMENTS (cliquer sur le [+] à gauche pour afficher</t>
  </si>
  <si>
    <t>Fiabilité (%) *</t>
  </si>
  <si>
    <t>STATS</t>
  </si>
  <si>
    <t>Cleveland Cavaliers</t>
  </si>
  <si>
    <t>1-0, 1st in Central Division</t>
  </si>
  <si>
    <t>Clubhouse</t>
  </si>
  <si>
    <t>Statistics</t>
  </si>
  <si>
    <t>Schedule</t>
  </si>
  <si>
    <t>Roster</t>
  </si>
  <si>
    <t>Depth</t>
  </si>
  <si>
    <t>Transactions</t>
  </si>
  <si>
    <t>Rankings</t>
  </si>
  <si>
    <t>Photos</t>
  </si>
  <si>
    <t>Stadium</t>
  </si>
  <si>
    <t>Tickets</t>
  </si>
  <si>
    <t>Shop</t>
  </si>
  <si>
    <t>Cleveland Cavaliers Stats - 2016-17</t>
  </si>
  <si>
    <t>Year:</t>
  </si>
  <si>
    <t>TEAM LEADERS</t>
  </si>
  <si>
    <t>POINTS</t>
  </si>
  <si>
    <t>Kyrie Irving</t>
  </si>
  <si>
    <t>#2</t>
  </si>
  <si>
    <t>29.0</t>
  </si>
  <si>
    <t>REBOUNDS</t>
  </si>
  <si>
    <t>Kevin Love</t>
  </si>
  <si>
    <t>#0</t>
  </si>
  <si>
    <t>12.0</t>
  </si>
  <si>
    <t>ASSISTS</t>
  </si>
  <si>
    <t>LeBron James</t>
  </si>
  <si>
    <t>#23</t>
  </si>
  <si>
    <t>14.0</t>
  </si>
  <si>
    <t>STEALS</t>
  </si>
  <si>
    <t>3.0</t>
  </si>
  <si>
    <t>BLOCKS</t>
  </si>
  <si>
    <t>Channing Frye</t>
  </si>
  <si>
    <t>#8</t>
  </si>
  <si>
    <t>1.0</t>
  </si>
  <si>
    <t>TOTAL SPLITS</t>
  </si>
  <si>
    <t>Splits</t>
  </si>
  <si>
    <t>Season</t>
  </si>
  <si>
    <t>Location</t>
  </si>
  <si>
    <t>vs.</t>
  </si>
  <si>
    <t>By Month</t>
  </si>
  <si>
    <t>League</t>
  </si>
  <si>
    <t>Season Half</t>
  </si>
  <si>
    <t>Rest</t>
  </si>
  <si>
    <t>Total</t>
  </si>
  <si>
    <t>Home</t>
  </si>
  <si>
    <t>Road</t>
  </si>
  <si>
    <t>Atlantic</t>
  </si>
  <si>
    <t>Boston Celtics</t>
  </si>
  <si>
    <t>Brooklyn Nets</t>
  </si>
  <si>
    <t>New York Knicks</t>
  </si>
  <si>
    <t>Philadelphia 76ers</t>
  </si>
  <si>
    <t>Toronto Raptors</t>
  </si>
  <si>
    <t>Central</t>
  </si>
  <si>
    <t>Chicago Bulls</t>
  </si>
  <si>
    <t>Detroit Pistons</t>
  </si>
  <si>
    <t>Indiana Pacers</t>
  </si>
  <si>
    <t>Milwaukee Bucks</t>
  </si>
  <si>
    <t>Southeast</t>
  </si>
  <si>
    <t>Atlanta Hawks</t>
  </si>
  <si>
    <t>Charlotte Hornets</t>
  </si>
  <si>
    <t>Miami Heat</t>
  </si>
  <si>
    <t>Orlando Magic</t>
  </si>
  <si>
    <t>Washington Wizards</t>
  </si>
  <si>
    <t>Northwest</t>
  </si>
  <si>
    <t>Denver Nuggets</t>
  </si>
  <si>
    <t>Minnesota Timberwolves</t>
  </si>
  <si>
    <t>Oklahoma City Thunder</t>
  </si>
  <si>
    <t>Portland Trail Blazers</t>
  </si>
  <si>
    <t>Utah Jazz</t>
  </si>
  <si>
    <t>Pacific</t>
  </si>
  <si>
    <t>Golden State Warriors</t>
  </si>
  <si>
    <t>Los Angeles Lakers</t>
  </si>
  <si>
    <t>Phoenix Suns</t>
  </si>
  <si>
    <t>Sacramento Kings</t>
  </si>
  <si>
    <t>Southwest</t>
  </si>
  <si>
    <t>Dallas Mavericks</t>
  </si>
  <si>
    <t>Houston Rockets</t>
  </si>
  <si>
    <t>Memphis Grizzlies</t>
  </si>
  <si>
    <t>New Orleans Pelicans</t>
  </si>
  <si>
    <t>San Antonio Spurs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</si>
  <si>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</si>
  <si>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</si>
  <si>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</si>
  <si>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</si>
  <si>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</si>
  <si>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</si>
  <si>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</si>
  <si>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</si>
  <si>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</si>
  <si>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>July</t>
  </si>
  <si>
    <t>vs. Atlantic Division</t>
  </si>
  <si>
    <t>vs. Central Division</t>
  </si>
  <si>
    <t>vs. Pacific Division</t>
  </si>
  <si>
    <t>vs. Southeast Division</t>
  </si>
  <si>
    <t>vs. Southwest Division</t>
  </si>
  <si>
    <t>vs. Northwest Division</t>
  </si>
  <si>
    <t>vs. Eastern Conference</t>
  </si>
  <si>
    <t>vs. Western Conference</t>
  </si>
  <si>
    <t>Pre All-Star</t>
  </si>
  <si>
    <t>Post All-Star</t>
  </si>
  <si>
    <t>0 Days Rest</t>
  </si>
  <si>
    <t>1 Days Rest</t>
  </si>
  <si>
    <t>2 Days Rest</t>
  </si>
  <si>
    <t>3+ Days Rest</t>
  </si>
  <si>
    <t>GAME STATISTICS</t>
  </si>
  <si>
    <t>PLAYER</t>
  </si>
  <si>
    <t>GP</t>
  </si>
  <si>
    <t>PPG</t>
  </si>
  <si>
    <t>OFFR</t>
  </si>
  <si>
    <t>DEFR</t>
  </si>
  <si>
    <t>RPG</t>
  </si>
  <si>
    <t>APG</t>
  </si>
  <si>
    <t>SPG</t>
  </si>
  <si>
    <t>BPG</t>
  </si>
  <si>
    <t>TPG</t>
  </si>
  <si>
    <t>FPG</t>
  </si>
  <si>
    <t>A/TO</t>
  </si>
  <si>
    <t>30.0</t>
  </si>
  <si>
    <t>2.0</t>
  </si>
  <si>
    <t>4.0</t>
  </si>
  <si>
    <t>2.00</t>
  </si>
  <si>
    <t>0.00</t>
  </si>
  <si>
    <t>0.0</t>
  </si>
  <si>
    <t>32.0</t>
  </si>
  <si>
    <t>25.0</t>
  </si>
  <si>
    <t>23.0</t>
  </si>
  <si>
    <t>10.0</t>
  </si>
  <si>
    <t>3.00</t>
  </si>
  <si>
    <t>29.9</t>
  </si>
  <si>
    <t>19.0</t>
  </si>
  <si>
    <t>8.0</t>
  </si>
  <si>
    <t>11.0</t>
  </si>
  <si>
    <t>1.00</t>
  </si>
  <si>
    <t>3.5</t>
  </si>
  <si>
    <t>28.1</t>
  </si>
  <si>
    <t>26.0</t>
  </si>
  <si>
    <t>13.0</t>
  </si>
  <si>
    <t>0.5</t>
  </si>
  <si>
    <t>17.6</t>
  </si>
  <si>
    <t>2.9</t>
  </si>
  <si>
    <t>Channing Frye, PF</t>
  </si>
  <si>
    <t>6.0</t>
  </si>
  <si>
    <t>10.9</t>
  </si>
  <si>
    <t>5.0</t>
  </si>
  <si>
    <t>23.7</t>
  </si>
  <si>
    <t>15.7</t>
  </si>
  <si>
    <t>DeAndre Liggins, SG</t>
  </si>
  <si>
    <t>17.0</t>
  </si>
  <si>
    <t>17.8</t>
  </si>
  <si>
    <t>1.5</t>
  </si>
  <si>
    <t>Jordan McRae, SG</t>
  </si>
  <si>
    <t>-8.9</t>
  </si>
  <si>
    <t>22.0</t>
  </si>
  <si>
    <t>-3.6</t>
  </si>
  <si>
    <t>Totals</t>
  </si>
  <si>
    <t>--</t>
  </si>
  <si>
    <t>117.0</t>
  </si>
  <si>
    <t>40.0</t>
  </si>
  <si>
    <t>51.0</t>
  </si>
  <si>
    <t>31.0</t>
  </si>
  <si>
    <t>12.00</t>
  </si>
  <si>
    <t>5.00</t>
  </si>
  <si>
    <t>2.2</t>
  </si>
  <si>
    <t>SHOOTING STATISTICS</t>
  </si>
  <si>
    <t>FGM</t>
  </si>
  <si>
    <t>FGA</t>
  </si>
  <si>
    <t>3PM</t>
  </si>
  <si>
    <t>3PA</t>
  </si>
  <si>
    <t>3P%</t>
  </si>
  <si>
    <t>FTM</t>
  </si>
  <si>
    <t>FTA</t>
  </si>
  <si>
    <t>2PM</t>
  </si>
  <si>
    <t>2PA</t>
  </si>
  <si>
    <t>2P%</t>
  </si>
  <si>
    <t>PPS</t>
  </si>
  <si>
    <t>AFG%</t>
  </si>
  <si>
    <t>.545</t>
  </si>
  <si>
    <t>7.0</t>
  </si>
  <si>
    <t>.571</t>
  </si>
  <si>
    <t>15.0</t>
  </si>
  <si>
    <t>.533</t>
  </si>
  <si>
    <t>1.318</t>
  </si>
  <si>
    <t>0.64</t>
  </si>
  <si>
    <t>.400</t>
  </si>
  <si>
    <t>.333</t>
  </si>
  <si>
    <t>9.0</t>
  </si>
  <si>
    <t>0.75</t>
  </si>
  <si>
    <t>.444</t>
  </si>
  <si>
    <t>1.533</t>
  </si>
  <si>
    <t>0.47</t>
  </si>
  <si>
    <t>.643</t>
  </si>
  <si>
    <t>.000</t>
  </si>
  <si>
    <t>0.50</t>
  </si>
  <si>
    <t>.818</t>
  </si>
  <si>
    <t>1.357</t>
  </si>
  <si>
    <t>.714</t>
  </si>
  <si>
    <t>.667</t>
  </si>
  <si>
    <t>.750</t>
  </si>
  <si>
    <t>1.857</t>
  </si>
  <si>
    <t>0.86</t>
  </si>
  <si>
    <t>.231</t>
  </si>
  <si>
    <t>.250</t>
  </si>
  <si>
    <t>.200</t>
  </si>
  <si>
    <t>.615</t>
  </si>
  <si>
    <t>0.31</t>
  </si>
  <si>
    <t>1.000</t>
  </si>
  <si>
    <t>.500</t>
  </si>
  <si>
    <t>2.500</t>
  </si>
  <si>
    <t>1.333</t>
  </si>
  <si>
    <t>0.67</t>
  </si>
  <si>
    <t>2.000</t>
  </si>
  <si>
    <t>0.33</t>
  </si>
  <si>
    <t>0.25</t>
  </si>
  <si>
    <t>45.0</t>
  </si>
  <si>
    <t>94.0</t>
  </si>
  <si>
    <t>.479</t>
  </si>
  <si>
    <t>35.0</t>
  </si>
  <si>
    <t>.371</t>
  </si>
  <si>
    <t>.737</t>
  </si>
  <si>
    <t>59.0</t>
  </si>
  <si>
    <t>.542</t>
  </si>
  <si>
    <t>1.24</t>
  </si>
  <si>
    <t>0.55</t>
  </si>
  <si>
    <t>Glossary</t>
  </si>
  <si>
    <t>GP: Games played</t>
  </si>
  <si>
    <t>GS: Games started</t>
  </si>
  <si>
    <t>MIN: Minutes per game</t>
  </si>
  <si>
    <t>FGM: Field Goals Made per game</t>
  </si>
  <si>
    <t>FGA: Field Goals Attempted per game</t>
  </si>
  <si>
    <t>FG%: Field Goals Percentage per game</t>
  </si>
  <si>
    <t>PPG: Points per game</t>
  </si>
  <si>
    <t>OFFR: Offensive Rebounds per game</t>
  </si>
  <si>
    <t>DEFR: Defensive Rebounds per game</t>
  </si>
  <si>
    <t>3PM: Three-point Field Goals Made per game</t>
  </si>
  <si>
    <t>3PA: Three-point Field Goals Attempted per game</t>
  </si>
  <si>
    <t>3P%: Three-point Field Goals Percentage per game</t>
  </si>
  <si>
    <t>RPG: Rebounds per game</t>
  </si>
  <si>
    <t>APG: Assists per game</t>
  </si>
  <si>
    <t>SPG: Steals per game</t>
  </si>
  <si>
    <t>FTM: Free Throws Made per game</t>
  </si>
  <si>
    <t>FTA: Free Throws Attempted per game</t>
  </si>
  <si>
    <t>FT%: Free Throws Percentage per game</t>
  </si>
  <si>
    <t>BPG: Blocks per game</t>
  </si>
  <si>
    <t>TPG: Turnovers per game</t>
  </si>
  <si>
    <t>FPG: Fouls per game</t>
  </si>
  <si>
    <t>2PM: Two-point Field Goals Made per game</t>
  </si>
  <si>
    <t>2PA: Two-point Field Goals Attempted per game</t>
  </si>
  <si>
    <t>2P%: Two-point Field Goals Percentage per game</t>
  </si>
  <si>
    <t>A/TO: Assist to turnover ratio</t>
  </si>
  <si>
    <t>PER: Player Efficiency Rating</t>
  </si>
  <si>
    <t>PPS: Points Per Shot per game</t>
  </si>
  <si>
    <t>AFG%: Adjusted Field Goal Percentage per game</t>
  </si>
  <si>
    <t>SPONSORED HEADLINES</t>
  </si>
  <si>
    <t>Menu</t>
  </si>
  <si>
    <t>ESPN</t>
  </si>
  <si>
    <t>Scores</t>
  </si>
  <si>
    <t>NFL</t>
  </si>
  <si>
    <t>NBA</t>
  </si>
  <si>
    <t>MLB</t>
  </si>
  <si>
    <t>NCAAF</t>
  </si>
  <si>
    <t>Soccer</t>
  </si>
  <si>
    <t>NHL</t>
  </si>
  <si>
    <t>…</t>
  </si>
  <si>
    <t>Golf</t>
  </si>
  <si>
    <t>Tennis</t>
  </si>
  <si>
    <t>NCAAM</t>
  </si>
  <si>
    <t>WNBA</t>
  </si>
  <si>
    <t>MMA</t>
  </si>
  <si>
    <t>WWE</t>
  </si>
  <si>
    <t>Boxing</t>
  </si>
  <si>
    <t>esports</t>
  </si>
  <si>
    <t>Chalk</t>
  </si>
  <si>
    <t>Analytics</t>
  </si>
  <si>
    <t>Horse</t>
  </si>
  <si>
    <t>NASCAR</t>
  </si>
  <si>
    <t>Racing</t>
  </si>
  <si>
    <t>NCAAW</t>
  </si>
  <si>
    <t>Olympic Sports</t>
  </si>
  <si>
    <t>NCAA</t>
  </si>
  <si>
    <t>RN FB</t>
  </si>
  <si>
    <t>RN BB</t>
  </si>
  <si>
    <t>LLWS</t>
  </si>
  <si>
    <t>Special Olympics</t>
  </si>
  <si>
    <t>Cricket</t>
  </si>
  <si>
    <t>Rugby</t>
  </si>
  <si>
    <t>X Games</t>
  </si>
  <si>
    <t>Endurance</t>
  </si>
  <si>
    <t>CFL</t>
  </si>
  <si>
    <t>More ESPN</t>
  </si>
  <si>
    <t>Fantasy</t>
  </si>
  <si>
    <t>Listen</t>
  </si>
  <si>
    <t>Watch</t>
  </si>
  <si>
    <t>HomeHome</t>
  </si>
  <si>
    <t>ScoresScores</t>
  </si>
  <si>
    <t>Fantasy: Sign UpFantasy: Sign Up</t>
  </si>
  <si>
    <t>ScheduleSchedule</t>
  </si>
  <si>
    <t>StandingsStandings</t>
  </si>
  <si>
    <t>StatsStats</t>
  </si>
  <si>
    <t>TeamsTeams</t>
  </si>
  <si>
    <t>'16-'17 PreviewPreview</t>
  </si>
  <si>
    <t>More</t>
  </si>
  <si>
    <t>RankingsRankings</t>
  </si>
  <si>
    <t>Power RankingsPower Rankings</t>
  </si>
  <si>
    <t>RumorsRumors</t>
  </si>
  <si>
    <t>Fantasy BasketballFantasy Basketball</t>
  </si>
  <si>
    <t>Nothin' but StephNothin' but Steph</t>
  </si>
  <si>
    <t>TrueHoopTrueHoop</t>
  </si>
  <si>
    <t>Stein Line LiveStein Line Live</t>
  </si>
  <si>
    <t>PlayersPlayers</t>
  </si>
  <si>
    <t>TransactionsTransactions</t>
  </si>
  <si>
    <t>SalariesSalaries</t>
  </si>
  <si>
    <t>Trade MachineTrade Machine</t>
  </si>
  <si>
    <t>AwardsAwards</t>
  </si>
  <si>
    <t>CoachesCoaches</t>
  </si>
  <si>
    <t>ChalkChalk</t>
  </si>
  <si>
    <t>PickCenterPickCenter</t>
  </si>
  <si>
    <t>Daily LinesDaily Lines</t>
  </si>
  <si>
    <t>ShopShop</t>
  </si>
  <si>
    <t>TicketsTickets</t>
  </si>
  <si>
    <t>ESPN.com: Help | Press | Advertise on ESPN.com | Sales Media Kit | Interest-Based Ads | Corrections | Contact Us | Site Map | Jobs at ESPN</t>
  </si>
  <si>
    <t>© 2016 ESPN Internet Ventures. Terms of Use, Privacy Policy, Your California Privacy Rights, Children's Online Privacy Policy and Interest-Based Ads are applicable to you. All rights reserved.</t>
  </si>
  <si>
    <t>Golden State Warriors Stats - 2016-17</t>
  </si>
  <si>
    <t>Kevin Durant</t>
  </si>
  <si>
    <t>#35</t>
  </si>
  <si>
    <t>27.0</t>
  </si>
  <si>
    <t>Draymond Green</t>
  </si>
  <si>
    <t>37.0</t>
  </si>
  <si>
    <t>30.8</t>
  </si>
  <si>
    <t>34.0</t>
  </si>
  <si>
    <t>17.9</t>
  </si>
  <si>
    <t>33.0</t>
  </si>
  <si>
    <t>18.0</t>
  </si>
  <si>
    <t>30.4</t>
  </si>
  <si>
    <t>2.5</t>
  </si>
  <si>
    <t>3.8</t>
  </si>
  <si>
    <t>20.0</t>
  </si>
  <si>
    <t>0.3</t>
  </si>
  <si>
    <t>-0.8</t>
  </si>
  <si>
    <t>-5.3</t>
  </si>
  <si>
    <t>3.3</t>
  </si>
  <si>
    <t>2.1</t>
  </si>
  <si>
    <t>4.9</t>
  </si>
  <si>
    <t>16.4</t>
  </si>
  <si>
    <t>Anderson Varejao, C</t>
  </si>
  <si>
    <t>-9.8</t>
  </si>
  <si>
    <t>100.0</t>
  </si>
  <si>
    <t>24.0</t>
  </si>
  <si>
    <t>11.00</t>
  </si>
  <si>
    <t>6.00</t>
  </si>
  <si>
    <t>16.0</t>
  </si>
  <si>
    <t>.611</t>
  </si>
  <si>
    <t>0.80</t>
  </si>
  <si>
    <t>1.500</t>
  </si>
  <si>
    <t>.300</t>
  </si>
  <si>
    <t>0.83</t>
  </si>
  <si>
    <t>1.444</t>
  </si>
  <si>
    <t>0.58</t>
  </si>
  <si>
    <t>.467</t>
  </si>
  <si>
    <t>1.200</t>
  </si>
  <si>
    <t>0.53</t>
  </si>
  <si>
    <t>.385</t>
  </si>
  <si>
    <t>.167</t>
  </si>
  <si>
    <t>.846</t>
  </si>
  <si>
    <t>0.42</t>
  </si>
  <si>
    <t>.625</t>
  </si>
  <si>
    <t>86.0</t>
  </si>
  <si>
    <t>.465</t>
  </si>
  <si>
    <t>.212</t>
  </si>
  <si>
    <t>.722</t>
  </si>
  <si>
    <t>53.0</t>
  </si>
  <si>
    <t>.623</t>
  </si>
  <si>
    <t>1.16</t>
  </si>
  <si>
    <t>0.51</t>
  </si>
  <si>
    <t>New York Knicks Stats - 2016-17</t>
  </si>
  <si>
    <t>Carmelo Anthony</t>
  </si>
  <si>
    <t>#7</t>
  </si>
  <si>
    <t>Kristaps Porzingis</t>
  </si>
  <si>
    <t>#6</t>
  </si>
  <si>
    <t>Brandon Jennings</t>
  </si>
  <si>
    <t>#3</t>
  </si>
  <si>
    <t>Lance Thomas</t>
  </si>
  <si>
    <t>#42</t>
  </si>
  <si>
    <t>0.8</t>
  </si>
  <si>
    <t>10.5</t>
  </si>
  <si>
    <t>7.8</t>
  </si>
  <si>
    <t>12.4</t>
  </si>
  <si>
    <t>Justin Holiday, SG</t>
  </si>
  <si>
    <t>13.4</t>
  </si>
  <si>
    <t>21.0</t>
  </si>
  <si>
    <t>8.2</t>
  </si>
  <si>
    <t>Mindaugas Kuzminskas, SF</t>
  </si>
  <si>
    <t>23.5</t>
  </si>
  <si>
    <t>24.6</t>
  </si>
  <si>
    <t>9.5</t>
  </si>
  <si>
    <t>1.4</t>
  </si>
  <si>
    <t>6.1</t>
  </si>
  <si>
    <t>-16.3</t>
  </si>
  <si>
    <t>6.7</t>
  </si>
  <si>
    <t>88.0</t>
  </si>
  <si>
    <t>42.0</t>
  </si>
  <si>
    <t>0.9</t>
  </si>
  <si>
    <t>1.056</t>
  </si>
  <si>
    <t>.412</t>
  </si>
  <si>
    <t>0.44</t>
  </si>
  <si>
    <t>.600</t>
  </si>
  <si>
    <t>1.231</t>
  </si>
  <si>
    <t>.286</t>
  </si>
  <si>
    <t>1.143</t>
  </si>
  <si>
    <t>0.43</t>
  </si>
  <si>
    <t>.143</t>
  </si>
  <si>
    <t>0.14</t>
  </si>
  <si>
    <t>1.400</t>
  </si>
  <si>
    <t>0.70</t>
  </si>
  <si>
    <t>1.667</t>
  </si>
  <si>
    <t>87.0</t>
  </si>
  <si>
    <t>.368</t>
  </si>
  <si>
    <t>60.0</t>
  </si>
  <si>
    <t>.383</t>
  </si>
  <si>
    <t>1.01</t>
  </si>
  <si>
    <t>1-0, 1st in Northwest Division</t>
  </si>
  <si>
    <t>Portland Trail Blazers Stats - 2016-17</t>
  </si>
  <si>
    <t>Damian Lillard</t>
  </si>
  <si>
    <t>39.0</t>
  </si>
  <si>
    <t>Maurice Harkless</t>
  </si>
  <si>
    <t>#4</t>
  </si>
  <si>
    <t>Evan Turner</t>
  </si>
  <si>
    <t>#1</t>
  </si>
  <si>
    <t>41.5</t>
  </si>
  <si>
    <t>20.9</t>
  </si>
  <si>
    <t>30.6</t>
  </si>
  <si>
    <t>28.0</t>
  </si>
  <si>
    <t>12.7</t>
  </si>
  <si>
    <t>17.4</t>
  </si>
  <si>
    <t>7.5</t>
  </si>
  <si>
    <t>-4.3</t>
  </si>
  <si>
    <t>-2.3</t>
  </si>
  <si>
    <t>-5.6</t>
  </si>
  <si>
    <t>113.0</t>
  </si>
  <si>
    <t>1.8</t>
  </si>
  <si>
    <t>.650</t>
  </si>
  <si>
    <t>1.950</t>
  </si>
  <si>
    <t>.429</t>
  </si>
  <si>
    <t>1.563</t>
  </si>
  <si>
    <t>0.56</t>
  </si>
  <si>
    <t>.800</t>
  </si>
  <si>
    <t>1.800</t>
  </si>
  <si>
    <t>2.200</t>
  </si>
  <si>
    <t>1.10</t>
  </si>
  <si>
    <t>75.0</t>
  </si>
  <si>
    <t>.520</t>
  </si>
  <si>
    <t>.684</t>
  </si>
  <si>
    <t>56.0</t>
  </si>
  <si>
    <t>.464</t>
  </si>
  <si>
    <t>1.51</t>
  </si>
  <si>
    <t>0.61</t>
  </si>
  <si>
    <t>1-0, 1st in Southwest Division</t>
  </si>
  <si>
    <t>San Antonio Spurs Stats - 2016-17</t>
  </si>
  <si>
    <t>Kawhi Leonard</t>
  </si>
  <si>
    <t>LaMarcus Aldridge</t>
  </si>
  <si>
    <t>#12</t>
  </si>
  <si>
    <t>Patty Mills</t>
  </si>
  <si>
    <t>Dewayne Dedmon</t>
  </si>
  <si>
    <t>41.8</t>
  </si>
  <si>
    <t>29.2</t>
  </si>
  <si>
    <t>21.5</t>
  </si>
  <si>
    <t>4.00</t>
  </si>
  <si>
    <t>33.4</t>
  </si>
  <si>
    <t>15.9</t>
  </si>
  <si>
    <t>6.2</t>
  </si>
  <si>
    <t>23.1</t>
  </si>
  <si>
    <t>Davis Bertans, SF</t>
  </si>
  <si>
    <t>52.6</t>
  </si>
  <si>
    <t>11.4</t>
  </si>
  <si>
    <t>-2.9</t>
  </si>
  <si>
    <t>10.8</t>
  </si>
  <si>
    <t>-1.5</t>
  </si>
  <si>
    <t>129.0</t>
  </si>
  <si>
    <t>55.0</t>
  </si>
  <si>
    <t>13.00</t>
  </si>
  <si>
    <t>1.9</t>
  </si>
  <si>
    <t>.476</t>
  </si>
  <si>
    <t>.556</t>
  </si>
  <si>
    <t>0.48</t>
  </si>
  <si>
    <t>.474</t>
  </si>
  <si>
    <t>1.300</t>
  </si>
  <si>
    <t>1.429</t>
  </si>
  <si>
    <t>0.68</t>
  </si>
  <si>
    <t>1.222</t>
  </si>
  <si>
    <t>1.25</t>
  </si>
  <si>
    <t>3.000</t>
  </si>
  <si>
    <t>1.50</t>
  </si>
  <si>
    <t>47.0</t>
  </si>
  <si>
    <t>98.0</t>
  </si>
  <si>
    <t>.480</t>
  </si>
  <si>
    <t>.885</t>
  </si>
  <si>
    <t>74.0</t>
  </si>
  <si>
    <t>.473</t>
  </si>
  <si>
    <t>1.32</t>
  </si>
  <si>
    <t>0.54</t>
  </si>
  <si>
    <t>Utah Jazz Stats - 2016-17</t>
  </si>
  <si>
    <t>Joe Johnson</t>
  </si>
  <si>
    <t>Rudy Gobert</t>
  </si>
  <si>
    <t>#27</t>
  </si>
  <si>
    <t>George Hill</t>
  </si>
  <si>
    <t>38.2</t>
  </si>
  <si>
    <t>38.0</t>
  </si>
  <si>
    <t>25.3</t>
  </si>
  <si>
    <t>41.0</t>
  </si>
  <si>
    <t>0.7</t>
  </si>
  <si>
    <t>15.1</t>
  </si>
  <si>
    <t>18.7</t>
  </si>
  <si>
    <t>-0.3</t>
  </si>
  <si>
    <t>Shelvin Mack, PG</t>
  </si>
  <si>
    <t>-8.4</t>
  </si>
  <si>
    <t>5.7</t>
  </si>
  <si>
    <t>104.0</t>
  </si>
  <si>
    <t>9.00</t>
  </si>
  <si>
    <t>1.7</t>
  </si>
  <si>
    <t>1.813</t>
  </si>
  <si>
    <t>0.84</t>
  </si>
  <si>
    <t>.529</t>
  </si>
  <si>
    <t>1.529</t>
  </si>
  <si>
    <t>0.62</t>
  </si>
  <si>
    <t>.389</t>
  </si>
  <si>
    <t>1.714</t>
  </si>
  <si>
    <t>0.57</t>
  </si>
  <si>
    <t>1.250</t>
  </si>
  <si>
    <t>.833</t>
  </si>
  <si>
    <t>0.40</t>
  </si>
  <si>
    <t>.125</t>
  </si>
  <si>
    <t>0.13</t>
  </si>
  <si>
    <t>82.0</t>
  </si>
  <si>
    <t>.488</t>
  </si>
  <si>
    <t>58.0</t>
  </si>
  <si>
    <t>.552</t>
  </si>
  <si>
    <t>1.27</t>
  </si>
  <si>
    <t>L'actualisation des données se fait en arrière plan ou mannuellement, lorsque celle-ci est lancée, veuillez patienter quelques secondes (ou minutes) afin de ne pas faire buger le tableur.</t>
  </si>
  <si>
    <r>
      <t>*</t>
    </r>
    <r>
      <rPr>
        <b/>
        <sz val="12"/>
        <color theme="1"/>
        <rFont val="Calibri"/>
        <family val="2"/>
        <scheme val="minor"/>
      </rPr>
      <t>Fiabilité:</t>
    </r>
    <r>
      <rPr>
        <sz val="12"/>
        <color theme="1"/>
        <rFont val="Calibri"/>
        <family val="2"/>
        <scheme val="minor"/>
      </rPr>
      <t xml:space="preserve"> Basé sur tous les écarts  des statistiques des matchs, des joueurs, avec des coeficient (1,3 victoires à domicile) ; (1,2 PER des deux meilleurs joueurs)  .</t>
    </r>
  </si>
  <si>
    <t>Voir "Logs" pour les détails</t>
  </si>
  <si>
    <t>2016-17 Hollinger NBA Player Statistics - All Players</t>
  </si>
  <si>
    <t>Season:</t>
  </si>
  <si>
    <t>League: NBA | East | West</t>
  </si>
  <si>
    <t>Position: All | PG | SG | SF | PF | C | Rookies | International</t>
  </si>
  <si>
    <t>Qualified* | All Players</t>
  </si>
  <si>
    <t>Team Statistics »</t>
  </si>
  <si>
    <t>Hollinger Stats - Player Efficiency Rating - Qualified Players</t>
  </si>
  <si>
    <t>RK</t>
  </si>
  <si>
    <t>MPG</t>
  </si>
  <si>
    <t>TS%</t>
  </si>
  <si>
    <t>AST</t>
  </si>
  <si>
    <t>TO</t>
  </si>
  <si>
    <t>USG</t>
  </si>
  <si>
    <t>ORR</t>
  </si>
  <si>
    <t>DRR</t>
  </si>
  <si>
    <t>REBR</t>
  </si>
  <si>
    <t>VA</t>
  </si>
  <si>
    <t>EWA</t>
  </si>
  <si>
    <t>Kawhi Leonard, SA</t>
  </si>
  <si>
    <t>.634</t>
  </si>
  <si>
    <t>9.2</t>
  </si>
  <si>
    <t>9.4</t>
  </si>
  <si>
    <t>7.1</t>
  </si>
  <si>
    <t>8.3</t>
  </si>
  <si>
    <t>14.9</t>
  </si>
  <si>
    <t>Damian Lillard, POR</t>
  </si>
  <si>
    <t>.814</t>
  </si>
  <si>
    <t>17.7</t>
  </si>
  <si>
    <t>11.8</t>
  </si>
  <si>
    <t>36.2</t>
  </si>
  <si>
    <t>4.6</t>
  </si>
  <si>
    <t>31.3</t>
  </si>
  <si>
    <t>Joe Johnson, UTAH</t>
  </si>
  <si>
    <t>.859</t>
  </si>
  <si>
    <t>13.7</t>
  </si>
  <si>
    <t>9.1</t>
  </si>
  <si>
    <t>20.6</t>
  </si>
  <si>
    <t>12.8</t>
  </si>
  <si>
    <t>0.4</t>
  </si>
  <si>
    <t>Patty Mills, SA</t>
  </si>
  <si>
    <t>35.7</t>
  </si>
  <si>
    <t>23.2</t>
  </si>
  <si>
    <t>6.3</t>
  </si>
  <si>
    <t>0.2</t>
  </si>
  <si>
    <t>Kyrie Irving, CLE</t>
  </si>
  <si>
    <t>.646</t>
  </si>
  <si>
    <t>3.4</t>
  </si>
  <si>
    <t>Kevin Durant, GS</t>
  </si>
  <si>
    <t>.668</t>
  </si>
  <si>
    <t>16.5</t>
  </si>
  <si>
    <t>14.4</t>
  </si>
  <si>
    <t>Noah Vonleh, POR</t>
  </si>
  <si>
    <t>1.100</t>
  </si>
  <si>
    <t>13.2</t>
  </si>
  <si>
    <t>8.6</t>
  </si>
  <si>
    <t>Draymond Green, GS</t>
  </si>
  <si>
    <t>.567</t>
  </si>
  <si>
    <t>25.1</t>
  </si>
  <si>
    <t>8.4</t>
  </si>
  <si>
    <t>17.3</t>
  </si>
  <si>
    <t>21.2</t>
  </si>
  <si>
    <t>19.4</t>
  </si>
  <si>
    <t>9.3</t>
  </si>
  <si>
    <t>Kevin Love, CLE</t>
  </si>
  <si>
    <t>9.6</t>
  </si>
  <si>
    <t>24.8</t>
  </si>
  <si>
    <t>6.9</t>
  </si>
  <si>
    <t>LaMarcus Aldridge, SA</t>
  </si>
  <si>
    <t>.574</t>
  </si>
  <si>
    <t>7.2</t>
  </si>
  <si>
    <t>22.9</t>
  </si>
  <si>
    <t>19.6</t>
  </si>
  <si>
    <t>21.3</t>
  </si>
  <si>
    <t>LeBron James, CLE</t>
  </si>
  <si>
    <t>.638</t>
  </si>
  <si>
    <t>42.6</t>
  </si>
  <si>
    <t>12.2</t>
  </si>
  <si>
    <t>11.3</t>
  </si>
  <si>
    <t>22.6</t>
  </si>
  <si>
    <t>Rodney Hood, UTAH</t>
  </si>
  <si>
    <t>.677</t>
  </si>
  <si>
    <t>21.7</t>
  </si>
  <si>
    <t>3.9</t>
  </si>
  <si>
    <t>Ron Baker, NY</t>
  </si>
  <si>
    <t>16.6</t>
  </si>
  <si>
    <t>17.1</t>
  </si>
  <si>
    <t>7.4</t>
  </si>
  <si>
    <t>Mindaugas Kuzminskas, NY</t>
  </si>
  <si>
    <t>.700</t>
  </si>
  <si>
    <t>13.3</t>
  </si>
  <si>
    <t>0.1</t>
  </si>
  <si>
    <t>David Lee, SA</t>
  </si>
  <si>
    <t>22.5</t>
  </si>
  <si>
    <t>27.3</t>
  </si>
  <si>
    <t>31.2</t>
  </si>
  <si>
    <t>29.1</t>
  </si>
  <si>
    <t>.653</t>
  </si>
  <si>
    <t>14.8</t>
  </si>
  <si>
    <t>9.8</t>
  </si>
  <si>
    <t>7.6</t>
  </si>
  <si>
    <t>18.9</t>
  </si>
  <si>
    <t>12.6</t>
  </si>
  <si>
    <t>14.2</t>
  </si>
  <si>
    <t>27.9</t>
  </si>
  <si>
    <t>5.5</t>
  </si>
  <si>
    <t>.563</t>
  </si>
  <si>
    <t>10.7</t>
  </si>
  <si>
    <t>.630</t>
  </si>
  <si>
    <t>4.7</t>
  </si>
  <si>
    <t>.825</t>
  </si>
  <si>
    <t>18.4</t>
  </si>
  <si>
    <t>15.2</t>
  </si>
  <si>
    <t>13.9</t>
  </si>
  <si>
    <t>2.8</t>
  </si>
  <si>
    <t>.773</t>
  </si>
  <si>
    <t>20.5</t>
  </si>
  <si>
    <t>42.9</t>
  </si>
  <si>
    <t>14.3</t>
  </si>
  <si>
    <t>16.1</t>
  </si>
  <si>
    <t>12.9</t>
  </si>
  <si>
    <t>1.2</t>
  </si>
  <si>
    <t>3.7</t>
  </si>
  <si>
    <t>24.7</t>
  </si>
  <si>
    <t>16.7</t>
  </si>
  <si>
    <t>19.9</t>
  </si>
  <si>
    <t>27.2</t>
  </si>
  <si>
    <t>15.8</t>
  </si>
  <si>
    <t>14.5</t>
  </si>
  <si>
    <t>21.8</t>
  </si>
  <si>
    <t>11.9</t>
  </si>
  <si>
    <t>1.1</t>
  </si>
  <si>
    <t>11.7</t>
  </si>
  <si>
    <t>.512</t>
  </si>
  <si>
    <t>20.7</t>
  </si>
  <si>
    <t>10.4</t>
  </si>
  <si>
    <t>19.3</t>
  </si>
  <si>
    <t>14.7</t>
  </si>
  <si>
    <t>11.5</t>
  </si>
  <si>
    <t>15.5</t>
  </si>
  <si>
    <t>10.1</t>
  </si>
  <si>
    <t>6.4</t>
  </si>
  <si>
    <t>22.7</t>
  </si>
  <si>
    <t>4.3</t>
  </si>
  <si>
    <t>4.4</t>
  </si>
  <si>
    <t>17.5</t>
  </si>
  <si>
    <t>5.2</t>
  </si>
  <si>
    <t>5.8</t>
  </si>
  <si>
    <t>4.5</t>
  </si>
  <si>
    <t>26.7</t>
  </si>
  <si>
    <t>18.6</t>
  </si>
  <si>
    <t>-1.9</t>
  </si>
  <si>
    <t>28.8</t>
  </si>
  <si>
    <t>7.3</t>
  </si>
  <si>
    <t>6.5</t>
  </si>
  <si>
    <t>-1.6</t>
  </si>
  <si>
    <t>.308</t>
  </si>
  <si>
    <t>12.5</t>
  </si>
  <si>
    <t>1.6</t>
  </si>
  <si>
    <t>12.1</t>
  </si>
  <si>
    <t>15.4</t>
  </si>
  <si>
    <t>Players on pace to play 500 or more minutes</t>
  </si>
  <si>
    <t>*To qualify: a player must have played 6.09 MPG.</t>
  </si>
  <si>
    <t>TS%: True Shooting Percentage - what a player's shooting percentage would be if we accounted for free throws and 3-pointers. True Shooting Percentage = Total points / [(FGA + (0.44 x FTA)]</t>
  </si>
  <si>
    <t>AST: Assist Ratio - the percentage of a player's possessions that ends in an assist. Assist Ratio = (Assists x 100) divided by [(FGA + (FTA x 0.44) + Assists + Turnovers]</t>
  </si>
  <si>
    <t>TO: Turnover Ratio - the percentage of a player's possessions that end in a turnover. Turnover Ratio = (Turnover x 100) divided by [(FGA + (FTA x 0.44) + Assists + Turnovers]</t>
  </si>
  <si>
    <t>USG: Usage Rate - the number of possessions a player uses per 40 minutes. Usage Rate = {[FGA + (FT Att. x 0.44) + (Ast x 0.33) + TO] x 40 x League Pace} divided by (Minutes x Team Pace)</t>
  </si>
  <si>
    <t>ORR: Offensive rebound rate</t>
  </si>
  <si>
    <t>DRR: Defensive rebound rate</t>
  </si>
  <si>
    <t>REBR: Rebound Rate - the percentage of missed shots that a player rebounds. Rebound Rate = (100 x (Rebounds x Team Minutes)) divided by [Player Minutes x (Team Rebounds + Opponent Rebounds)]</t>
  </si>
  <si>
    <t>PER: Player Efficiency Rating is the overall rating of a player's per-minute statistical production. The league average is 15.00 every season.</t>
  </si>
  <si>
    <t>VA: Value Added - the estimated number of points a player adds to a teams season total above what a 'replacement player' (for instance, the 12th man on the roster) would produce. Value Added = ([Minutes * (PER - PRL)] / 67). PRL (Position Replacement Level) = 11.5 for power forwards, 11.0 for point guards, 10.6 for centers, 10.5 for shooting guards and small forwards</t>
  </si>
  <si>
    <t>EWA: Estimated Wins Added - Value Added divided by 30, giving the estimated number of wins a player adds to a teams season total above what a 'replacement player' would produce.</t>
  </si>
  <si>
    <t>Player Efficiency Rating (PER) League average: 15.0</t>
  </si>
  <si>
    <t>What is PER? »</t>
  </si>
  <si>
    <t>How Do Projections Work? »</t>
  </si>
  <si>
    <t>SPORTS</t>
  </si>
  <si>
    <t>College Football</t>
  </si>
  <si>
    <t>College Basketball</t>
  </si>
  <si>
    <t>MORE</t>
  </si>
  <si>
    <t>Recruiting</t>
  </si>
  <si>
    <t>Horse Racing</t>
  </si>
  <si>
    <t>FANTASY</t>
  </si>
  <si>
    <t>Football</t>
  </si>
  <si>
    <t>Baseball</t>
  </si>
  <si>
    <t>Streak for the Cash</t>
  </si>
  <si>
    <t>SPORTSNATION</t>
  </si>
  <si>
    <t>Polls</t>
  </si>
  <si>
    <t>Chats</t>
  </si>
  <si>
    <t>VIDEO</t>
  </si>
  <si>
    <t>Most Recent</t>
  </si>
  <si>
    <t>Highlights</t>
  </si>
  <si>
    <t>Music</t>
  </si>
  <si>
    <t>Sports Passport</t>
  </si>
  <si>
    <t>Sports Calendar</t>
  </si>
  <si>
    <t>Arcade</t>
  </si>
  <si>
    <t>Contests</t>
  </si>
  <si>
    <t>TOOLS</t>
  </si>
  <si>
    <t>Contact Us</t>
  </si>
  <si>
    <t>Member Services</t>
  </si>
  <si>
    <t>Corrections</t>
  </si>
  <si>
    <t>Daily Line</t>
  </si>
  <si>
    <t>RSS</t>
  </si>
  <si>
    <t>TV LISTINGS</t>
  </si>
  <si>
    <t>WatchESPN</t>
  </si>
  <si>
    <t>RADIO</t>
  </si>
  <si>
    <t>ESPN THE MAGAZINE</t>
  </si>
  <si>
    <t>SHOP</t>
  </si>
  <si>
    <t>SPORTSCENTER</t>
  </si>
  <si>
    <t>TEAM ESPN</t>
  </si>
  <si>
    <t>ESPN FRONT ROW</t>
  </si>
  <si>
    <t>Légendes</t>
  </si>
  <si>
    <r>
      <rPr>
        <b/>
        <sz val="9"/>
        <color theme="1"/>
        <rFont val="Calibri"/>
        <family val="2"/>
        <scheme val="minor"/>
      </rPr>
      <t>GP</t>
    </r>
    <r>
      <rPr>
        <sz val="9"/>
        <color theme="1"/>
        <rFont val="Calibri"/>
        <family val="2"/>
        <scheme val="minor"/>
      </rPr>
      <t>: Nombre de match joué</t>
    </r>
  </si>
  <si>
    <r>
      <rPr>
        <b/>
        <sz val="9"/>
        <color theme="1"/>
        <rFont val="Calibri"/>
        <family val="2"/>
        <scheme val="minor"/>
      </rPr>
      <t>MPG:</t>
    </r>
    <r>
      <rPr>
        <sz val="9"/>
        <color theme="1"/>
        <rFont val="Calibri"/>
        <family val="2"/>
        <scheme val="minor"/>
      </rPr>
      <t xml:space="preserve"> Minute jouées / match (minimum 6')</t>
    </r>
  </si>
  <si>
    <r>
      <rPr>
        <b/>
        <sz val="9"/>
        <color theme="1"/>
        <rFont val="Calibri"/>
        <family val="2"/>
        <scheme val="minor"/>
      </rPr>
      <t>TS%:</t>
    </r>
    <r>
      <rPr>
        <sz val="9"/>
        <color theme="1"/>
        <rFont val="Calibri"/>
        <family val="2"/>
        <scheme val="minor"/>
      </rPr>
      <t xml:space="preserve"> Pourcentage total de point d'un joueur</t>
    </r>
  </si>
  <si>
    <r>
      <rPr>
        <b/>
        <sz val="9"/>
        <color theme="1"/>
        <rFont val="Calibri"/>
        <family val="2"/>
        <scheme val="minor"/>
      </rPr>
      <t>AST:</t>
    </r>
    <r>
      <rPr>
        <sz val="9"/>
        <color theme="1"/>
        <rFont val="Calibri"/>
        <family val="2"/>
        <scheme val="minor"/>
      </rPr>
      <t xml:space="preserve"> Pourcentage des possessions (qui se termine par un aide)</t>
    </r>
  </si>
  <si>
    <r>
      <rPr>
        <b/>
        <sz val="9"/>
        <color theme="1"/>
        <rFont val="Calibri"/>
        <family val="2"/>
        <scheme val="minor"/>
      </rPr>
      <t>TO:</t>
    </r>
    <r>
      <rPr>
        <sz val="9"/>
        <color theme="1"/>
        <rFont val="Calibri"/>
        <family val="2"/>
        <scheme val="minor"/>
      </rPr>
      <t xml:space="preserve"> Pourcentage des possessions qui se termine par un turnover</t>
    </r>
  </si>
  <si>
    <r>
      <rPr>
        <b/>
        <sz val="9"/>
        <color theme="1"/>
        <rFont val="Calibri"/>
        <family val="2"/>
        <scheme val="minor"/>
      </rPr>
      <t>USG:</t>
    </r>
    <r>
      <rPr>
        <sz val="9"/>
        <color theme="1"/>
        <rFont val="Calibri"/>
        <family val="2"/>
        <scheme val="minor"/>
      </rPr>
      <t xml:space="preserve"> Nombre de possessions qu'un joueur utilise sur 40 minutes</t>
    </r>
  </si>
  <si>
    <r>
      <rPr>
        <b/>
        <sz val="9"/>
        <color theme="1"/>
        <rFont val="Calibri"/>
        <family val="2"/>
        <scheme val="minor"/>
      </rPr>
      <t>ORR:</t>
    </r>
    <r>
      <rPr>
        <sz val="9"/>
        <color theme="1"/>
        <rFont val="Calibri"/>
        <family val="2"/>
        <scheme val="minor"/>
      </rPr>
      <t xml:space="preserve"> Taux de rebond offensif</t>
    </r>
  </si>
  <si>
    <r>
      <rPr>
        <b/>
        <sz val="9"/>
        <color theme="1"/>
        <rFont val="Calibri"/>
        <family val="2"/>
        <scheme val="minor"/>
      </rPr>
      <t>DRR:</t>
    </r>
    <r>
      <rPr>
        <sz val="9"/>
        <color theme="1"/>
        <rFont val="Calibri"/>
        <family val="2"/>
        <scheme val="minor"/>
      </rPr>
      <t xml:space="preserve"> Taux de rebond défensif</t>
    </r>
  </si>
  <si>
    <r>
      <rPr>
        <b/>
        <sz val="9"/>
        <color theme="1"/>
        <rFont val="Calibri"/>
        <family val="2"/>
        <scheme val="minor"/>
      </rPr>
      <t>REBR:</t>
    </r>
    <r>
      <rPr>
        <sz val="9"/>
        <color theme="1"/>
        <rFont val="Calibri"/>
        <family val="2"/>
        <scheme val="minor"/>
      </rPr>
      <t xml:space="preserve"> Pourcentage de tir manqué par rapport au rebond</t>
    </r>
  </si>
  <si>
    <r>
      <rPr>
        <b/>
        <sz val="9"/>
        <color theme="1"/>
        <rFont val="Calibri"/>
        <family val="2"/>
        <scheme val="minor"/>
      </rPr>
      <t>PER:</t>
    </r>
    <r>
      <rPr>
        <sz val="9"/>
        <color theme="1"/>
        <rFont val="Calibri"/>
        <family val="2"/>
        <scheme val="minor"/>
      </rPr>
      <t xml:space="preserve"> Note d'efficacité d'un joueur</t>
    </r>
  </si>
  <si>
    <r>
      <rPr>
        <b/>
        <sz val="9"/>
        <color theme="1"/>
        <rFont val="Calibri"/>
        <family val="2"/>
        <scheme val="minor"/>
      </rPr>
      <t>EWA:</t>
    </r>
    <r>
      <rPr>
        <sz val="9"/>
        <color theme="1"/>
        <rFont val="Calibri"/>
        <family val="2"/>
        <scheme val="minor"/>
      </rPr>
      <t xml:space="preserve"> Nbr de victoire qu'un joueur ajouter à son équipe au cours de la saison</t>
    </r>
  </si>
  <si>
    <r>
      <rPr>
        <b/>
        <sz val="9"/>
        <color theme="1"/>
        <rFont val="Calibri"/>
        <family val="2"/>
        <scheme val="minor"/>
      </rPr>
      <t>VA:</t>
    </r>
    <r>
      <rPr>
        <sz val="9"/>
        <color theme="1"/>
        <rFont val="Calibri"/>
        <family val="2"/>
        <scheme val="minor"/>
      </rPr>
      <t xml:space="preserve"> Nbr de point qu'un joueur ajouter à son équipe au cours de la saison</t>
    </r>
  </si>
  <si>
    <t>0-1, 3rd in Atlantic Division</t>
  </si>
  <si>
    <t>0-1, 4th in Northwest Division</t>
  </si>
  <si>
    <t>0-1, 4th in Pacific Division</t>
  </si>
  <si>
    <t>Ces données proviennent du site ESPN</t>
  </si>
  <si>
    <t>Classement PER 2016/17 - TOP 15</t>
  </si>
  <si>
    <t>1-0, 1st in Atlantic Division</t>
  </si>
  <si>
    <t>Boston Celtics Stats - 2016-17</t>
  </si>
  <si>
    <t>Isaiah Thomas</t>
  </si>
  <si>
    <t>Avery Bradley</t>
  </si>
  <si>
    <t>Jonas Jerebko</t>
  </si>
  <si>
    <t>Al Horford</t>
  </si>
  <si>
    <t>37.8</t>
  </si>
  <si>
    <t>16.3</t>
  </si>
  <si>
    <t>8.1</t>
  </si>
  <si>
    <t>122.0</t>
  </si>
  <si>
    <t>36.0</t>
  </si>
  <si>
    <t>.857</t>
  </si>
  <si>
    <t>1.786</t>
  </si>
  <si>
    <t>.375</t>
  </si>
  <si>
    <t>1.375</t>
  </si>
  <si>
    <t>0.69</t>
  </si>
  <si>
    <t>2.250</t>
  </si>
  <si>
    <t>1.286</t>
  </si>
  <si>
    <t>.364</t>
  </si>
  <si>
    <t>1.133</t>
  </si>
  <si>
    <t>48.0</t>
  </si>
  <si>
    <t>89.0</t>
  </si>
  <si>
    <t>.539</t>
  </si>
  <si>
    <t>.344</t>
  </si>
  <si>
    <t>57.0</t>
  </si>
  <si>
    <t>.649</t>
  </si>
  <si>
    <t>1.37</t>
  </si>
  <si>
    <t>0.60</t>
  </si>
  <si>
    <t>Brooklyn Nets Stats - 2016-17</t>
  </si>
  <si>
    <t>Bojan Bogdanovic</t>
  </si>
  <si>
    <t>#44</t>
  </si>
  <si>
    <t>Justin Hamilton</t>
  </si>
  <si>
    <t>#41</t>
  </si>
  <si>
    <t>Trevor Booker</t>
  </si>
  <si>
    <t>Joe Harris</t>
  </si>
  <si>
    <t>31.7</t>
  </si>
  <si>
    <t>25.4</t>
  </si>
  <si>
    <t>Sean Kilpatrick, SG</t>
  </si>
  <si>
    <t>6.8</t>
  </si>
  <si>
    <t>5.1</t>
  </si>
  <si>
    <t>3.2</t>
  </si>
  <si>
    <t>44.0</t>
  </si>
  <si>
    <t>8.00</t>
  </si>
  <si>
    <t>.583</t>
  </si>
  <si>
    <t>1.583</t>
  </si>
  <si>
    <t>0.71</t>
  </si>
  <si>
    <t>1.600</t>
  </si>
  <si>
    <t>1.235</t>
  </si>
  <si>
    <t>1.067</t>
  </si>
  <si>
    <t>0.21</t>
  </si>
  <si>
    <t>43.0</t>
  </si>
  <si>
    <t>97.0</t>
  </si>
  <si>
    <t>.443</t>
  </si>
  <si>
    <t>.341</t>
  </si>
  <si>
    <t>.528</t>
  </si>
  <si>
    <t>1.21</t>
  </si>
  <si>
    <t>0.52</t>
  </si>
  <si>
    <t>1-0, 1st in Southeast Division</t>
  </si>
  <si>
    <t>Charlotte Hornets Stats - 2016-17</t>
  </si>
  <si>
    <t>Michael Kidd-Gilchrist</t>
  </si>
  <si>
    <t>#14</t>
  </si>
  <si>
    <t>Kemba Walker</t>
  </si>
  <si>
    <t>#15</t>
  </si>
  <si>
    <t>Roy Hibbert</t>
  </si>
  <si>
    <t>#55</t>
  </si>
  <si>
    <t>27.8</t>
  </si>
  <si>
    <t>26.2</t>
  </si>
  <si>
    <t>15.6</t>
  </si>
  <si>
    <t>5.9</t>
  </si>
  <si>
    <t>-10.6</t>
  </si>
  <si>
    <t>107.0</t>
  </si>
  <si>
    <t>10.00</t>
  </si>
  <si>
    <t>2.7</t>
  </si>
  <si>
    <t>1.278</t>
  </si>
  <si>
    <t>.417</t>
  </si>
  <si>
    <t>1.083</t>
  </si>
  <si>
    <t>.222</t>
  </si>
  <si>
    <t>0.28</t>
  </si>
  <si>
    <t>.875</t>
  </si>
  <si>
    <t>0.38</t>
  </si>
  <si>
    <t>.449</t>
  </si>
  <si>
    <t>.304</t>
  </si>
  <si>
    <t>66.0</t>
  </si>
  <si>
    <t>1.20</t>
  </si>
  <si>
    <t>0.49</t>
  </si>
  <si>
    <t>0-1, 3rd in Southwest Division</t>
  </si>
  <si>
    <t>Dallas Mavericks Stats - 2016-17</t>
  </si>
  <si>
    <t>Deron Williams</t>
  </si>
  <si>
    <t>Harrison Barnes</t>
  </si>
  <si>
    <t>#40</t>
  </si>
  <si>
    <t>Wesley Matthews</t>
  </si>
  <si>
    <t>Dirk Nowitzki</t>
  </si>
  <si>
    <t>30.9</t>
  </si>
  <si>
    <t>18.3</t>
  </si>
  <si>
    <t>15.3</t>
  </si>
  <si>
    <t>13.8</t>
  </si>
  <si>
    <t>5.6</t>
  </si>
  <si>
    <t>5.3</t>
  </si>
  <si>
    <t>-15.5</t>
  </si>
  <si>
    <t>121.0</t>
  </si>
  <si>
    <t>49.0</t>
  </si>
  <si>
    <t>1.750</t>
  </si>
  <si>
    <t>0.88</t>
  </si>
  <si>
    <t>.421</t>
  </si>
  <si>
    <t>1.158</t>
  </si>
  <si>
    <t>1.389</t>
  </si>
  <si>
    <t>1.294</t>
  </si>
  <si>
    <t>.778</t>
  </si>
  <si>
    <t>0.39</t>
  </si>
  <si>
    <t>.188</t>
  </si>
  <si>
    <t>.813</t>
  </si>
  <si>
    <t>.433</t>
  </si>
  <si>
    <t>.482</t>
  </si>
  <si>
    <t>Denver Nuggets Stats - 2016-17</t>
  </si>
  <si>
    <t>Jusuf Nurkic</t>
  </si>
  <si>
    <t>Kenneth Faried</t>
  </si>
  <si>
    <t>Danilo Gallinari</t>
  </si>
  <si>
    <t>20.8</t>
  </si>
  <si>
    <t>2.4</t>
  </si>
  <si>
    <t>7.00</t>
  </si>
  <si>
    <t>.692</t>
  </si>
  <si>
    <t>1.769</t>
  </si>
  <si>
    <t>1.833</t>
  </si>
  <si>
    <t>.455</t>
  </si>
  <si>
    <t>1.364</t>
  </si>
  <si>
    <t>0.59</t>
  </si>
  <si>
    <t>1.125</t>
  </si>
  <si>
    <t>0.37</t>
  </si>
  <si>
    <t>83.0</t>
  </si>
  <si>
    <t>.446</t>
  </si>
  <si>
    <t>.758</t>
  </si>
  <si>
    <t>.492</t>
  </si>
  <si>
    <t>1.29</t>
  </si>
  <si>
    <t>0-1, 4th in Central Division</t>
  </si>
  <si>
    <t>Detroit Pistons Stats - 2016-17</t>
  </si>
  <si>
    <t>Tobias Harris</t>
  </si>
  <si>
    <t>#34</t>
  </si>
  <si>
    <t>Marcus Morris</t>
  </si>
  <si>
    <t>#13</t>
  </si>
  <si>
    <t>Ish Smith</t>
  </si>
  <si>
    <t>Kentavious Caldwell-Pope</t>
  </si>
  <si>
    <t>#5</t>
  </si>
  <si>
    <t>Michael Gbinije, SG</t>
  </si>
  <si>
    <t>25.9</t>
  </si>
  <si>
    <t>18.2</t>
  </si>
  <si>
    <t>Tobias Harris, SF</t>
  </si>
  <si>
    <t>13.1</t>
  </si>
  <si>
    <t>Beno Udrih, PG</t>
  </si>
  <si>
    <t>91.0</t>
  </si>
  <si>
    <t>1.3</t>
  </si>
  <si>
    <t>.636</t>
  </si>
  <si>
    <t>1.692</t>
  </si>
  <si>
    <t>0.65</t>
  </si>
  <si>
    <t>1.455</t>
  </si>
  <si>
    <t>0.30</t>
  </si>
  <si>
    <t>0.20</t>
  </si>
  <si>
    <t>0.22</t>
  </si>
  <si>
    <t>84.0</t>
  </si>
  <si>
    <t>.182</t>
  </si>
  <si>
    <t>62.0</t>
  </si>
  <si>
    <t>1.08</t>
  </si>
  <si>
    <t>Houston Rockets Stats - 2016-17</t>
  </si>
  <si>
    <t>James Harden</t>
  </si>
  <si>
    <t>Clint Capela</t>
  </si>
  <si>
    <t>Tyler Ennis</t>
  </si>
  <si>
    <t>37.6</t>
  </si>
  <si>
    <t>35.2</t>
  </si>
  <si>
    <t>23.9</t>
  </si>
  <si>
    <t>14.1</t>
  </si>
  <si>
    <t>5.4</t>
  </si>
  <si>
    <t>-4.9</t>
  </si>
  <si>
    <t>114.0</t>
  </si>
  <si>
    <t>0.94</t>
  </si>
  <si>
    <t>1.789</t>
  </si>
  <si>
    <t>.727</t>
  </si>
  <si>
    <t>0.73</t>
  </si>
  <si>
    <t>1.267</t>
  </si>
  <si>
    <t>.933</t>
  </si>
  <si>
    <t>.241</t>
  </si>
  <si>
    <t>.704</t>
  </si>
  <si>
    <t>1.33</t>
  </si>
  <si>
    <t>Indiana Pacers Stats - 2016-17</t>
  </si>
  <si>
    <t>Myles Turner</t>
  </si>
  <si>
    <t>#33</t>
  </si>
  <si>
    <t>Jeff Teague</t>
  </si>
  <si>
    <t>36.5</t>
  </si>
  <si>
    <t>20.4</t>
  </si>
  <si>
    <t>2.3</t>
  </si>
  <si>
    <t>19.2</t>
  </si>
  <si>
    <t>-5.2</t>
  </si>
  <si>
    <t>-16.0</t>
  </si>
  <si>
    <t>130.0</t>
  </si>
  <si>
    <t>52.0</t>
  </si>
  <si>
    <t>.706</t>
  </si>
  <si>
    <t>1.579</t>
  </si>
  <si>
    <t>1.167</t>
  </si>
  <si>
    <t>1.727</t>
  </si>
  <si>
    <t>0.77</t>
  </si>
  <si>
    <t>93.0</t>
  </si>
  <si>
    <t>.505</t>
  </si>
  <si>
    <t>.526</t>
  </si>
  <si>
    <t>.765</t>
  </si>
  <si>
    <t>1.40</t>
  </si>
  <si>
    <t>1-0, 1st in Pacific Division</t>
  </si>
  <si>
    <t>Los Angeles Lakers Stats - 2016-17</t>
  </si>
  <si>
    <t>Jordan Clarkson</t>
  </si>
  <si>
    <t>Timofey Mozgov</t>
  </si>
  <si>
    <t>#20</t>
  </si>
  <si>
    <t>Julius Randle</t>
  </si>
  <si>
    <t>#30</t>
  </si>
  <si>
    <t>Louis Williams</t>
  </si>
  <si>
    <t>Larry Nance Jr.</t>
  </si>
  <si>
    <t>39.4</t>
  </si>
  <si>
    <t>21.4</t>
  </si>
  <si>
    <t>-23.8</t>
  </si>
  <si>
    <t>120.0</t>
  </si>
  <si>
    <t>2.400</t>
  </si>
  <si>
    <t>2.083</t>
  </si>
  <si>
    <t>.900</t>
  </si>
  <si>
    <t>1.636</t>
  </si>
  <si>
    <t>0.82</t>
  </si>
  <si>
    <t>.438</t>
  </si>
  <si>
    <t>.506</t>
  </si>
  <si>
    <t>.343</t>
  </si>
  <si>
    <t>54.0</t>
  </si>
  <si>
    <t>1.35</t>
  </si>
  <si>
    <t>Memphis Grizzlies Stats - 2016-17</t>
  </si>
  <si>
    <t>Mike Conley</t>
  </si>
  <si>
    <t>#11</t>
  </si>
  <si>
    <t>Zach Randolph</t>
  </si>
  <si>
    <t>#50</t>
  </si>
  <si>
    <t>Wade Baldwin IV</t>
  </si>
  <si>
    <t>Marc Gasol</t>
  </si>
  <si>
    <t>27.6</t>
  </si>
  <si>
    <t>27.5</t>
  </si>
  <si>
    <t>25.5</t>
  </si>
  <si>
    <t>James Ennis, SF</t>
  </si>
  <si>
    <t>102.0</t>
  </si>
  <si>
    <t>0.63</t>
  </si>
  <si>
    <t>1.875</t>
  </si>
  <si>
    <t>1.059</t>
  </si>
  <si>
    <t>80.0</t>
  </si>
  <si>
    <t>.450</t>
  </si>
  <si>
    <t>.458</t>
  </si>
  <si>
    <t>1.28</t>
  </si>
  <si>
    <t>Miami Heat Stats - 2016-17</t>
  </si>
  <si>
    <t>Hassan Whiteside</t>
  </si>
  <si>
    <t>#21</t>
  </si>
  <si>
    <t>Goran Dragic</t>
  </si>
  <si>
    <t>Tyler Johnson</t>
  </si>
  <si>
    <t>34.4</t>
  </si>
  <si>
    <t>24.5</t>
  </si>
  <si>
    <t>18.8</t>
  </si>
  <si>
    <t>8.9</t>
  </si>
  <si>
    <t>108.0</t>
  </si>
  <si>
    <t>.538</t>
  </si>
  <si>
    <t>.485</t>
  </si>
  <si>
    <t>81.0</t>
  </si>
  <si>
    <t>.531</t>
  </si>
  <si>
    <t>1.11</t>
  </si>
  <si>
    <t>Milwaukee Bucks Stats - 2016-17</t>
  </si>
  <si>
    <t>Giannis Antetokounmpo</t>
  </si>
  <si>
    <t>Greg Monroe</t>
  </si>
  <si>
    <t>8.5</t>
  </si>
  <si>
    <t>7.7</t>
  </si>
  <si>
    <t>-2.2</t>
  </si>
  <si>
    <t>-4.0</t>
  </si>
  <si>
    <t>96.0</t>
  </si>
  <si>
    <t>46.0</t>
  </si>
  <si>
    <t>.619</t>
  </si>
  <si>
    <t>.632</t>
  </si>
  <si>
    <t>1.476</t>
  </si>
  <si>
    <t>.357</t>
  </si>
  <si>
    <t>0.36</t>
  </si>
  <si>
    <t>92.0</t>
  </si>
  <si>
    <t>.424</t>
  </si>
  <si>
    <t>76.0</t>
  </si>
  <si>
    <t>1.04</t>
  </si>
  <si>
    <t>Minnesota Timberwolves Stats - 2016-17</t>
  </si>
  <si>
    <t>Andrew Wiggins</t>
  </si>
  <si>
    <t>#22</t>
  </si>
  <si>
    <t>Gorgui Dieng</t>
  </si>
  <si>
    <t>Ricky Rubio</t>
  </si>
  <si>
    <t>#9</t>
  </si>
  <si>
    <t>25.8</t>
  </si>
  <si>
    <t>Kris Dunn, PG</t>
  </si>
  <si>
    <t>21.9</t>
  </si>
  <si>
    <t>-0.5</t>
  </si>
  <si>
    <t>-4.6</t>
  </si>
  <si>
    <t>-9.6</t>
  </si>
  <si>
    <t>.462</t>
  </si>
  <si>
    <t>1.050</t>
  </si>
  <si>
    <t>0.17</t>
  </si>
  <si>
    <t>.419</t>
  </si>
  <si>
    <t>.690</t>
  </si>
  <si>
    <t>68.0</t>
  </si>
  <si>
    <t>.441</t>
  </si>
  <si>
    <t>1.14</t>
  </si>
  <si>
    <t>0.45</t>
  </si>
  <si>
    <t>New Orleans Pelicans Stats - 2016-17</t>
  </si>
  <si>
    <t>Anthony Davis</t>
  </si>
  <si>
    <t>50.0</t>
  </si>
  <si>
    <t>Tim Frazier</t>
  </si>
  <si>
    <t>Tim Frazier, PG</t>
  </si>
  <si>
    <t>Lance Stephenson, SG</t>
  </si>
  <si>
    <t>-7.7</t>
  </si>
  <si>
    <t>-8.6</t>
  </si>
  <si>
    <t>-11.4</t>
  </si>
  <si>
    <t>16.00</t>
  </si>
  <si>
    <t>1.471</t>
  </si>
  <si>
    <t>.413</t>
  </si>
  <si>
    <t>.158</t>
  </si>
  <si>
    <t>73.0</t>
  </si>
  <si>
    <t>Oklahoma City Thunder Stats - 2016-17</t>
  </si>
  <si>
    <t>Russell Westbrook</t>
  </si>
  <si>
    <t>Steven Adams</t>
  </si>
  <si>
    <t>Andre Roberson</t>
  </si>
  <si>
    <t>34.5</t>
  </si>
  <si>
    <t>-3.4</t>
  </si>
  <si>
    <t>103.0</t>
  </si>
  <si>
    <t>.524</t>
  </si>
  <si>
    <t>1.524</t>
  </si>
  <si>
    <t>1.214</t>
  </si>
  <si>
    <t>.415</t>
  </si>
  <si>
    <t>.273</t>
  </si>
  <si>
    <t>.731</t>
  </si>
  <si>
    <t>72.0</t>
  </si>
  <si>
    <t>0-1, 5th in Southeast Division</t>
  </si>
  <si>
    <t>Orlando Magic Stats - 2016-17</t>
  </si>
  <si>
    <t>Evan Fournier</t>
  </si>
  <si>
    <t>#10</t>
  </si>
  <si>
    <t>Nikola Vucevic</t>
  </si>
  <si>
    <t>Elfrid Payton</t>
  </si>
  <si>
    <t>13.6</t>
  </si>
  <si>
    <t>D.J. Augustin, PG</t>
  </si>
  <si>
    <t>1.091</t>
  </si>
  <si>
    <t>1.053</t>
  </si>
  <si>
    <t>2.333</t>
  </si>
  <si>
    <t>.353</t>
  </si>
  <si>
    <t>.824</t>
  </si>
  <si>
    <t>0.41</t>
  </si>
  <si>
    <t>0.29</t>
  </si>
  <si>
    <t>.386</t>
  </si>
  <si>
    <t>.786</t>
  </si>
  <si>
    <t>71.0</t>
  </si>
  <si>
    <t>.394</t>
  </si>
  <si>
    <t>1.09</t>
  </si>
  <si>
    <t>Philadelphia 76ers Stats - 2016-17</t>
  </si>
  <si>
    <t>Joel Embiid</t>
  </si>
  <si>
    <t>Sergio Rodriguez</t>
  </si>
  <si>
    <t>T.J. McConnell</t>
  </si>
  <si>
    <t>Richaun Holmes</t>
  </si>
  <si>
    <t>18.1</t>
  </si>
  <si>
    <t>-6.3</t>
  </si>
  <si>
    <t>2.167</t>
  </si>
  <si>
    <t>.292</t>
  </si>
  <si>
    <t>.720</t>
  </si>
  <si>
    <t>.483</t>
  </si>
  <si>
    <t>1.15</t>
  </si>
  <si>
    <t>Phoenix Suns Stats - 2016-17</t>
  </si>
  <si>
    <t>Devin Booker</t>
  </si>
  <si>
    <t>Tyson Chandler</t>
  </si>
  <si>
    <t>Eric Bledsoe</t>
  </si>
  <si>
    <t>T.J. Warren</t>
  </si>
  <si>
    <t>Tyler Ulis</t>
  </si>
  <si>
    <t>41.1</t>
  </si>
  <si>
    <t>16.9</t>
  </si>
  <si>
    <t>3.1</t>
  </si>
  <si>
    <t>2.6</t>
  </si>
  <si>
    <t>-8.7</t>
  </si>
  <si>
    <t>-33.0</t>
  </si>
  <si>
    <t>.889</t>
  </si>
  <si>
    <t>77.0</t>
  </si>
  <si>
    <t>.468</t>
  </si>
  <si>
    <t>61.0</t>
  </si>
  <si>
    <t>.525</t>
  </si>
  <si>
    <t>1.22</t>
  </si>
  <si>
    <t>Sacramento Kings Stats - 2016-17</t>
  </si>
  <si>
    <t>DeMarcus Cousins</t>
  </si>
  <si>
    <t>Matt Barnes</t>
  </si>
  <si>
    <t>Ty Lawson</t>
  </si>
  <si>
    <t>Rudy Gay</t>
  </si>
  <si>
    <t>31.9</t>
  </si>
  <si>
    <t>19.8</t>
  </si>
  <si>
    <t>-9.1</t>
  </si>
  <si>
    <t>-27.9</t>
  </si>
  <si>
    <t>1.467</t>
  </si>
  <si>
    <t>1.556</t>
  </si>
  <si>
    <t>0.78</t>
  </si>
  <si>
    <t>65.0</t>
  </si>
  <si>
    <t>.585</t>
  </si>
  <si>
    <t>1.31</t>
  </si>
  <si>
    <t>Toronto Raptors Stats - 2016-17</t>
  </si>
  <si>
    <t>DeMar DeRozan</t>
  </si>
  <si>
    <t>Jonas Valanciunas</t>
  </si>
  <si>
    <t>#17</t>
  </si>
  <si>
    <t>Kyle Lowry</t>
  </si>
  <si>
    <t>Terrence Ross</t>
  </si>
  <si>
    <t>#31</t>
  </si>
  <si>
    <t>40.3</t>
  </si>
  <si>
    <t>35.3</t>
  </si>
  <si>
    <t>-2.7</t>
  </si>
  <si>
    <t>-33.2</t>
  </si>
  <si>
    <t>109.0</t>
  </si>
  <si>
    <t>2.133</t>
  </si>
  <si>
    <t>.680</t>
  </si>
  <si>
    <t>1.481</t>
  </si>
  <si>
    <t>.769</t>
  </si>
  <si>
    <t>0.27</t>
  </si>
  <si>
    <t>.477</t>
  </si>
  <si>
    <t>.828</t>
  </si>
  <si>
    <t>.559</t>
  </si>
  <si>
    <t>Pour plus d'informations rendez-vous sur: github.com/AnthonyRio/NBA</t>
  </si>
  <si>
    <t>Total de points potentiel fin de match / equipe</t>
  </si>
  <si>
    <t>Pour déterminer l'équipe gagnante à la fin du match, saisir les statistiques "générales" et le nombre de points à la mi-temps ci-contre .</t>
  </si>
  <si>
    <r>
      <t xml:space="preserve">Pronostiques - Analyse de l'équipe favorite pour gagner le match </t>
    </r>
    <r>
      <rPr>
        <b/>
        <sz val="16"/>
        <color theme="1"/>
        <rFont val="Calibri"/>
        <family val="2"/>
        <scheme val="minor"/>
      </rPr>
      <t>après la MT</t>
    </r>
  </si>
  <si>
    <t>37.9</t>
  </si>
  <si>
    <t>44.16</t>
  </si>
  <si>
    <t>36.6</t>
  </si>
  <si>
    <t>44.08</t>
  </si>
  <si>
    <t>0.6</t>
  </si>
  <si>
    <t>Anthony Davis, NO</t>
  </si>
  <si>
    <t>.603</t>
  </si>
  <si>
    <t>41.3</t>
  </si>
  <si>
    <t>43.9</t>
  </si>
  <si>
    <t>42.97</t>
  </si>
  <si>
    <t>Cody Zeller, CHA</t>
  </si>
  <si>
    <t>.868</t>
  </si>
  <si>
    <t>29.3</t>
  </si>
  <si>
    <t>10.6</t>
  </si>
  <si>
    <t>42.85</t>
  </si>
  <si>
    <t>6.6</t>
  </si>
  <si>
    <t>Dragan Bender, PHX</t>
  </si>
  <si>
    <t>41.14</t>
  </si>
  <si>
    <t>27.4</t>
  </si>
  <si>
    <t>40.41</t>
  </si>
  <si>
    <t>Jonas Valanciunas, TOR</t>
  </si>
  <si>
    <t>.756</t>
  </si>
  <si>
    <t>26.5</t>
  </si>
  <si>
    <t>40.26</t>
  </si>
  <si>
    <t>Louis Williams, LAL</t>
  </si>
  <si>
    <t>.743</t>
  </si>
  <si>
    <t>39.36</t>
  </si>
  <si>
    <t>Tyler Zeller, BOS</t>
  </si>
  <si>
    <t>23.8</t>
  </si>
  <si>
    <t>14.6</t>
  </si>
  <si>
    <t>37.76</t>
  </si>
  <si>
    <t>K.J. McDaniels, HOU</t>
  </si>
  <si>
    <t>37.61</t>
  </si>
  <si>
    <t>Myles Turner, IND</t>
  </si>
  <si>
    <t>.708</t>
  </si>
  <si>
    <t>4.1</t>
  </si>
  <si>
    <t>36.47</t>
  </si>
  <si>
    <t>Jordan Clarkson, LAL</t>
  </si>
  <si>
    <t>.829</t>
  </si>
  <si>
    <t>30.5</t>
  </si>
  <si>
    <t>4.8</t>
  </si>
  <si>
    <t>35.99</t>
  </si>
  <si>
    <t>DeMar DeRozan, TOR</t>
  </si>
  <si>
    <t>.675</t>
  </si>
  <si>
    <t>43.7</t>
  </si>
  <si>
    <t>35.34</t>
  </si>
  <si>
    <t>James Harden, HOU</t>
  </si>
  <si>
    <t>10.2</t>
  </si>
  <si>
    <t>16.2</t>
  </si>
  <si>
    <t>35.23</t>
  </si>
  <si>
    <t>35.21</t>
  </si>
  <si>
    <t>Jusuf Nurkic, DEN</t>
  </si>
  <si>
    <t>.735</t>
  </si>
  <si>
    <t>24.9</t>
  </si>
  <si>
    <t>35.02</t>
  </si>
  <si>
    <t>Russell Westbrook, OKC</t>
  </si>
  <si>
    <t>24.4</t>
  </si>
  <si>
    <t>33.7</t>
  </si>
  <si>
    <t>32.6</t>
  </si>
  <si>
    <t>34.50</t>
  </si>
  <si>
    <t>Willie Reed, MIA</t>
  </si>
  <si>
    <t>34.43</t>
  </si>
  <si>
    <t>33.95</t>
  </si>
  <si>
    <t>10.3</t>
  </si>
  <si>
    <t>32.44</t>
  </si>
  <si>
    <t>32.37</t>
  </si>
  <si>
    <t>31.96</t>
  </si>
  <si>
    <t>DeMarcus Cousins, SAC</t>
  </si>
  <si>
    <t>33.9</t>
  </si>
  <si>
    <t>23.4</t>
  </si>
  <si>
    <t>31.91</t>
  </si>
  <si>
    <t>Justin Hamilton, BKN</t>
  </si>
  <si>
    <t>.713</t>
  </si>
  <si>
    <t>12.3</t>
  </si>
  <si>
    <t>21.1</t>
  </si>
  <si>
    <t>31.74</t>
  </si>
  <si>
    <t>35.9</t>
  </si>
  <si>
    <t>31.58</t>
  </si>
  <si>
    <t>30.91</t>
  </si>
  <si>
    <t>Giannis Antetokounmpo, MIL</t>
  </si>
  <si>
    <t>.656</t>
  </si>
  <si>
    <t>27.7</t>
  </si>
  <si>
    <t>30.82</t>
  </si>
  <si>
    <t>Enes Kanter, OKC</t>
  </si>
  <si>
    <t>31.1</t>
  </si>
  <si>
    <t>30.42</t>
  </si>
  <si>
    <t>29.84</t>
  </si>
  <si>
    <t>Isaiah Thomas, BOS</t>
  </si>
  <si>
    <t>.696</t>
  </si>
  <si>
    <t>29.13</t>
  </si>
  <si>
    <t>Rudy Gay, SAC</t>
  </si>
  <si>
    <t>21.6</t>
  </si>
  <si>
    <t>27.84</t>
  </si>
  <si>
    <t>Michael Kidd-Gilchrist, CHA</t>
  </si>
  <si>
    <t>.595</t>
  </si>
  <si>
    <t>27.77</t>
  </si>
  <si>
    <t>Zach Randolph, MEM</t>
  </si>
  <si>
    <t>39.2</t>
  </si>
  <si>
    <t>27.58</t>
  </si>
  <si>
    <t>Mike Conley, MEM</t>
  </si>
  <si>
    <t>.741</t>
  </si>
  <si>
    <t>27.55</t>
  </si>
  <si>
    <t>Julius Randle, LAL</t>
  </si>
  <si>
    <t>.787</t>
  </si>
  <si>
    <t>27.26</t>
  </si>
  <si>
    <t>26.88</t>
  </si>
  <si>
    <t>Richaun Holmes, PHI</t>
  </si>
  <si>
    <t>1.042</t>
  </si>
  <si>
    <t>26.70</t>
  </si>
  <si>
    <t>Trevor Booker, BKN</t>
  </si>
  <si>
    <t>45.5</t>
  </si>
  <si>
    <t>26.65</t>
  </si>
  <si>
    <t>Roy Hibbert, CHA</t>
  </si>
  <si>
    <t>26.18</t>
  </si>
  <si>
    <t>16.8</t>
  </si>
  <si>
    <t>25.89</t>
  </si>
  <si>
    <t>Andrew Wiggins, MIN</t>
  </si>
  <si>
    <t>.620</t>
  </si>
  <si>
    <t>25.83</t>
  </si>
  <si>
    <t>Wade Baldwin IV, MEM</t>
  </si>
  <si>
    <t>25.47</t>
  </si>
  <si>
    <t>Bojan Bogdanovic, BKN</t>
  </si>
  <si>
    <t>.618</t>
  </si>
  <si>
    <t>31.8</t>
  </si>
  <si>
    <t>25.37</t>
  </si>
  <si>
    <t>Seth Curry, DAL</t>
  </si>
  <si>
    <t>24.84</t>
  </si>
  <si>
    <t>24.82</t>
  </si>
  <si>
    <t>C.J. Miles, IND</t>
  </si>
  <si>
    <t>24.71</t>
  </si>
  <si>
    <t>24.62</t>
  </si>
  <si>
    <t>Hassan Whiteside, MIA</t>
  </si>
  <si>
    <t>.507</t>
  </si>
  <si>
    <t>13.5</t>
  </si>
  <si>
    <t>24.53</t>
  </si>
  <si>
    <t>Nik Stauskas, PHI</t>
  </si>
  <si>
    <t>.888</t>
  </si>
  <si>
    <t>8.7</t>
  </si>
  <si>
    <t>24.51</t>
  </si>
  <si>
    <t>Tyler Johnson, MIA</t>
  </si>
  <si>
    <t>19.7</t>
  </si>
  <si>
    <t>24.48</t>
  </si>
  <si>
    <t>256 Results</t>
  </si>
  <si>
    <t>1 of 6</t>
  </si>
  <si>
    <t>Pour voir le classement complet, sélectionner la feuille de calcul "Player Rank"</t>
  </si>
  <si>
    <t>N°</t>
  </si>
  <si>
    <t>V/D</t>
  </si>
  <si>
    <r>
      <t>V/D:</t>
    </r>
    <r>
      <rPr>
        <sz val="12"/>
        <color theme="7" tint="-0.249977111117893"/>
        <rFont val="Calibri"/>
        <family val="2"/>
        <scheme val="minor"/>
      </rPr>
      <t xml:space="preserve"> 1 =  victoire, 0 = défaite</t>
    </r>
  </si>
  <si>
    <t>Version 1.1.4.b1 - 28/10/16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</si>
</sst>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0.0"/>
    <numFmt numFmtId="165" formatCode="[$-40C]d\-mmm;@"/>
    <numFmt numFmtId="166" formatCode="[$-F800]dddd\,\ mmmm\ dd\,\ yyyy"/>
  </numFmts>
  <fonts count="4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9"/>
      <color rgb="FF141414"/>
      <name val="Georgia"/>
      <family val="1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rgb="FF111111"/>
      <name val="Arial"/>
      <family val="2"/>
    </font>
    <font>
      <sz val="12"/>
      <color theme="7" tint="-0.249977111117893"/>
      <name val="Calibri"/>
      <family val="2"/>
      <scheme val="minor"/>
    </font>
    <font>
      <b/>
      <sz val="12"/>
      <color theme="6" tint="0.59999389629810485"/>
      <name val="Calibri"/>
      <family val="2"/>
      <scheme val="minor"/>
    </font>
    <font>
      <b/>
      <sz val="22"/>
      <color theme="7" tint="-0.249977111117893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7" tint="-0.499984740745262"/>
      <name val="Calibri"/>
      <family val="2"/>
      <scheme val="minor"/>
    </font>
    <font>
      <b/>
      <sz val="14"/>
      <color theme="7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4"/>
      <color theme="7" tint="-0.249977111117893"/>
      <name val="Calibri"/>
      <family val="2"/>
      <scheme val="minor"/>
    </font>
    <font>
      <b/>
      <sz val="28"/>
      <color rgb="FF006100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5"/>
      <name val="Calibri"/>
      <family val="2"/>
      <scheme val="minor"/>
    </font>
    <font>
      <sz val="16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-0.249977111117893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rgb="FFFF0000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92D050"/>
        <bgColor theme="4" tint="0.59999389629810485"/>
      </patternFill>
    </fill>
    <fill>
      <patternFill patternType="solid">
        <fgColor rgb="FFFF0000"/>
        <bgColor theme="4" tint="0.59999389629810485"/>
      </patternFill>
    </fill>
    <fill>
      <patternFill patternType="solid">
        <fgColor rgb="FF953ED7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048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rgb="FFFFEB9C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</fills>
  <borders count="6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9" tint="-0.249977111117893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auto="1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thin">
        <color rgb="FFB2B2B2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8">
    <xf numFmtId="0" fontId="0" fillId="0" borderId="0"/>
    <xf numFmtId="0" fontId="10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0" fontId="20" fillId="37" borderId="0" applyNumberFormat="0" applyBorder="0" applyAlignment="0" applyProtection="0"/>
    <xf numFmtId="0" fontId="12" fillId="38" borderId="43" applyNumberFormat="0" applyFont="0" applyAlignment="0" applyProtection="0"/>
    <xf numFmtId="0" fontId="23" fillId="39" borderId="0" applyNumberFormat="0" applyBorder="0" applyAlignment="0" applyProtection="0"/>
    <xf numFmtId="9" fontId="12" fillId="0" borderId="0" applyFont="0" applyFill="0" applyBorder="0" applyAlignment="0" applyProtection="0"/>
    <xf numFmtId="0" fontId="26" fillId="40" borderId="0" applyNumberFormat="0" applyBorder="0" applyAlignment="0" applyProtection="0"/>
  </cellStyleXfs>
  <cellXfs count="456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2" borderId="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left"/>
    </xf>
    <xf numFmtId="0" fontId="0" fillId="4" borderId="1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left"/>
    </xf>
    <xf numFmtId="0" fontId="0" fillId="3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2" fontId="7" fillId="7" borderId="1" xfId="0" applyNumberFormat="1" applyFont="1" applyFill="1" applyBorder="1" applyAlignment="1">
      <alignment horizontal="center"/>
    </xf>
    <xf numFmtId="2" fontId="7" fillId="8" borderId="1" xfId="0" applyNumberFormat="1" applyFont="1" applyFill="1" applyBorder="1" applyAlignment="1">
      <alignment horizontal="center"/>
    </xf>
    <xf numFmtId="2" fontId="7" fillId="9" borderId="1" xfId="0" applyNumberFormat="1" applyFont="1" applyFill="1" applyBorder="1" applyAlignment="1">
      <alignment horizontal="center"/>
    </xf>
    <xf numFmtId="2" fontId="7" fillId="10" borderId="1" xfId="0" applyNumberFormat="1" applyFont="1" applyFill="1" applyBorder="1" applyAlignment="1">
      <alignment horizontal="center"/>
    </xf>
    <xf numFmtId="2" fontId="7" fillId="11" borderId="1" xfId="0" applyNumberFormat="1" applyFont="1" applyFill="1" applyBorder="1" applyAlignment="1">
      <alignment horizontal="center"/>
    </xf>
    <xf numFmtId="2" fontId="7" fillId="12" borderId="1" xfId="0" applyNumberFormat="1" applyFont="1" applyFill="1" applyBorder="1" applyAlignment="1">
      <alignment horizontal="center"/>
    </xf>
    <xf numFmtId="2" fontId="7" fillId="13" borderId="1" xfId="0" applyNumberFormat="1" applyFont="1" applyFill="1" applyBorder="1" applyAlignment="1">
      <alignment horizontal="center"/>
    </xf>
    <xf numFmtId="2" fontId="7" fillId="14" borderId="1" xfId="0" applyNumberFormat="1" applyFont="1" applyFill="1" applyBorder="1" applyAlignment="1">
      <alignment horizontal="center"/>
    </xf>
    <xf numFmtId="2" fontId="7" fillId="15" borderId="1" xfId="0" applyNumberFormat="1" applyFont="1" applyFill="1" applyBorder="1" applyAlignment="1">
      <alignment horizontal="center"/>
    </xf>
    <xf numFmtId="2" fontId="7" fillId="16" borderId="1" xfId="0" applyNumberFormat="1" applyFont="1" applyFill="1" applyBorder="1" applyAlignment="1">
      <alignment horizontal="center"/>
    </xf>
    <xf numFmtId="2" fontId="7" fillId="17" borderId="1" xfId="0" applyNumberFormat="1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2" fontId="7" fillId="18" borderId="1" xfId="0" applyNumberFormat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6" borderId="6" xfId="0" applyFont="1" applyFill="1" applyBorder="1" applyAlignment="1">
      <alignment horizontal="center"/>
    </xf>
    <xf numFmtId="0" fontId="0" fillId="4" borderId="4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6" borderId="4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 vertical="center"/>
    </xf>
    <xf numFmtId="2" fontId="7" fillId="8" borderId="4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12" borderId="4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18" borderId="4" xfId="0" applyNumberFormat="1" applyFont="1" applyFill="1" applyBorder="1" applyAlignment="1">
      <alignment horizontal="center"/>
    </xf>
    <xf numFmtId="2" fontId="7" fillId="9" borderId="4" xfId="0" applyNumberFormat="1" applyFont="1" applyFill="1" applyBorder="1" applyAlignment="1">
      <alignment horizontal="center"/>
    </xf>
    <xf numFmtId="2" fontId="7" fillId="14" borderId="4" xfId="0" applyNumberFormat="1" applyFont="1" applyFill="1" applyBorder="1" applyAlignment="1">
      <alignment horizontal="center"/>
    </xf>
    <xf numFmtId="2" fontId="7" fillId="13" borderId="4" xfId="0" applyNumberFormat="1" applyFont="1" applyFill="1" applyBorder="1" applyAlignment="1">
      <alignment horizontal="center"/>
    </xf>
    <xf numFmtId="2" fontId="7" fillId="16" borderId="4" xfId="0" applyNumberFormat="1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6" borderId="12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center"/>
    </xf>
    <xf numFmtId="0" fontId="0" fillId="6" borderId="9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3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center"/>
    </xf>
    <xf numFmtId="0" fontId="4" fillId="19" borderId="4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20" borderId="6" xfId="0" applyFont="1" applyFill="1" applyBorder="1" applyAlignment="1">
      <alignment horizontal="center"/>
    </xf>
    <xf numFmtId="0" fontId="7" fillId="21" borderId="1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18" borderId="1" xfId="0" applyFont="1" applyFill="1" applyBorder="1" applyAlignment="1">
      <alignment horizontal="center"/>
    </xf>
    <xf numFmtId="0" fontId="7" fillId="16" borderId="1" xfId="0" applyFont="1" applyFill="1" applyBorder="1" applyAlignment="1">
      <alignment horizontal="center"/>
    </xf>
    <xf numFmtId="0" fontId="7" fillId="23" borderId="13" xfId="0" applyFont="1" applyFill="1" applyBorder="1" applyAlignment="1">
      <alignment horizontal="center"/>
    </xf>
    <xf numFmtId="0" fontId="7" fillId="20" borderId="12" xfId="0" applyFont="1" applyFill="1" applyBorder="1" applyAlignment="1">
      <alignment horizontal="center"/>
    </xf>
    <xf numFmtId="0" fontId="7" fillId="21" borderId="12" xfId="0" applyFont="1" applyFill="1" applyBorder="1" applyAlignment="1">
      <alignment horizontal="center"/>
    </xf>
    <xf numFmtId="0" fontId="7" fillId="21" borderId="9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7" fillId="20" borderId="9" xfId="0" applyFont="1" applyFill="1" applyBorder="1" applyAlignment="1">
      <alignment horizontal="center"/>
    </xf>
    <xf numFmtId="0" fontId="7" fillId="6" borderId="13" xfId="0" applyFont="1" applyFill="1" applyBorder="1" applyAlignment="1">
      <alignment horizontal="center"/>
    </xf>
    <xf numFmtId="0" fontId="7" fillId="24" borderId="13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7" fillId="25" borderId="13" xfId="0" applyFont="1" applyFill="1" applyBorder="1" applyAlignment="1">
      <alignment horizontal="center"/>
    </xf>
    <xf numFmtId="164" fontId="7" fillId="22" borderId="8" xfId="0" applyNumberFormat="1" applyFont="1" applyFill="1" applyBorder="1" applyAlignment="1">
      <alignment horizontal="center"/>
    </xf>
    <xf numFmtId="0" fontId="4" fillId="0" borderId="0" xfId="0" applyFont="1"/>
    <xf numFmtId="164" fontId="7" fillId="26" borderId="0" xfId="0" applyNumberFormat="1" applyFont="1" applyFill="1" applyAlignment="1">
      <alignment horizontal="center"/>
    </xf>
    <xf numFmtId="0" fontId="5" fillId="6" borderId="4" xfId="0" applyFont="1" applyFill="1" applyBorder="1" applyAlignment="1">
      <alignment horizontal="left"/>
    </xf>
    <xf numFmtId="0" fontId="5" fillId="5" borderId="4" xfId="0" applyFont="1" applyFill="1" applyBorder="1" applyAlignment="1">
      <alignment horizontal="left"/>
    </xf>
    <xf numFmtId="0" fontId="0" fillId="5" borderId="4" xfId="0" applyFont="1" applyFill="1" applyBorder="1" applyAlignment="1">
      <alignment horizontal="center"/>
    </xf>
    <xf numFmtId="0" fontId="0" fillId="5" borderId="17" xfId="0" applyFont="1" applyFill="1" applyBorder="1" applyAlignment="1">
      <alignment horizontal="center"/>
    </xf>
    <xf numFmtId="0" fontId="0" fillId="6" borderId="17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0" fillId="5" borderId="6" xfId="0" applyFont="1" applyFill="1" applyBorder="1" applyAlignment="1">
      <alignment horizontal="center"/>
    </xf>
    <xf numFmtId="0" fontId="0" fillId="5" borderId="9" xfId="0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5" fillId="3" borderId="20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  <xf numFmtId="0" fontId="5" fillId="6" borderId="5" xfId="0" applyFont="1" applyFill="1" applyBorder="1" applyAlignment="1">
      <alignment horizontal="left"/>
    </xf>
    <xf numFmtId="0" fontId="5" fillId="5" borderId="8" xfId="0" applyFont="1" applyFill="1" applyBorder="1" applyAlignment="1">
      <alignment horizontal="left"/>
    </xf>
    <xf numFmtId="0" fontId="0" fillId="0" borderId="0" xfId="0" applyFill="1"/>
    <xf numFmtId="0" fontId="5" fillId="0" borderId="0" xfId="0" applyFont="1" applyFill="1" applyBorder="1" applyAlignment="1">
      <alignment horizontal="left"/>
    </xf>
    <xf numFmtId="0" fontId="0" fillId="0" borderId="0" xfId="0" applyFill="1" applyAlignment="1">
      <alignment horizontal="center" vertical="center"/>
    </xf>
    <xf numFmtId="0" fontId="0" fillId="27" borderId="0" xfId="0" applyFill="1"/>
    <xf numFmtId="0" fontId="0" fillId="27" borderId="14" xfId="0" applyFill="1" applyBorder="1"/>
    <xf numFmtId="0" fontId="0" fillId="27" borderId="16" xfId="0" applyFill="1" applyBorder="1"/>
    <xf numFmtId="0" fontId="0" fillId="27" borderId="15" xfId="0" applyFill="1" applyBorder="1"/>
    <xf numFmtId="0" fontId="9" fillId="2" borderId="0" xfId="0" applyFont="1" applyFill="1" applyBorder="1" applyAlignment="1">
      <alignment horizontal="center" vertical="center"/>
    </xf>
    <xf numFmtId="165" fontId="7" fillId="28" borderId="0" xfId="0" applyNumberFormat="1" applyFont="1" applyFill="1" applyAlignment="1">
      <alignment horizontal="center" vertical="center"/>
    </xf>
    <xf numFmtId="17" fontId="10" fillId="0" borderId="0" xfId="1" applyNumberFormat="1" applyFill="1" applyBorder="1" applyAlignment="1">
      <alignment horizontal="center" vertical="center" wrapText="1"/>
    </xf>
    <xf numFmtId="0" fontId="10" fillId="0" borderId="0" xfId="1" applyFill="1" applyBorder="1" applyAlignment="1">
      <alignment horizontal="center" vertical="center" wrapText="1"/>
    </xf>
    <xf numFmtId="165" fontId="7" fillId="28" borderId="0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25" borderId="0" xfId="0" applyFill="1"/>
    <xf numFmtId="0" fontId="0" fillId="31" borderId="0" xfId="0" applyFill="1"/>
    <xf numFmtId="1" fontId="0" fillId="6" borderId="6" xfId="0" applyNumberFormat="1" applyFont="1" applyFill="1" applyBorder="1" applyAlignment="1">
      <alignment horizontal="center"/>
    </xf>
    <xf numFmtId="2" fontId="0" fillId="3" borderId="13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0" fillId="0" borderId="0" xfId="0" applyFill="1" applyBorder="1"/>
    <xf numFmtId="16" fontId="14" fillId="0" borderId="0" xfId="0" applyNumberFormat="1" applyFont="1" applyFill="1" applyBorder="1" applyAlignment="1">
      <alignment horizontal="left" vertical="center" wrapText="1"/>
    </xf>
    <xf numFmtId="0" fontId="14" fillId="30" borderId="25" xfId="0" applyFont="1" applyFill="1" applyBorder="1" applyAlignment="1">
      <alignment horizontal="center" vertical="center" wrapText="1"/>
    </xf>
    <xf numFmtId="0" fontId="14" fillId="32" borderId="25" xfId="0" applyFont="1" applyFill="1" applyBorder="1" applyAlignment="1">
      <alignment horizontal="center" vertical="center" wrapText="1"/>
    </xf>
    <xf numFmtId="0" fontId="7" fillId="33" borderId="0" xfId="0" applyFont="1" applyFill="1" applyAlignment="1">
      <alignment horizontal="center"/>
    </xf>
    <xf numFmtId="164" fontId="0" fillId="3" borderId="13" xfId="0" applyNumberFormat="1" applyFont="1" applyFill="1" applyBorder="1" applyAlignment="1">
      <alignment horizontal="center"/>
    </xf>
    <xf numFmtId="2" fontId="0" fillId="6" borderId="6" xfId="0" applyNumberFormat="1" applyFont="1" applyFill="1" applyBorder="1" applyAlignment="1">
      <alignment horizontal="center"/>
    </xf>
    <xf numFmtId="164" fontId="0" fillId="6" borderId="6" xfId="0" applyNumberFormat="1" applyFont="1" applyFill="1" applyBorder="1" applyAlignment="1">
      <alignment horizontal="center"/>
    </xf>
    <xf numFmtId="164" fontId="0" fillId="3" borderId="6" xfId="0" applyNumberFormat="1" applyFont="1" applyFill="1" applyBorder="1" applyAlignment="1">
      <alignment horizontal="center"/>
    </xf>
    <xf numFmtId="164" fontId="0" fillId="6" borderId="12" xfId="0" applyNumberFormat="1" applyFont="1" applyFill="1" applyBorder="1" applyAlignment="1">
      <alignment horizontal="center"/>
    </xf>
    <xf numFmtId="164" fontId="0" fillId="3" borderId="9" xfId="0" applyNumberFormat="1" applyFont="1" applyFill="1" applyBorder="1" applyAlignment="1">
      <alignment horizontal="center"/>
    </xf>
    <xf numFmtId="164" fontId="0" fillId="6" borderId="9" xfId="0" applyNumberFormat="1" applyFont="1" applyFill="1" applyBorder="1" applyAlignment="1">
      <alignment horizontal="center"/>
    </xf>
    <xf numFmtId="164" fontId="0" fillId="3" borderId="12" xfId="0" applyNumberFormat="1" applyFont="1" applyFill="1" applyBorder="1" applyAlignment="1">
      <alignment horizontal="center"/>
    </xf>
    <xf numFmtId="2" fontId="0" fillId="6" borderId="12" xfId="0" applyNumberFormat="1" applyFont="1" applyFill="1" applyBorder="1" applyAlignment="1">
      <alignment horizontal="center"/>
    </xf>
    <xf numFmtId="2" fontId="0" fillId="3" borderId="9" xfId="0" applyNumberFormat="1" applyFont="1" applyFill="1" applyBorder="1" applyAlignment="1">
      <alignment horizontal="center"/>
    </xf>
    <xf numFmtId="2" fontId="0" fillId="6" borderId="9" xfId="0" applyNumberFormat="1" applyFont="1" applyFill="1" applyBorder="1" applyAlignment="1">
      <alignment horizontal="center"/>
    </xf>
    <xf numFmtId="2" fontId="0" fillId="3" borderId="12" xfId="0" applyNumberFormat="1" applyFont="1" applyFill="1" applyBorder="1" applyAlignment="1">
      <alignment horizontal="center"/>
    </xf>
    <xf numFmtId="164" fontId="7" fillId="22" borderId="4" xfId="0" applyNumberFormat="1" applyFont="1" applyFill="1" applyBorder="1" applyAlignment="1">
      <alignment horizontal="center"/>
    </xf>
    <xf numFmtId="164" fontId="15" fillId="0" borderId="0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2" fontId="0" fillId="5" borderId="1" xfId="0" applyNumberFormat="1" applyFont="1" applyFill="1" applyBorder="1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2" fontId="0" fillId="5" borderId="7" xfId="0" applyNumberFormat="1" applyFont="1" applyFill="1" applyBorder="1" applyAlignment="1">
      <alignment horizontal="center"/>
    </xf>
    <xf numFmtId="2" fontId="0" fillId="6" borderId="7" xfId="0" applyNumberFormat="1" applyFont="1" applyFill="1" applyBorder="1" applyAlignment="1">
      <alignment horizontal="center"/>
    </xf>
    <xf numFmtId="164" fontId="0" fillId="5" borderId="1" xfId="0" applyNumberFormat="1" applyFont="1" applyFill="1" applyBorder="1" applyAlignment="1">
      <alignment horizontal="center"/>
    </xf>
    <xf numFmtId="164" fontId="0" fillId="6" borderId="1" xfId="0" applyNumberFormat="1" applyFont="1" applyFill="1" applyBorder="1" applyAlignment="1">
      <alignment horizontal="center"/>
    </xf>
    <xf numFmtId="164" fontId="0" fillId="5" borderId="7" xfId="0" applyNumberFormat="1" applyFont="1" applyFill="1" applyBorder="1" applyAlignment="1">
      <alignment horizontal="center"/>
    </xf>
    <xf numFmtId="164" fontId="0" fillId="6" borderId="7" xfId="0" applyNumberFormat="1" applyFont="1" applyFill="1" applyBorder="1" applyAlignment="1">
      <alignment horizontal="center"/>
    </xf>
    <xf numFmtId="0" fontId="16" fillId="0" borderId="0" xfId="0" applyFont="1" applyAlignment="1">
      <alignment horizontal="left" vertical="center"/>
    </xf>
    <xf numFmtId="0" fontId="0" fillId="35" borderId="0" xfId="0" applyFill="1"/>
    <xf numFmtId="0" fontId="7" fillId="35" borderId="0" xfId="0" applyFont="1" applyFill="1" applyAlignment="1">
      <alignment horizontal="center" vertical="center"/>
    </xf>
    <xf numFmtId="0" fontId="0" fillId="35" borderId="0" xfId="0" applyFill="1" applyAlignment="1">
      <alignment horizontal="center"/>
    </xf>
    <xf numFmtId="0" fontId="18" fillId="0" borderId="0" xfId="0" applyFont="1" applyAlignment="1">
      <alignment horizontal="center" vertical="center"/>
    </xf>
    <xf numFmtId="0" fontId="7" fillId="34" borderId="0" xfId="0" applyFont="1" applyFill="1" applyAlignment="1">
      <alignment horizontal="center"/>
    </xf>
    <xf numFmtId="0" fontId="14" fillId="32" borderId="0" xfId="0" applyFont="1" applyFill="1" applyBorder="1" applyAlignment="1">
      <alignment horizontal="center" vertical="center" wrapText="1"/>
    </xf>
    <xf numFmtId="0" fontId="14" fillId="36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35" borderId="0" xfId="0" applyFont="1" applyFill="1" applyAlignment="1">
      <alignment horizontal="left" vertical="center"/>
    </xf>
    <xf numFmtId="0" fontId="0" fillId="35" borderId="0" xfId="0" applyFont="1" applyFill="1" applyBorder="1"/>
    <xf numFmtId="0" fontId="19" fillId="35" borderId="28" xfId="0" applyFont="1" applyFill="1" applyBorder="1"/>
    <xf numFmtId="0" fontId="19" fillId="35" borderId="28" xfId="0" applyFont="1" applyFill="1" applyBorder="1" applyAlignment="1">
      <alignment horizontal="left" vertical="center"/>
    </xf>
    <xf numFmtId="0" fontId="0" fillId="27" borderId="0" xfId="0" applyFill="1" applyBorder="1"/>
    <xf numFmtId="0" fontId="0" fillId="35" borderId="0" xfId="0" applyFill="1" applyBorder="1"/>
    <xf numFmtId="0" fontId="0" fillId="0" borderId="0" xfId="0" applyBorder="1"/>
    <xf numFmtId="164" fontId="14" fillId="30" borderId="33" xfId="0" applyNumberFormat="1" applyFont="1" applyFill="1" applyBorder="1" applyAlignment="1">
      <alignment horizontal="center" vertical="center"/>
    </xf>
    <xf numFmtId="164" fontId="14" fillId="32" borderId="33" xfId="0" applyNumberFormat="1" applyFont="1" applyFill="1" applyBorder="1" applyAlignment="1">
      <alignment horizontal="center" vertical="center"/>
    </xf>
    <xf numFmtId="164" fontId="14" fillId="32" borderId="33" xfId="2" applyNumberFormat="1" applyFont="1" applyFill="1" applyBorder="1" applyAlignment="1">
      <alignment horizontal="center" vertical="center"/>
    </xf>
    <xf numFmtId="164" fontId="14" fillId="30" borderId="33" xfId="2" applyNumberFormat="1" applyFont="1" applyFill="1" applyBorder="1" applyAlignment="1">
      <alignment horizontal="center" vertical="center"/>
    </xf>
    <xf numFmtId="0" fontId="19" fillId="35" borderId="34" xfId="0" applyFont="1" applyFill="1" applyBorder="1"/>
    <xf numFmtId="0" fontId="13" fillId="35" borderId="0" xfId="0" applyFont="1" applyFill="1" applyAlignment="1">
      <alignment horizontal="center" vertical="center"/>
    </xf>
    <xf numFmtId="2" fontId="0" fillId="0" borderId="0" xfId="0" applyNumberFormat="1"/>
    <xf numFmtId="0" fontId="7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 applyFill="1" applyAlignment="1"/>
    <xf numFmtId="0" fontId="14" fillId="0" borderId="0" xfId="0" applyFont="1" applyFill="1" applyBorder="1" applyAlignment="1">
      <alignment horizontal="center" vertical="center" wrapText="1"/>
    </xf>
    <xf numFmtId="0" fontId="14" fillId="0" borderId="25" xfId="0" applyFont="1" applyFill="1" applyBorder="1" applyAlignment="1">
      <alignment horizontal="center" vertical="center" wrapText="1"/>
    </xf>
    <xf numFmtId="0" fontId="3" fillId="35" borderId="0" xfId="0" applyFont="1" applyFill="1" applyAlignment="1">
      <alignment horizontal="center" vertical="center"/>
    </xf>
    <xf numFmtId="0" fontId="0" fillId="35" borderId="0" xfId="0" applyFill="1" applyBorder="1" applyAlignment="1">
      <alignment vertical="top" wrapText="1"/>
    </xf>
    <xf numFmtId="0" fontId="7" fillId="35" borderId="0" xfId="0" applyFont="1" applyFill="1" applyAlignment="1">
      <alignment horizontal="center"/>
    </xf>
    <xf numFmtId="0" fontId="18" fillId="35" borderId="0" xfId="0" applyFont="1" applyFill="1" applyAlignment="1">
      <alignment horizontal="center" vertical="center"/>
    </xf>
    <xf numFmtId="0" fontId="17" fillId="35" borderId="0" xfId="0" applyFont="1" applyFill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164" fontId="7" fillId="0" borderId="40" xfId="0" applyNumberFormat="1" applyFont="1" applyBorder="1"/>
    <xf numFmtId="0" fontId="7" fillId="0" borderId="40" xfId="0" applyFont="1" applyBorder="1"/>
    <xf numFmtId="0" fontId="0" fillId="0" borderId="40" xfId="0" applyBorder="1"/>
    <xf numFmtId="0" fontId="7" fillId="0" borderId="41" xfId="0" applyFont="1" applyBorder="1" applyAlignment="1">
      <alignment horizontal="center" vertical="center"/>
    </xf>
    <xf numFmtId="0" fontId="0" fillId="0" borderId="42" xfId="0" applyBorder="1"/>
    <xf numFmtId="0" fontId="0" fillId="27" borderId="35" xfId="0" applyFill="1" applyBorder="1"/>
    <xf numFmtId="0" fontId="0" fillId="36" borderId="0" xfId="0" applyFill="1"/>
    <xf numFmtId="164" fontId="14" fillId="36" borderId="0" xfId="2" applyNumberFormat="1" applyFont="1" applyFill="1" applyBorder="1" applyAlignment="1">
      <alignment horizontal="center" vertical="center"/>
    </xf>
    <xf numFmtId="0" fontId="14" fillId="36" borderId="25" xfId="0" applyFont="1" applyFill="1" applyBorder="1" applyAlignment="1">
      <alignment horizontal="center" vertical="center" wrapText="1"/>
    </xf>
    <xf numFmtId="0" fontId="21" fillId="0" borderId="0" xfId="0" applyFont="1"/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0" fontId="7" fillId="0" borderId="44" xfId="6" applyNumberFormat="1" applyFont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164" fontId="7" fillId="29" borderId="0" xfId="0" applyNumberFormat="1" applyFont="1" applyFill="1" applyAlignment="1">
      <alignment horizontal="center" vertical="center"/>
    </xf>
    <xf numFmtId="16" fontId="7" fillId="28" borderId="0" xfId="0" applyNumberFormat="1" applyFont="1" applyFill="1" applyBorder="1" applyAlignment="1">
      <alignment horizontal="center" vertical="center"/>
    </xf>
    <xf numFmtId="16" fontId="7" fillId="28" borderId="0" xfId="0" applyNumberFormat="1" applyFont="1" applyFill="1" applyAlignment="1">
      <alignment horizontal="center" vertical="center"/>
    </xf>
    <xf numFmtId="0" fontId="4" fillId="33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7" fillId="29" borderId="0" xfId="0" applyNumberFormat="1" applyFont="1" applyFill="1" applyAlignment="1">
      <alignment horizontal="center" vertical="center"/>
    </xf>
    <xf numFmtId="0" fontId="5" fillId="33" borderId="39" xfId="0" applyFont="1" applyFill="1" applyBorder="1" applyAlignment="1">
      <alignment horizontal="center"/>
    </xf>
    <xf numFmtId="0" fontId="4" fillId="33" borderId="39" xfId="0" applyFont="1" applyFill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0" fillId="33" borderId="35" xfId="0" applyFont="1" applyFill="1" applyBorder="1" applyAlignment="1">
      <alignment horizontal="center" vertical="center"/>
    </xf>
    <xf numFmtId="0" fontId="0" fillId="33" borderId="46" xfId="0" applyFont="1" applyFill="1" applyBorder="1" applyAlignment="1">
      <alignment horizontal="center" vertical="center"/>
    </xf>
    <xf numFmtId="0" fontId="4" fillId="3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17" fontId="10" fillId="0" borderId="0" xfId="1" applyNumberFormat="1" applyFill="1" applyBorder="1" applyAlignment="1">
      <alignment horizontal="left" vertical="center" wrapText="1"/>
    </xf>
    <xf numFmtId="0" fontId="10" fillId="0" borderId="0" xfId="1" applyFill="1" applyBorder="1" applyAlignment="1">
      <alignment horizontal="left" vertical="center" wrapText="1"/>
    </xf>
    <xf numFmtId="18" fontId="29" fillId="0" borderId="15" xfId="0" applyNumberFormat="1" applyFont="1" applyFill="1" applyBorder="1" applyAlignment="1">
      <alignment horizontal="center" vertical="center" wrapText="1"/>
    </xf>
    <xf numFmtId="18" fontId="29" fillId="0" borderId="14" xfId="0" applyNumberFormat="1" applyFont="1" applyFill="1" applyBorder="1" applyAlignment="1">
      <alignment horizontal="center" vertical="center" wrapText="1"/>
    </xf>
    <xf numFmtId="18" fontId="29" fillId="0" borderId="16" xfId="0" applyNumberFormat="1" applyFont="1" applyFill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14" fillId="30" borderId="33" xfId="0" applyFont="1" applyFill="1" applyBorder="1" applyAlignment="1">
      <alignment horizontal="center" vertical="center" wrapText="1"/>
    </xf>
    <xf numFmtId="0" fontId="14" fillId="32" borderId="33" xfId="0" applyFont="1" applyFill="1" applyBorder="1" applyAlignment="1">
      <alignment horizontal="center" vertical="center" wrapText="1"/>
    </xf>
    <xf numFmtId="0" fontId="14" fillId="30" borderId="48" xfId="0" applyFont="1" applyFill="1" applyBorder="1" applyAlignment="1">
      <alignment horizontal="center" vertical="center" wrapText="1"/>
    </xf>
    <xf numFmtId="0" fontId="14" fillId="32" borderId="48" xfId="0" applyFont="1" applyFill="1" applyBorder="1" applyAlignment="1">
      <alignment horizontal="center" vertical="center" wrapText="1"/>
    </xf>
    <xf numFmtId="0" fontId="14" fillId="36" borderId="48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164" fontId="14" fillId="0" borderId="33" xfId="2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4" fillId="27" borderId="0" xfId="0" applyFont="1" applyFill="1" applyBorder="1" applyAlignment="1">
      <alignment horizontal="left" vertical="center" wrapText="1"/>
    </xf>
    <xf numFmtId="0" fontId="7" fillId="27" borderId="14" xfId="0" applyFont="1" applyFill="1" applyBorder="1"/>
    <xf numFmtId="164" fontId="14" fillId="0" borderId="33" xfId="0" applyNumberFormat="1" applyFont="1" applyFill="1" applyBorder="1" applyAlignment="1">
      <alignment horizontal="center" vertical="center"/>
    </xf>
    <xf numFmtId="0" fontId="19" fillId="35" borderId="0" xfId="0" applyFont="1" applyFill="1" applyBorder="1"/>
    <xf numFmtId="0" fontId="0" fillId="33" borderId="0" xfId="4" applyFont="1" applyFill="1" applyBorder="1"/>
    <xf numFmtId="0" fontId="22" fillId="33" borderId="0" xfId="4" applyFont="1" applyFill="1" applyBorder="1" applyAlignment="1">
      <alignment vertical="center"/>
    </xf>
    <xf numFmtId="0" fontId="5" fillId="33" borderId="46" xfId="0" applyFont="1" applyFill="1" applyBorder="1" applyAlignment="1">
      <alignment horizontal="center"/>
    </xf>
    <xf numFmtId="0" fontId="0" fillId="0" borderId="0" xfId="0" applyBorder="1" applyAlignment="1">
      <alignment vertical="center" wrapText="1"/>
    </xf>
    <xf numFmtId="0" fontId="11" fillId="29" borderId="0" xfId="0" applyFont="1" applyFill="1" applyAlignment="1">
      <alignment horizontal="center" vertical="center"/>
    </xf>
    <xf numFmtId="2" fontId="10" fillId="0" borderId="0" xfId="1" applyNumberFormat="1" applyFill="1" applyBorder="1" applyAlignment="1">
      <alignment horizontal="center" vertical="center" wrapText="1"/>
    </xf>
    <xf numFmtId="2" fontId="5" fillId="0" borderId="0" xfId="0" applyNumberFormat="1" applyFont="1" applyFill="1" applyBorder="1" applyAlignment="1">
      <alignment horizontal="left"/>
    </xf>
    <xf numFmtId="0" fontId="0" fillId="29" borderId="0" xfId="0" applyFill="1"/>
    <xf numFmtId="0" fontId="0" fillId="29" borderId="0" xfId="0" applyFill="1" applyAlignment="1">
      <alignment horizontal="left"/>
    </xf>
    <xf numFmtId="0" fontId="11" fillId="29" borderId="0" xfId="0" applyFont="1" applyFill="1" applyAlignment="1">
      <alignment horizontal="left" vertical="center"/>
    </xf>
    <xf numFmtId="165" fontId="11" fillId="29" borderId="0" xfId="0" applyNumberFormat="1" applyFont="1" applyFill="1" applyAlignment="1">
      <alignment horizontal="left" vertical="center" indent="14"/>
    </xf>
    <xf numFmtId="0" fontId="8" fillId="29" borderId="0" xfId="0" applyFont="1" applyFill="1" applyAlignment="1">
      <alignment horizontal="center" vertical="center"/>
    </xf>
    <xf numFmtId="0" fontId="30" fillId="29" borderId="0" xfId="0" applyFont="1" applyFill="1" applyAlignment="1">
      <alignment horizontal="right" vertical="center"/>
    </xf>
    <xf numFmtId="0" fontId="11" fillId="29" borderId="0" xfId="0" applyFont="1" applyFill="1" applyAlignment="1">
      <alignment horizontal="left" vertical="center" indent="1"/>
    </xf>
    <xf numFmtId="0" fontId="0" fillId="0" borderId="0" xfId="0" applyAlignment="1">
      <alignment horizontal="center"/>
    </xf>
    <xf numFmtId="0" fontId="8" fillId="0" borderId="0" xfId="0" applyFont="1" applyAlignment="1">
      <alignment vertical="center"/>
    </xf>
    <xf numFmtId="164" fontId="0" fillId="0" borderId="40" xfId="0" applyNumberFormat="1" applyBorder="1"/>
    <xf numFmtId="0" fontId="0" fillId="33" borderId="0" xfId="0" applyFill="1"/>
    <xf numFmtId="0" fontId="0" fillId="33" borderId="0" xfId="0" applyFill="1" applyAlignment="1">
      <alignment horizontal="center"/>
    </xf>
    <xf numFmtId="0" fontId="0" fillId="29" borderId="22" xfId="0" applyFill="1" applyBorder="1"/>
    <xf numFmtId="0" fontId="5" fillId="29" borderId="0" xfId="0" applyFont="1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5" fillId="29" borderId="0" xfId="0" applyFont="1" applyFill="1" applyBorder="1" applyAlignment="1">
      <alignment horizontal="center"/>
    </xf>
    <xf numFmtId="0" fontId="30" fillId="29" borderId="0" xfId="0" applyFont="1" applyFill="1" applyBorder="1" applyAlignment="1">
      <alignment horizontal="right" vertical="center"/>
    </xf>
    <xf numFmtId="0" fontId="11" fillId="29" borderId="0" xfId="0" applyFont="1" applyFill="1" applyBorder="1" applyAlignment="1">
      <alignment horizontal="center" vertical="center"/>
    </xf>
    <xf numFmtId="0" fontId="0" fillId="29" borderId="0" xfId="0" applyFill="1" applyBorder="1"/>
    <xf numFmtId="0" fontId="0" fillId="29" borderId="0" xfId="0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165" fontId="11" fillId="29" borderId="0" xfId="0" applyNumberFormat="1" applyFont="1" applyFill="1" applyAlignment="1">
      <alignment horizontal="left" vertical="center" indent="14"/>
    </xf>
    <xf numFmtId="0" fontId="7" fillId="0" borderId="0" xfId="0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/>
    </xf>
    <xf numFmtId="2" fontId="7" fillId="3" borderId="12" xfId="0" applyNumberFormat="1" applyFont="1" applyFill="1" applyBorder="1" applyAlignment="1">
      <alignment horizontal="center"/>
    </xf>
    <xf numFmtId="1" fontId="0" fillId="6" borderId="9" xfId="0" applyNumberFormat="1" applyFont="1" applyFill="1" applyBorder="1" applyAlignment="1">
      <alignment horizontal="center"/>
    </xf>
    <xf numFmtId="0" fontId="7" fillId="0" borderId="39" xfId="0" applyFont="1" applyFill="1" applyBorder="1" applyAlignment="1">
      <alignment horizontal="center" vertical="center"/>
    </xf>
    <xf numFmtId="4" fontId="0" fillId="0" borderId="0" xfId="0" applyNumberFormat="1"/>
    <xf numFmtId="0" fontId="0" fillId="0" borderId="0" xfId="0" applyNumberFormat="1"/>
    <xf numFmtId="0" fontId="7" fillId="35" borderId="0" xfId="0" applyFont="1" applyFill="1" applyBorder="1" applyAlignment="1">
      <alignment horizontal="center"/>
    </xf>
    <xf numFmtId="0" fontId="7" fillId="35" borderId="0" xfId="0" applyFont="1" applyFill="1" applyBorder="1" applyAlignment="1">
      <alignment horizontal="center" vertical="center"/>
    </xf>
    <xf numFmtId="164" fontId="0" fillId="0" borderId="0" xfId="0" applyNumberFormat="1"/>
    <xf numFmtId="0" fontId="4" fillId="0" borderId="0" xfId="4" applyFont="1" applyFill="1" applyBorder="1" applyAlignment="1">
      <alignment vertical="center"/>
    </xf>
    <xf numFmtId="0" fontId="0" fillId="0" borderId="0" xfId="4" applyFont="1" applyFill="1" applyBorder="1"/>
    <xf numFmtId="0" fontId="0" fillId="0" borderId="35" xfId="4" applyFont="1" applyFill="1" applyBorder="1"/>
    <xf numFmtId="0" fontId="34" fillId="0" borderId="0" xfId="0" applyFont="1" applyFill="1" applyBorder="1" applyAlignment="1">
      <alignment vertical="center" wrapText="1"/>
    </xf>
    <xf numFmtId="1" fontId="27" fillId="0" borderId="0" xfId="4" applyNumberFormat="1" applyFont="1" applyFill="1" applyBorder="1" applyAlignment="1">
      <alignment vertical="center"/>
    </xf>
    <xf numFmtId="0" fontId="27" fillId="0" borderId="0" xfId="4" applyFont="1" applyFill="1" applyBorder="1" applyAlignment="1">
      <alignment vertical="center"/>
    </xf>
    <xf numFmtId="2" fontId="7" fillId="3" borderId="6" xfId="0" applyNumberFormat="1" applyFont="1" applyFill="1" applyBorder="1" applyAlignment="1">
      <alignment horizontal="center"/>
    </xf>
    <xf numFmtId="2" fontId="7" fillId="3" borderId="9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Fill="1" applyBorder="1"/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9" borderId="14" xfId="0" applyFont="1" applyFill="1" applyBorder="1" applyAlignment="1">
      <alignment horizontal="center" vertical="center"/>
    </xf>
    <xf numFmtId="0" fontId="13" fillId="29" borderId="14" xfId="0" applyFont="1" applyFill="1" applyBorder="1" applyAlignment="1">
      <alignment horizontal="center" vertical="center"/>
    </xf>
    <xf numFmtId="0" fontId="2" fillId="29" borderId="14" xfId="0" applyFont="1" applyFill="1" applyBorder="1"/>
    <xf numFmtId="0" fontId="18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3" fillId="43" borderId="0" xfId="0" applyFont="1" applyFill="1" applyAlignment="1">
      <alignment vertical="center"/>
    </xf>
    <xf numFmtId="0" fontId="18" fillId="0" borderId="0" xfId="0" applyFont="1" applyBorder="1" applyAlignment="1">
      <alignment vertical="center" wrapText="1"/>
    </xf>
    <xf numFmtId="0" fontId="13" fillId="0" borderId="0" xfId="0" applyFont="1" applyBorder="1" applyAlignment="1">
      <alignment horizontal="center" vertical="center"/>
    </xf>
    <xf numFmtId="0" fontId="13" fillId="41" borderId="0" xfId="0" applyFont="1" applyFill="1" applyAlignment="1">
      <alignment horizontal="center" vertical="center"/>
    </xf>
    <xf numFmtId="0" fontId="13" fillId="41" borderId="0" xfId="0" applyFont="1" applyFill="1" applyBorder="1"/>
    <xf numFmtId="0" fontId="0" fillId="0" borderId="0" xfId="4" applyFont="1" applyFill="1" applyBorder="1" applyAlignment="1">
      <alignment vertical="center" wrapText="1"/>
    </xf>
    <xf numFmtId="0" fontId="5" fillId="33" borderId="36" xfId="0" applyFont="1" applyFill="1" applyBorder="1" applyAlignment="1">
      <alignment horizontal="center"/>
    </xf>
    <xf numFmtId="0" fontId="0" fillId="33" borderId="37" xfId="0" applyFill="1" applyBorder="1"/>
    <xf numFmtId="0" fontId="0" fillId="33" borderId="37" xfId="0" applyFill="1" applyBorder="1" applyAlignment="1">
      <alignment horizontal="center"/>
    </xf>
    <xf numFmtId="0" fontId="7" fillId="33" borderId="37" xfId="3" applyFont="1" applyFill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42" fillId="29" borderId="0" xfId="0" applyFont="1" applyFill="1" applyAlignment="1">
      <alignment horizontal="center" vertical="center"/>
    </xf>
    <xf numFmtId="0" fontId="0" fillId="35" borderId="0" xfId="0" applyFont="1" applyFill="1" applyBorder="1" applyAlignment="1">
      <alignment vertical="center"/>
    </xf>
    <xf numFmtId="0" fontId="5" fillId="44" borderId="36" xfId="0" applyFont="1" applyFill="1" applyBorder="1" applyAlignment="1">
      <alignment horizontal="center"/>
    </xf>
    <xf numFmtId="0" fontId="0" fillId="44" borderId="37" xfId="0" applyFill="1" applyBorder="1"/>
    <xf numFmtId="0" fontId="0" fillId="44" borderId="37" xfId="0" applyFill="1" applyBorder="1" applyAlignment="1">
      <alignment horizontal="center"/>
    </xf>
    <xf numFmtId="0" fontId="5" fillId="44" borderId="39" xfId="0" applyFont="1" applyFill="1" applyBorder="1" applyAlignment="1">
      <alignment horizontal="center"/>
    </xf>
    <xf numFmtId="0" fontId="0" fillId="44" borderId="0" xfId="0" applyFill="1" applyAlignment="1">
      <alignment horizontal="center"/>
    </xf>
    <xf numFmtId="0" fontId="0" fillId="44" borderId="0" xfId="0" applyFill="1"/>
    <xf numFmtId="0" fontId="22" fillId="44" borderId="0" xfId="4" applyFont="1" applyFill="1" applyBorder="1" applyAlignment="1">
      <alignment vertical="center"/>
    </xf>
    <xf numFmtId="0" fontId="0" fillId="44" borderId="0" xfId="4" applyFont="1" applyFill="1" applyBorder="1"/>
    <xf numFmtId="0" fontId="5" fillId="44" borderId="46" xfId="0" applyFont="1" applyFill="1" applyBorder="1" applyAlignment="1">
      <alignment horizontal="center"/>
    </xf>
    <xf numFmtId="0" fontId="0" fillId="44" borderId="35" xfId="0" applyFont="1" applyFill="1" applyBorder="1" applyAlignment="1">
      <alignment horizontal="center" vertical="center"/>
    </xf>
    <xf numFmtId="0" fontId="0" fillId="44" borderId="46" xfId="0" applyFont="1" applyFill="1" applyBorder="1" applyAlignment="1">
      <alignment horizontal="center" vertical="center"/>
    </xf>
    <xf numFmtId="0" fontId="4" fillId="44" borderId="39" xfId="0" applyFont="1" applyFill="1" applyBorder="1" applyAlignment="1">
      <alignment horizontal="center"/>
    </xf>
    <xf numFmtId="0" fontId="4" fillId="44" borderId="0" xfId="0" applyFont="1" applyFill="1" applyBorder="1" applyAlignment="1">
      <alignment horizontal="center" vertical="center"/>
    </xf>
    <xf numFmtId="0" fontId="43" fillId="44" borderId="35" xfId="4" applyFont="1" applyFill="1" applyBorder="1" applyAlignment="1">
      <alignment horizontal="center" vertical="center"/>
    </xf>
    <xf numFmtId="0" fontId="43" fillId="44" borderId="41" xfId="4" applyFont="1" applyFill="1" applyBorder="1" applyAlignment="1">
      <alignment horizontal="center" vertical="center"/>
    </xf>
    <xf numFmtId="0" fontId="7" fillId="44" borderId="37" xfId="3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38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0" fillId="0" borderId="42" xfId="0" applyFont="1" applyFill="1" applyBorder="1" applyAlignment="1">
      <alignment horizontal="center" vertical="center"/>
    </xf>
    <xf numFmtId="0" fontId="0" fillId="0" borderId="64" xfId="0" applyFont="1" applyFill="1" applyBorder="1" applyAlignment="1">
      <alignment horizontal="center" vertical="center"/>
    </xf>
    <xf numFmtId="0" fontId="40" fillId="0" borderId="0" xfId="1" applyFont="1" applyAlignment="1" applyProtection="1">
      <alignment vertical="center" wrapText="1"/>
    </xf>
    <xf numFmtId="0" fontId="1" fillId="29" borderId="14" xfId="0" applyFont="1" applyFill="1" applyBorder="1"/>
    <xf numFmtId="0" fontId="20" fillId="37" borderId="36" xfId="3" applyBorder="1" applyAlignment="1">
      <alignment horizontal="center" vertical="center"/>
    </xf>
    <xf numFmtId="2" fontId="0" fillId="3" borderId="6" xfId="0" applyNumberFormat="1" applyFont="1" applyFill="1" applyBorder="1" applyAlignment="1">
      <alignment horizontal="center"/>
    </xf>
    <xf numFmtId="0" fontId="17" fillId="0" borderId="0" xfId="4" applyFont="1" applyFill="1" applyBorder="1" applyAlignment="1">
      <alignment vertical="center" wrapText="1"/>
    </xf>
    <xf numFmtId="0" fontId="30" fillId="29" borderId="0" xfId="0" applyFont="1" applyFill="1" applyAlignment="1">
      <alignment horizontal="right" vertical="center"/>
    </xf>
    <xf numFmtId="0" fontId="11" fillId="29" borderId="0" xfId="0" applyFont="1" applyFill="1" applyAlignment="1">
      <alignment horizontal="center" vertical="center"/>
    </xf>
    <xf numFmtId="0" fontId="35" fillId="29" borderId="0" xfId="0" applyFont="1" applyFill="1" applyBorder="1" applyAlignment="1">
      <alignment horizontal="center" vertical="center" wrapText="1"/>
    </xf>
    <xf numFmtId="0" fontId="37" fillId="29" borderId="0" xfId="0" applyFont="1" applyFill="1" applyBorder="1" applyAlignment="1">
      <alignment horizontal="center" vertical="center" wrapText="1"/>
    </xf>
    <xf numFmtId="0" fontId="10" fillId="29" borderId="36" xfId="1" applyFill="1" applyBorder="1" applyAlignment="1">
      <alignment horizontal="center" vertical="center" wrapText="1"/>
    </xf>
    <xf numFmtId="0" fontId="10" fillId="29" borderId="37" xfId="1" applyFill="1" applyBorder="1" applyAlignment="1">
      <alignment horizontal="center" vertical="center" wrapText="1"/>
    </xf>
    <xf numFmtId="0" fontId="10" fillId="29" borderId="38" xfId="1" applyFill="1" applyBorder="1" applyAlignment="1">
      <alignment horizontal="center" vertical="center" wrapText="1"/>
    </xf>
    <xf numFmtId="0" fontId="10" fillId="29" borderId="39" xfId="1" applyFill="1" applyBorder="1" applyAlignment="1">
      <alignment horizontal="center" vertical="center" wrapText="1"/>
    </xf>
    <xf numFmtId="0" fontId="10" fillId="29" borderId="0" xfId="1" applyFill="1" applyBorder="1" applyAlignment="1">
      <alignment horizontal="center" vertical="center" wrapText="1"/>
    </xf>
    <xf numFmtId="0" fontId="10" fillId="29" borderId="40" xfId="1" applyFill="1" applyBorder="1" applyAlignment="1">
      <alignment horizontal="center" vertical="center" wrapText="1"/>
    </xf>
    <xf numFmtId="0" fontId="10" fillId="29" borderId="41" xfId="1" applyFill="1" applyBorder="1" applyAlignment="1">
      <alignment horizontal="center" vertical="center" wrapText="1"/>
    </xf>
    <xf numFmtId="0" fontId="10" fillId="29" borderId="35" xfId="1" applyFill="1" applyBorder="1" applyAlignment="1">
      <alignment horizontal="center" vertical="center" wrapText="1"/>
    </xf>
    <xf numFmtId="0" fontId="10" fillId="29" borderId="42" xfId="1" applyFill="1" applyBorder="1" applyAlignment="1">
      <alignment horizontal="center" vertical="center" wrapText="1"/>
    </xf>
    <xf numFmtId="165" fontId="11" fillId="29" borderId="47" xfId="0" applyNumberFormat="1" applyFont="1" applyFill="1" applyBorder="1" applyAlignment="1">
      <alignment horizontal="center" vertical="center"/>
    </xf>
    <xf numFmtId="165" fontId="11" fillId="29" borderId="0" xfId="0" applyNumberFormat="1" applyFont="1" applyFill="1" applyAlignment="1">
      <alignment horizontal="left" vertical="center" indent="14"/>
    </xf>
    <xf numFmtId="0" fontId="6" fillId="2" borderId="2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0" fontId="6" fillId="2" borderId="19" xfId="0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left"/>
    </xf>
    <xf numFmtId="0" fontId="11" fillId="29" borderId="35" xfId="0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horizontal="left" vertical="center"/>
    </xf>
    <xf numFmtId="1" fontId="27" fillId="34" borderId="0" xfId="3" applyNumberFormat="1" applyFont="1" applyFill="1" applyBorder="1" applyAlignment="1">
      <alignment horizontal="center" vertical="center"/>
    </xf>
    <xf numFmtId="1" fontId="27" fillId="34" borderId="0" xfId="3" applyNumberFormat="1" applyFont="1" applyFill="1" applyBorder="1" applyAlignment="1">
      <alignment horizontal="left" vertical="center"/>
    </xf>
    <xf numFmtId="1" fontId="25" fillId="37" borderId="45" xfId="3" applyNumberFormat="1" applyFont="1" applyBorder="1" applyAlignment="1">
      <alignment horizontal="center" vertical="center"/>
    </xf>
    <xf numFmtId="0" fontId="24" fillId="39" borderId="39" xfId="5" applyFont="1" applyBorder="1" applyAlignment="1">
      <alignment horizontal="center" vertical="center" wrapText="1"/>
    </xf>
    <xf numFmtId="0" fontId="24" fillId="39" borderId="0" xfId="5" applyFont="1" applyBorder="1" applyAlignment="1">
      <alignment horizontal="center" vertical="center" wrapText="1"/>
    </xf>
    <xf numFmtId="0" fontId="24" fillId="39" borderId="40" xfId="5" applyFont="1" applyBorder="1" applyAlignment="1">
      <alignment horizontal="center" vertical="center" wrapText="1"/>
    </xf>
    <xf numFmtId="1" fontId="38" fillId="37" borderId="45" xfId="3" applyNumberFormat="1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2" borderId="7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166" fontId="11" fillId="29" borderId="0" xfId="0" applyNumberFormat="1" applyFont="1" applyFill="1" applyAlignment="1">
      <alignment horizontal="left" vertical="center"/>
    </xf>
    <xf numFmtId="0" fontId="36" fillId="33" borderId="0" xfId="0" applyFont="1" applyFill="1" applyBorder="1" applyAlignment="1">
      <alignment horizontal="center" vertical="center"/>
    </xf>
    <xf numFmtId="0" fontId="32" fillId="28" borderId="0" xfId="0" applyFont="1" applyFill="1" applyAlignment="1">
      <alignment horizontal="center" vertical="center"/>
    </xf>
    <xf numFmtId="0" fontId="0" fillId="38" borderId="43" xfId="4" applyFont="1" applyAlignment="1">
      <alignment horizontal="center" vertical="center" wrapText="1"/>
    </xf>
    <xf numFmtId="0" fontId="4" fillId="33" borderId="0" xfId="0" applyFont="1" applyFill="1" applyBorder="1" applyAlignment="1">
      <alignment horizontal="center" vertical="center"/>
    </xf>
    <xf numFmtId="0" fontId="41" fillId="40" borderId="0" xfId="7" applyFont="1" applyBorder="1" applyAlignment="1">
      <alignment horizontal="center" vertical="center" wrapText="1"/>
    </xf>
    <xf numFmtId="1" fontId="27" fillId="34" borderId="0" xfId="3" applyNumberFormat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44" fillId="33" borderId="37" xfId="4" applyFont="1" applyFill="1" applyBorder="1" applyAlignment="1">
      <alignment horizontal="center" vertical="center"/>
    </xf>
    <xf numFmtId="0" fontId="44" fillId="44" borderId="37" xfId="4" applyFont="1" applyFill="1" applyBorder="1" applyAlignment="1">
      <alignment horizontal="center" vertical="center"/>
    </xf>
    <xf numFmtId="1" fontId="27" fillId="34" borderId="53" xfId="0" applyNumberFormat="1" applyFont="1" applyFill="1" applyBorder="1" applyAlignment="1">
      <alignment horizontal="center" vertical="center"/>
    </xf>
    <xf numFmtId="0" fontId="27" fillId="34" borderId="39" xfId="0" applyFont="1" applyFill="1" applyBorder="1" applyAlignment="1">
      <alignment horizontal="center" vertical="center"/>
    </xf>
    <xf numFmtId="0" fontId="27" fillId="34" borderId="54" xfId="0" applyFont="1" applyFill="1" applyBorder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0" fontId="41" fillId="40" borderId="39" xfId="7" applyFont="1" applyBorder="1" applyAlignment="1">
      <alignment horizontal="center" vertical="center" wrapText="1"/>
    </xf>
    <xf numFmtId="0" fontId="41" fillId="40" borderId="55" xfId="7" applyFont="1" applyBorder="1" applyAlignment="1">
      <alignment horizontal="center" vertical="center" wrapText="1"/>
    </xf>
    <xf numFmtId="0" fontId="41" fillId="40" borderId="56" xfId="7" applyFont="1" applyBorder="1" applyAlignment="1">
      <alignment horizontal="center" vertical="center" wrapText="1"/>
    </xf>
    <xf numFmtId="0" fontId="24" fillId="39" borderId="41" xfId="5" applyFont="1" applyBorder="1" applyAlignment="1">
      <alignment horizontal="center" vertical="center" wrapText="1"/>
    </xf>
    <xf numFmtId="0" fontId="24" fillId="39" borderId="35" xfId="5" applyFont="1" applyBorder="1" applyAlignment="1">
      <alignment horizontal="center" vertical="center" wrapText="1"/>
    </xf>
    <xf numFmtId="0" fontId="24" fillId="39" borderId="42" xfId="5" applyFont="1" applyBorder="1" applyAlignment="1">
      <alignment horizontal="center" vertical="center" wrapText="1"/>
    </xf>
    <xf numFmtId="0" fontId="44" fillId="38" borderId="43" xfId="4" applyFont="1" applyAlignment="1">
      <alignment horizontal="center" vertical="center" wrapText="1"/>
    </xf>
    <xf numFmtId="0" fontId="44" fillId="38" borderId="65" xfId="4" applyFont="1" applyBorder="1" applyAlignment="1">
      <alignment horizontal="center" vertical="center" wrapText="1"/>
    </xf>
    <xf numFmtId="1" fontId="38" fillId="37" borderId="39" xfId="3" applyNumberFormat="1" applyFont="1" applyBorder="1" applyAlignment="1">
      <alignment horizontal="center" vertical="center"/>
    </xf>
    <xf numFmtId="1" fontId="38" fillId="37" borderId="0" xfId="3" applyNumberFormat="1" applyFont="1" applyBorder="1" applyAlignment="1">
      <alignment horizontal="center" vertical="center"/>
    </xf>
    <xf numFmtId="1" fontId="38" fillId="37" borderId="40" xfId="3" applyNumberFormat="1" applyFont="1" applyBorder="1" applyAlignment="1">
      <alignment horizontal="center" vertical="center"/>
    </xf>
    <xf numFmtId="1" fontId="38" fillId="37" borderId="41" xfId="3" applyNumberFormat="1" applyFont="1" applyBorder="1" applyAlignment="1">
      <alignment horizontal="center" vertical="center"/>
    </xf>
    <xf numFmtId="1" fontId="38" fillId="37" borderId="35" xfId="3" applyNumberFormat="1" applyFont="1" applyBorder="1" applyAlignment="1">
      <alignment horizontal="center" vertical="center"/>
    </xf>
    <xf numFmtId="1" fontId="38" fillId="37" borderId="42" xfId="3" applyNumberFormat="1" applyFont="1" applyBorder="1" applyAlignment="1">
      <alignment horizontal="center" vertical="center"/>
    </xf>
    <xf numFmtId="1" fontId="25" fillId="37" borderId="36" xfId="3" applyNumberFormat="1" applyFont="1" applyBorder="1" applyAlignment="1">
      <alignment horizontal="center" vertical="center"/>
    </xf>
    <xf numFmtId="1" fontId="25" fillId="37" borderId="37" xfId="3" applyNumberFormat="1" applyFont="1" applyBorder="1" applyAlignment="1">
      <alignment horizontal="center" vertical="center"/>
    </xf>
    <xf numFmtId="1" fontId="25" fillId="37" borderId="38" xfId="3" applyNumberFormat="1" applyFont="1" applyBorder="1" applyAlignment="1">
      <alignment horizontal="center" vertical="center"/>
    </xf>
    <xf numFmtId="1" fontId="25" fillId="37" borderId="39" xfId="3" applyNumberFormat="1" applyFont="1" applyBorder="1" applyAlignment="1">
      <alignment horizontal="center" vertical="center"/>
    </xf>
    <xf numFmtId="1" fontId="25" fillId="37" borderId="0" xfId="3" applyNumberFormat="1" applyFont="1" applyBorder="1" applyAlignment="1">
      <alignment horizontal="center" vertical="center"/>
    </xf>
    <xf numFmtId="1" fontId="25" fillId="37" borderId="40" xfId="3" applyNumberFormat="1" applyFont="1" applyBorder="1" applyAlignment="1">
      <alignment horizontal="center" vertical="center"/>
    </xf>
    <xf numFmtId="0" fontId="36" fillId="44" borderId="0" xfId="0" applyFont="1" applyFill="1" applyBorder="1" applyAlignment="1">
      <alignment horizontal="center" vertical="center"/>
    </xf>
    <xf numFmtId="0" fontId="4" fillId="44" borderId="0" xfId="0" applyFont="1" applyFill="1" applyBorder="1" applyAlignment="1">
      <alignment horizontal="center" vertical="center"/>
    </xf>
    <xf numFmtId="165" fontId="11" fillId="29" borderId="0" xfId="0" applyNumberFormat="1" applyFont="1" applyFill="1" applyAlignment="1">
      <alignment horizontal="left" vertical="center" indent="1"/>
    </xf>
    <xf numFmtId="0" fontId="0" fillId="0" borderId="0" xfId="0" applyAlignment="1">
      <alignment horizontal="center"/>
    </xf>
    <xf numFmtId="0" fontId="28" fillId="2" borderId="0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center"/>
    </xf>
    <xf numFmtId="0" fontId="7" fillId="27" borderId="22" xfId="0" applyFont="1" applyFill="1" applyBorder="1" applyAlignment="1">
      <alignment horizontal="center"/>
    </xf>
    <xf numFmtId="0" fontId="7" fillId="0" borderId="23" xfId="0" applyFont="1" applyFill="1" applyBorder="1" applyAlignment="1">
      <alignment horizontal="center"/>
    </xf>
    <xf numFmtId="0" fontId="7" fillId="35" borderId="0" xfId="0" applyFont="1" applyFill="1" applyAlignment="1">
      <alignment horizontal="center" vertical="center" wrapText="1"/>
    </xf>
    <xf numFmtId="0" fontId="7" fillId="35" borderId="35" xfId="0" applyFont="1" applyFill="1" applyBorder="1" applyAlignment="1">
      <alignment horizontal="center" vertical="center" wrapText="1"/>
    </xf>
    <xf numFmtId="0" fontId="11" fillId="38" borderId="43" xfId="4" applyFont="1" applyAlignment="1">
      <alignment horizontal="center" vertical="center"/>
    </xf>
    <xf numFmtId="165" fontId="31" fillId="35" borderId="0" xfId="0" applyNumberFormat="1" applyFont="1" applyFill="1" applyAlignment="1">
      <alignment horizontal="center"/>
    </xf>
    <xf numFmtId="0" fontId="7" fillId="0" borderId="52" xfId="0" applyFont="1" applyFill="1" applyBorder="1" applyAlignment="1">
      <alignment horizontal="center"/>
    </xf>
    <xf numFmtId="0" fontId="7" fillId="27" borderId="21" xfId="0" applyFont="1" applyFill="1" applyBorder="1" applyAlignment="1">
      <alignment horizontal="center"/>
    </xf>
    <xf numFmtId="0" fontId="7" fillId="0" borderId="24" xfId="0" applyFont="1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20" fillId="37" borderId="0" xfId="3" applyBorder="1" applyAlignment="1">
      <alignment horizontal="right" vertical="center"/>
    </xf>
    <xf numFmtId="0" fontId="20" fillId="37" borderId="40" xfId="3" applyBorder="1" applyAlignment="1">
      <alignment horizontal="right" vertical="center"/>
    </xf>
    <xf numFmtId="0" fontId="7" fillId="0" borderId="49" xfId="0" applyFont="1" applyBorder="1" applyAlignment="1">
      <alignment horizontal="center"/>
    </xf>
    <xf numFmtId="0" fontId="7" fillId="27" borderId="50" xfId="0" applyFont="1" applyFill="1" applyBorder="1" applyAlignment="1">
      <alignment horizontal="center"/>
    </xf>
    <xf numFmtId="0" fontId="13" fillId="35" borderId="0" xfId="0" applyFont="1" applyFill="1" applyAlignment="1">
      <alignment horizontal="center" vertical="center"/>
    </xf>
    <xf numFmtId="0" fontId="17" fillId="33" borderId="0" xfId="0" applyFont="1" applyFill="1" applyAlignment="1"/>
    <xf numFmtId="0" fontId="0" fillId="35" borderId="0" xfId="0" applyFill="1" applyBorder="1" applyAlignment="1">
      <alignment horizontal="center"/>
    </xf>
    <xf numFmtId="0" fontId="7" fillId="35" borderId="29" xfId="0" applyFont="1" applyFill="1" applyBorder="1" applyAlignment="1">
      <alignment horizontal="center" vertical="center"/>
    </xf>
    <xf numFmtId="0" fontId="7" fillId="35" borderId="30" xfId="0" applyFont="1" applyFill="1" applyBorder="1" applyAlignment="1">
      <alignment horizontal="center" vertical="center"/>
    </xf>
    <xf numFmtId="0" fontId="7" fillId="35" borderId="31" xfId="0" applyFont="1" applyFill="1" applyBorder="1" applyAlignment="1">
      <alignment horizontal="center" vertical="center"/>
    </xf>
    <xf numFmtId="0" fontId="7" fillId="35" borderId="32" xfId="0" applyFont="1" applyFill="1" applyBorder="1" applyAlignment="1">
      <alignment horizontal="center" vertical="center"/>
    </xf>
    <xf numFmtId="0" fontId="10" fillId="42" borderId="58" xfId="1" applyFill="1" applyBorder="1" applyAlignment="1">
      <alignment horizontal="center" vertical="center" wrapText="1"/>
    </xf>
    <xf numFmtId="0" fontId="10" fillId="42" borderId="57" xfId="1" applyFill="1" applyBorder="1" applyAlignment="1">
      <alignment horizontal="center" vertical="center" wrapText="1"/>
    </xf>
    <xf numFmtId="0" fontId="10" fillId="42" borderId="59" xfId="1" applyFill="1" applyBorder="1" applyAlignment="1">
      <alignment horizontal="center" vertical="center" wrapText="1"/>
    </xf>
    <xf numFmtId="0" fontId="10" fillId="42" borderId="60" xfId="1" applyFill="1" applyBorder="1" applyAlignment="1">
      <alignment horizontal="center" vertical="center" wrapText="1"/>
    </xf>
    <xf numFmtId="0" fontId="10" fillId="42" borderId="0" xfId="1" applyFill="1" applyBorder="1" applyAlignment="1">
      <alignment horizontal="center" vertical="center" wrapText="1"/>
    </xf>
    <xf numFmtId="0" fontId="10" fillId="42" borderId="61" xfId="1" applyFill="1" applyBorder="1" applyAlignment="1">
      <alignment horizontal="center" vertical="center" wrapText="1"/>
    </xf>
    <xf numFmtId="0" fontId="10" fillId="42" borderId="62" xfId="1" applyFill="1" applyBorder="1" applyAlignment="1">
      <alignment horizontal="center" vertical="center" wrapText="1"/>
    </xf>
    <xf numFmtId="0" fontId="10" fillId="42" borderId="47" xfId="1" applyFill="1" applyBorder="1" applyAlignment="1">
      <alignment horizontal="center" vertical="center" wrapText="1"/>
    </xf>
    <xf numFmtId="0" fontId="10" fillId="42" borderId="63" xfId="1" applyFill="1" applyBorder="1" applyAlignment="1">
      <alignment horizontal="center" vertical="center" wrapText="1"/>
    </xf>
    <xf numFmtId="0" fontId="7" fillId="0" borderId="26" xfId="0" applyFont="1" applyBorder="1" applyAlignment="1">
      <alignment horizontal="center"/>
    </xf>
    <xf numFmtId="0" fontId="7" fillId="27" borderId="27" xfId="0" applyFont="1" applyFill="1" applyBorder="1" applyAlignment="1">
      <alignment horizontal="center"/>
    </xf>
    <xf numFmtId="0" fontId="20" fillId="35" borderId="0" xfId="3" applyFill="1" applyBorder="1" applyAlignment="1">
      <alignment horizontal="center" vertical="center"/>
    </xf>
    <xf numFmtId="0" fontId="7" fillId="0" borderId="36" xfId="0" applyFont="1" applyFill="1" applyBorder="1" applyAlignment="1">
      <alignment horizontal="center" vertical="center" wrapText="1"/>
    </xf>
    <xf numFmtId="0" fontId="7" fillId="0" borderId="37" xfId="0" applyFont="1" applyFill="1" applyBorder="1" applyAlignment="1">
      <alignment horizontal="center" vertical="center" wrapText="1"/>
    </xf>
    <xf numFmtId="0" fontId="7" fillId="0" borderId="38" xfId="0" applyFont="1" applyFill="1" applyBorder="1" applyAlignment="1">
      <alignment horizontal="center" vertical="center" wrapText="1"/>
    </xf>
    <xf numFmtId="0" fontId="7" fillId="0" borderId="39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40" xfId="0" applyFont="1" applyFill="1" applyBorder="1" applyAlignment="1">
      <alignment horizontal="center" vertical="center" wrapText="1"/>
    </xf>
    <xf numFmtId="0" fontId="7" fillId="0" borderId="41" xfId="0" applyFont="1" applyFill="1" applyBorder="1" applyAlignment="1">
      <alignment horizontal="center" vertical="center" wrapText="1"/>
    </xf>
    <xf numFmtId="0" fontId="7" fillId="0" borderId="35" xfId="0" applyFont="1" applyFill="1" applyBorder="1" applyAlignment="1">
      <alignment horizontal="center" vertical="center" wrapText="1"/>
    </xf>
    <xf numFmtId="0" fontId="7" fillId="0" borderId="42" xfId="0" applyFont="1" applyFill="1" applyBorder="1" applyAlignment="1">
      <alignment horizontal="center" vertical="center" wrapText="1"/>
    </xf>
    <xf numFmtId="0" fontId="18" fillId="35" borderId="0" xfId="0" applyFont="1" applyFill="1" applyBorder="1" applyAlignment="1">
      <alignment horizontal="center" vertical="center"/>
    </xf>
    <xf numFmtId="0" fontId="4" fillId="38" borderId="43" xfId="4" applyFont="1" applyAlignment="1">
      <alignment horizontal="center" vertical="center" wrapText="1"/>
    </xf>
    <xf numFmtId="0" fontId="9" fillId="25" borderId="0" xfId="0" applyFont="1" applyFill="1" applyAlignment="1">
      <alignment horizontal="center" vertical="center"/>
    </xf>
    <xf numFmtId="0" fontId="18" fillId="38" borderId="43" xfId="4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 applyBorder="1" applyAlignment="1">
      <alignment horizontal="left" vertical="center" wrapText="1"/>
    </xf>
    <xf numFmtId="0" fontId="18" fillId="0" borderId="0" xfId="0" applyFont="1" applyFill="1" applyBorder="1" applyAlignment="1">
      <alignment horizontal="left" vertical="center"/>
    </xf>
  </cellXfs>
  <cellStyles count="8">
    <cellStyle name="Accent6" xfId="5" builtinId="49"/>
    <cellStyle name="Commentaire" xfId="4" builtinId="10"/>
    <cellStyle name="Lien hypertexte" xfId="1" builtinId="8"/>
    <cellStyle name="Milliers" xfId="2" builtinId="3"/>
    <cellStyle name="Neutre" xfId="7" builtinId="28"/>
    <cellStyle name="Normal" xfId="0" builtinId="0"/>
    <cellStyle name="Pourcentage" xfId="6" builtinId="5"/>
    <cellStyle name="Satisfaisant" xfId="3" builtinId="26"/>
  </cellStyles>
  <dxfs count="35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Medium7"/>
  <colors>
    <mruColors>
      <color rgb="FFE36363"/>
      <color rgb="FFFF9933"/>
      <color rgb="FF339966"/>
      <color rgb="FFFF6600"/>
      <color rgb="FFF7F74F"/>
      <color rgb="FFEAEAEA"/>
      <color rgb="FF339933"/>
      <color rgb="FF008000"/>
      <color rgb="FF3D6CC1"/>
      <color rgb="FFADC1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12700</xdr:colOff>
      <xdr:row>2</xdr:row>
      <xdr:rowOff>152400</xdr:rowOff>
    </xdr:from>
    <xdr:to>
      <xdr:col>5</xdr:col>
      <xdr:colOff>127000</xdr:colOff>
      <xdr:row>3</xdr:row>
      <xdr:rowOff>190500</xdr:rowOff>
    </xdr:to>
    <xdr:sp macro="" textlink="">
      <xdr:nvSpPr>
        <xdr:cNvPr id="5131" name="TextBox1" hidden="1">
          <a:extLst>
            <a:ext uri="{63B3BB69-23CF-44E3-9099-C40C66FF867C}">
              <a14:compatExt xmlns:a14="http://schemas.microsoft.com/office/drawing/2010/main" spid="_x0000_s5131"/>
            </a:ext>
            <a:ext uri="{FF2B5EF4-FFF2-40B4-BE49-F238E27FC236}">
              <a16:creationId xmlns:a16="http://schemas.microsoft.com/office/drawing/2014/main" xmlns="" id="{00000000-0008-0000-0200-00000B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114300</xdr:rowOff>
    </xdr:from>
    <xdr:to>
      <xdr:col>5</xdr:col>
      <xdr:colOff>95250</xdr:colOff>
      <xdr:row>3</xdr:row>
      <xdr:rowOff>142875</xdr:rowOff>
    </xdr:to>
    <xdr:pic>
      <xdr:nvPicPr>
        <xdr:cNvPr id="2" name="TextBox1">
          <a:extLst>
            <a:ext uri="{FF2B5EF4-FFF2-40B4-BE49-F238E27FC236}">
              <a16:creationId xmlns:a16="http://schemas.microsoft.com/office/drawing/2014/main" xmlns="" id="{EB34C8B8-B1FB-432E-A6A3-D2F0E148866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5175" y="514350"/>
          <a:ext cx="17526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23</xdr:row>
      <xdr:rowOff>114300</xdr:rowOff>
    </xdr:from>
    <xdr:to>
      <xdr:col>2</xdr:col>
      <xdr:colOff>1422400</xdr:colOff>
      <xdr:row>24</xdr:row>
      <xdr:rowOff>177800</xdr:rowOff>
    </xdr:to>
    <xdr:sp macro="" textlink="">
      <xdr:nvSpPr>
        <xdr:cNvPr id="7170" name="TextBox1" hidden="1">
          <a:extLst>
            <a:ext uri="{63B3BB69-23CF-44E3-9099-C40C66FF867C}">
              <a14:compatExt xmlns:a14="http://schemas.microsoft.com/office/drawing/2010/main" spid="_x0000_s7170"/>
            </a:ext>
            <a:ext uri="{FF2B5EF4-FFF2-40B4-BE49-F238E27FC236}">
              <a16:creationId xmlns:a16="http://schemas.microsoft.com/office/drawing/2014/main" xmlns="" id="{00000000-0008-0000-0300-000002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38100</xdr:colOff>
      <xdr:row>23</xdr:row>
      <xdr:rowOff>127000</xdr:rowOff>
    </xdr:from>
    <xdr:to>
      <xdr:col>6</xdr:col>
      <xdr:colOff>1422400</xdr:colOff>
      <xdr:row>24</xdr:row>
      <xdr:rowOff>177800</xdr:rowOff>
    </xdr:to>
    <xdr:sp macro="" textlink="">
      <xdr:nvSpPr>
        <xdr:cNvPr id="7172" name="TextBox2" hidden="1">
          <a:extLst>
            <a:ext uri="{63B3BB69-23CF-44E3-9099-C40C66FF867C}">
              <a14:compatExt xmlns:a14="http://schemas.microsoft.com/office/drawing/2010/main" spid="_x0000_s7172"/>
            </a:ext>
            <a:ext uri="{FF2B5EF4-FFF2-40B4-BE49-F238E27FC236}">
              <a16:creationId xmlns:a16="http://schemas.microsoft.com/office/drawing/2014/main" xmlns="" id="{00000000-0008-0000-0300-000004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28575</xdr:colOff>
      <xdr:row>23</xdr:row>
      <xdr:rowOff>85725</xdr:rowOff>
    </xdr:from>
    <xdr:to>
      <xdr:col>2</xdr:col>
      <xdr:colOff>1066800</xdr:colOff>
      <xdr:row>24</xdr:row>
      <xdr:rowOff>133350</xdr:rowOff>
    </xdr:to>
    <xdr:pic>
      <xdr:nvPicPr>
        <xdr:cNvPr id="2" name="TextBox1">
          <a:extLst>
            <a:ext uri="{FF2B5EF4-FFF2-40B4-BE49-F238E27FC236}">
              <a16:creationId xmlns:a16="http://schemas.microsoft.com/office/drawing/2014/main" xmlns="" id="{ABDA6302-216F-4E62-8F95-C721BCDB75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075" y="685800"/>
          <a:ext cx="10382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28575</xdr:colOff>
      <xdr:row>23</xdr:row>
      <xdr:rowOff>95250</xdr:rowOff>
    </xdr:from>
    <xdr:to>
      <xdr:col>6</xdr:col>
      <xdr:colOff>1066800</xdr:colOff>
      <xdr:row>24</xdr:row>
      <xdr:rowOff>133350</xdr:rowOff>
    </xdr:to>
    <xdr:pic>
      <xdr:nvPicPr>
        <xdr:cNvPr id="3" name="TextBox2">
          <a:extLst>
            <a:ext uri="{FF2B5EF4-FFF2-40B4-BE49-F238E27FC236}">
              <a16:creationId xmlns:a16="http://schemas.microsoft.com/office/drawing/2014/main" xmlns="" id="{89FDFDF3-1391-4E37-90A5-80B9A5587C0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0825" y="695325"/>
          <a:ext cx="103822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utah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ER_11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ER_17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ER" connectionId="2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ER_6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ER_4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or" connectionId="2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gs" connectionId="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ny" connectionId="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ER_8" connectionId="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ER_18" connectionId="1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ER_16" connectionId="1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ER_10" connectionId="1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ER_3" connectionId="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ER_7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ER_12" connectionId="1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ER_13" connectionId="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ER_1" connectionId="2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sa" connectionId="2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cle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ER_9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ER_5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ER_15" connectionId="1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ER_14" connectionId="1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ER_19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ER_2" connectionId="2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statistics" connectionId="2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6" name="Tableau6" displayName="Tableau6" ref="B93:B109" totalsRowShown="0" headerRowDxfId="32" dataDxfId="31" tableBorderDxfId="30">
  <autoFilter ref="B93:B109"/>
  <tableColumns count="1">
    <tableColumn id="1" name="EST" dataDxfId="2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au7" displayName="Tableau7" ref="B110:B125" totalsRowShown="0" headerRowDxfId="28" dataDxfId="27" tableBorderDxfId="26">
  <autoFilter ref="B110:B125"/>
  <tableColumns count="1">
    <tableColumn id="1" name="OUEST" dataDxfId="2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eau11" displayName="Tableau11" ref="A93:A108" totalsRowShown="0" dataDxfId="24">
  <autoFilter ref="A93:A108"/>
  <tableColumns count="1">
    <tableColumn id="1" name="Classement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2" name="Tableau12" displayName="Tableau12" ref="A110:A125" totalsRowShown="0" dataDxfId="22">
  <autoFilter ref="A110:A125"/>
  <tableColumns count="1">
    <tableColumn id="1" name="Classement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Tableau62" displayName="Tableau62" ref="B56:B72" totalsRowShown="0" headerRowDxfId="20" dataDxfId="19" tableBorderDxfId="18">
  <tableColumns count="1">
    <tableColumn id="1" name="EST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Tableau73" displayName="Tableau73" ref="B73:B88" totalsRowShown="0" headerRowDxfId="16" dataDxfId="15" tableBorderDxfId="14">
  <tableColumns count="1">
    <tableColumn id="1" name="OUEST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3" name="Tableau114" displayName="Tableau114" ref="A56:A71" totalsRowShown="0" dataDxfId="12">
  <tableColumns count="1">
    <tableColumn id="1" name="STATS" dataDxfId="11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4" name="Tableau125" displayName="Tableau125" ref="A73:A88" totalsRowShown="0" dataDxfId="10">
  <tableColumns count="1">
    <tableColumn id="1" name="STATS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Bureau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nthonyRio/NBA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>
    <tabColor theme="8" tint="0.39997558519241921"/>
  </sheetPr>
  <dimension ref="A1:BG149"/>
  <sheetViews>
    <sheetView tabSelected="1" zoomScale="60" zoomScaleNormal="60" zoomScalePageLayoutView="50" workbookViewId="0"/>
  </sheetViews>
  <sheetFormatPr baseColWidth="10" defaultRowHeight="18.75" outlineLevelRow="1" x14ac:dyDescent="0.3"/>
  <cols>
    <col min="1" max="1" width="14.875" customWidth="1"/>
    <col min="2" max="2" width="16.375" style="2" customWidth="1"/>
    <col min="3" max="3" width="21.625" customWidth="1"/>
    <col min="4" max="4" width="19.5" style="3" customWidth="1"/>
    <col min="5" max="5" width="9.125" style="3" customWidth="1"/>
    <col min="6" max="6" width="20.5" customWidth="1"/>
    <col min="7" max="7" width="21.625" customWidth="1"/>
    <col min="8" max="8" width="9" customWidth="1"/>
    <col min="9" max="9" width="12.5" customWidth="1"/>
    <col min="10" max="10" width="21.375" bestFit="1" customWidth="1"/>
    <col min="11" max="11" width="13.125" bestFit="1" customWidth="1"/>
    <col min="12" max="12" width="13.125" customWidth="1"/>
    <col min="15" max="15" width="24.375" bestFit="1" customWidth="1"/>
    <col min="16" max="16" width="14.5" customWidth="1"/>
    <col min="18" max="18" width="11.5" hidden="1" customWidth="1"/>
    <col min="19" max="19" width="13.5" customWidth="1"/>
    <col min="20" max="20" width="12.625" customWidth="1"/>
    <col min="21" max="21" width="13" customWidth="1"/>
    <col min="23" max="23" width="17" customWidth="1"/>
  </cols>
  <sheetData>
    <row r="1" spans="2:25" ht="21" x14ac:dyDescent="0.3">
      <c r="B1" s="299"/>
      <c r="C1" s="300"/>
      <c r="D1" s="301"/>
      <c r="E1" s="375" t="s">
        <v>653</v>
      </c>
      <c r="F1" s="375"/>
      <c r="G1" s="375"/>
      <c r="H1" s="375"/>
      <c r="I1" s="375"/>
      <c r="J1" s="375"/>
      <c r="K1" s="302" t="s">
        <v>49</v>
      </c>
      <c r="L1" s="302" t="s">
        <v>50</v>
      </c>
      <c r="R1" s="253"/>
    </row>
    <row r="2" spans="2:25" ht="21" hidden="1" outlineLevel="1" x14ac:dyDescent="0.3">
      <c r="B2" s="200"/>
      <c r="C2" s="367" t="s">
        <v>632</v>
      </c>
      <c r="D2" s="367"/>
      <c r="E2" s="252"/>
      <c r="F2" s="251"/>
      <c r="G2" s="251"/>
      <c r="H2" s="251"/>
      <c r="I2" s="251"/>
      <c r="J2" s="251"/>
      <c r="K2" s="371" t="s">
        <v>642</v>
      </c>
      <c r="L2" s="371"/>
      <c r="R2" s="158"/>
      <c r="V2" s="193">
        <f>INDEX(I57:I88,MATCH(C5,B57:B88,0))</f>
        <v>100</v>
      </c>
      <c r="W2" s="193">
        <f>INDEX(I57:I88,MATCH(D5,B57:B88,0))</f>
        <v>117</v>
      </c>
      <c r="X2" s="193" t="str">
        <f t="shared" ref="X2:X7" si="0">IF(V2&gt;W2,$C$5,$D$5)</f>
        <v>Brooklyn</v>
      </c>
      <c r="Y2" s="190" t="s">
        <v>37</v>
      </c>
    </row>
    <row r="3" spans="2:25" ht="18.75" hidden="1" customHeight="1" outlineLevel="1" x14ac:dyDescent="0.3">
      <c r="B3" s="200"/>
      <c r="C3" s="370"/>
      <c r="D3" s="370"/>
      <c r="E3" s="235"/>
      <c r="F3" s="235"/>
      <c r="G3" s="235"/>
      <c r="H3" s="235"/>
      <c r="I3" s="235"/>
      <c r="J3" s="234"/>
      <c r="K3" s="371"/>
      <c r="L3" s="371"/>
      <c r="R3" s="158"/>
      <c r="V3" s="193">
        <f>INDEX(J57:J88,MATCH(C5,B57:B88,0))</f>
        <v>21</v>
      </c>
      <c r="W3" s="193">
        <f>INDEX(J57:J88,MATCH(D5,B57:B88,0))</f>
        <v>34</v>
      </c>
      <c r="X3" s="193" t="str">
        <f t="shared" si="0"/>
        <v>Brooklyn</v>
      </c>
      <c r="Y3" s="190" t="s">
        <v>38</v>
      </c>
    </row>
    <row r="4" spans="2:25" ht="18.75" hidden="1" customHeight="1" outlineLevel="1" x14ac:dyDescent="0.3">
      <c r="B4" s="236"/>
      <c r="C4" s="203" t="s">
        <v>34</v>
      </c>
      <c r="D4" s="204" t="s">
        <v>35</v>
      </c>
      <c r="E4" s="235"/>
      <c r="F4" s="235"/>
      <c r="G4" s="235"/>
      <c r="H4" s="235"/>
      <c r="I4" s="235"/>
      <c r="J4" s="234"/>
      <c r="K4" s="356">
        <f>V10</f>
        <v>100</v>
      </c>
      <c r="L4" s="356">
        <f>V11</f>
        <v>117</v>
      </c>
      <c r="R4" s="158"/>
      <c r="V4" s="193">
        <f>INDEX(K57:K88,MATCH(C5,B57:B88,0))</f>
        <v>62</v>
      </c>
      <c r="W4" s="193">
        <f>INDEX(K57:K88,MATCH(D5,B57:B88,0))</f>
        <v>53</v>
      </c>
      <c r="X4" s="193" t="str">
        <f t="shared" si="0"/>
        <v>Golden</v>
      </c>
      <c r="Y4" s="190" t="s">
        <v>41</v>
      </c>
    </row>
    <row r="5" spans="2:25" ht="18.75" hidden="1" customHeight="1" outlineLevel="1" x14ac:dyDescent="0.3">
      <c r="B5" s="201" t="s">
        <v>637</v>
      </c>
      <c r="C5" s="197" t="s">
        <v>16</v>
      </c>
      <c r="D5" s="205" t="s">
        <v>45</v>
      </c>
      <c r="E5" s="235"/>
      <c r="F5" s="235"/>
      <c r="G5" s="235"/>
      <c r="H5" s="235"/>
      <c r="I5" s="235"/>
      <c r="J5" s="234"/>
      <c r="K5" s="356"/>
      <c r="L5" s="356"/>
      <c r="R5" s="158"/>
      <c r="V5" s="193">
        <f>INDEX(L57:L88,MATCH(C5,B57:B88,0))</f>
        <v>72</v>
      </c>
      <c r="W5" s="193">
        <f>INDEX(L57:L88,MATCH(D5,B57:B88,0))</f>
        <v>80</v>
      </c>
      <c r="X5" s="193" t="str">
        <f t="shared" si="0"/>
        <v>Brooklyn</v>
      </c>
      <c r="Y5" s="190" t="s">
        <v>40</v>
      </c>
    </row>
    <row r="6" spans="2:25" ht="18.75" hidden="1" customHeight="1" outlineLevel="1" x14ac:dyDescent="0.25">
      <c r="B6" s="202" t="s">
        <v>37</v>
      </c>
      <c r="C6" s="189" t="str">
        <f t="shared" ref="C6:C12" si="1">IF(V2&gt;W2,"X","")&amp;(IF(V2=W2,"X",""))</f>
        <v/>
      </c>
      <c r="D6" s="189" t="str">
        <f t="shared" ref="D6:D12" si="2">IF(W2&gt;V2,"X","")&amp;(IF(V2=W2,"X",""))</f>
        <v>X</v>
      </c>
      <c r="E6" s="373" t="str">
        <f>IF(C6="X",C5,D5)&amp;" marque en moyenne plus de points"</f>
        <v>Brooklyn marque en moyenne plus de points</v>
      </c>
      <c r="F6" s="373"/>
      <c r="G6" s="373"/>
      <c r="H6" s="373"/>
      <c r="I6" s="373"/>
      <c r="J6" s="278"/>
      <c r="K6" s="371" t="s">
        <v>668</v>
      </c>
      <c r="L6" s="371"/>
      <c r="R6" s="158"/>
      <c r="V6" s="193">
        <f>INDEX(M57:M88,MATCH(C5,B57:B88,0))</f>
        <v>47</v>
      </c>
      <c r="W6" s="193">
        <f>INDEX(M57:M88,MATCH(D5,B57:B88,0))</f>
        <v>44</v>
      </c>
      <c r="X6" s="193" t="str">
        <f t="shared" si="0"/>
        <v>Golden</v>
      </c>
      <c r="Y6" s="190" t="s">
        <v>39</v>
      </c>
    </row>
    <row r="7" spans="2:25" ht="18.75" hidden="1" customHeight="1" outlineLevel="1" x14ac:dyDescent="0.25">
      <c r="B7" s="202" t="s">
        <v>38</v>
      </c>
      <c r="C7" s="189" t="str">
        <f t="shared" si="1"/>
        <v/>
      </c>
      <c r="D7" s="189" t="str">
        <f t="shared" si="2"/>
        <v>X</v>
      </c>
      <c r="E7" s="373" t="str">
        <f>IF(C7="X",C5,D5)&amp;" a un meilleur pourcentage sur les tirs à 3 points"</f>
        <v>Brooklyn a un meilleur pourcentage sur les tirs à 3 points</v>
      </c>
      <c r="F7" s="373"/>
      <c r="G7" s="373"/>
      <c r="H7" s="373"/>
      <c r="I7" s="373"/>
      <c r="J7" s="278"/>
      <c r="K7" s="371"/>
      <c r="L7" s="371"/>
      <c r="M7" s="298"/>
      <c r="N7" s="298"/>
      <c r="O7" s="298"/>
      <c r="R7" s="158"/>
      <c r="V7" s="193">
        <f>INDEX(O57:O88,MATCH(C5,B57:B88,0))</f>
        <v>30.8</v>
      </c>
      <c r="W7" s="194">
        <f>INDEX(O57:O88,MATCH(D5,B57:B88,0))</f>
        <v>26.7</v>
      </c>
      <c r="X7" s="193" t="str">
        <f t="shared" si="0"/>
        <v>Golden</v>
      </c>
      <c r="Y7" s="190" t="s">
        <v>633</v>
      </c>
    </row>
    <row r="8" spans="2:25" ht="18.75" hidden="1" customHeight="1" outlineLevel="1" x14ac:dyDescent="0.25">
      <c r="B8" s="202" t="s">
        <v>41</v>
      </c>
      <c r="C8" s="189" t="str">
        <f t="shared" si="1"/>
        <v>X</v>
      </c>
      <c r="D8" s="189" t="str">
        <f t="shared" si="2"/>
        <v/>
      </c>
      <c r="E8" s="373" t="str">
        <f>IF(C8="X",C5,D5)&amp;" a un meilleur pourcentage sur les tirs à 2 points"</f>
        <v>Golden a un meilleur pourcentage sur les tirs à 2 points</v>
      </c>
      <c r="F8" s="373"/>
      <c r="G8" s="373"/>
      <c r="H8" s="373"/>
      <c r="I8" s="373"/>
      <c r="J8" s="279"/>
      <c r="K8" s="372" t="s">
        <v>640</v>
      </c>
      <c r="L8" s="357">
        <f>SQRT((V10-V11)^2)</f>
        <v>17</v>
      </c>
      <c r="M8" s="298"/>
      <c r="N8" s="298"/>
      <c r="O8" s="298"/>
      <c r="R8" s="158"/>
      <c r="V8" s="194">
        <f>INDEX(E57:E88,MATCH(C5,B57:B88,0))</f>
        <v>0</v>
      </c>
      <c r="W8" s="194">
        <f>INDEX(H57:H88,MATCH(D5,B57:B88,0))</f>
        <v>0</v>
      </c>
      <c r="X8" s="193" t="str">
        <f>IF(V8&gt;W8,$C$5,$D$5)</f>
        <v>Brooklyn</v>
      </c>
      <c r="Y8" s="190" t="s">
        <v>634</v>
      </c>
    </row>
    <row r="9" spans="2:25" ht="18.75" hidden="1" customHeight="1" outlineLevel="1" x14ac:dyDescent="0.25">
      <c r="B9" s="202" t="s">
        <v>40</v>
      </c>
      <c r="C9" s="189" t="str">
        <f t="shared" si="1"/>
        <v/>
      </c>
      <c r="D9" s="189" t="str">
        <f t="shared" si="2"/>
        <v>X</v>
      </c>
      <c r="E9" s="373" t="str">
        <f>IF(C9="X",C5,D5)&amp;" a un meilleur pourcentage sur les lancers francs"</f>
        <v>Brooklyn a un meilleur pourcentage sur les lancers francs</v>
      </c>
      <c r="F9" s="373"/>
      <c r="G9" s="373"/>
      <c r="H9" s="373"/>
      <c r="I9" s="373"/>
      <c r="J9" s="280"/>
      <c r="K9" s="372"/>
      <c r="L9" s="357"/>
      <c r="R9" s="158"/>
      <c r="V9" s="193">
        <f>IF(C5=PER!B26,(AVERAGE(PER!Q26)),IF(C5=PER!B47,(AVERAGE(PER!Q47)),IF(C5=PER!B68,(AVERAGE(PER!Q68)),IF(C5=PER!B89,(AVERAGE(PER!Q89)),IF(C5=PER!B108,(AVERAGE(PER!Q108)),IF(C5=PER!B128,(AVERAGE(PER!Q128)),IF(C5=PER!B148,(AVERAGE(PER!Q148)),IF(C5=PER!B167,(AVERAGE(PER!Q167)),IF(C5=PER!B187,(AVERAGE(PER!Q187)),IF(C5=PER!B210,(AVERAGE(PER!Q210)),IF(C5=PER!B228,(AVERAGE(PER!Q228)),IF(C5=PER!B249,(AVERAGE(PER!Q249)),IF(C5=PER!B269,(AVERAGE(PER!Q269)),IF(C5=PER!B292,(AVERAGE(PER!Q292)),IF(C5=PER!B313,(AVERAGE(PER!Q313)),IF(C5=PER!B333,(AVERAGE(PER!Q333)),IF(C5=PER!B353,(AVERAGE(PER!Q353)),IF(C5=PER!B374,(AVERAGE(PER!Q374)),IF(C5=PER!B393,(AVERAGE(PER!Q393)),IF(C5=PER!B414,(AVERAGE(PER!Q414)),IF(C5=PER!B433,(AVERAGE(PER!Q433)),IF(C5=PER!B451,(AVERAGE(PER!Q451)),IF(C5=PER!B480,(AVERAGE(PER!Q480)),IF(C5=PER!B498,(AVERAGE(PER!Q498)),IF(C5=PER!B519,(AVERAGE(PER!Q519)),IF(C5=PER!B541,(AVERAGE(PER!Q541)),IF(C5=PER!B565,(AVERAGE(PER!Q565)),IF(C5=PER!B584,(AVERAGE(PER!Q584)),IF(C5=PER!B603,(AVERAGE(PER!Q603)),IF(C5=PER!B623,(AVERAGE(PER!Q623))))))))))))))))))))))))))))))))</f>
        <v>30.6</v>
      </c>
      <c r="W9" s="304">
        <f>IF(D5=PER!B26,(AVERAGE(PER!Q26)),IF(D5=PER!B47,(AVERAGE(PER!Q47)),IF(D5=PER!B68,(AVERAGE(PER!Q68)),IF(D5=PER!B89,(AVERAGE(PER!Q89)),IF(D5=PER!B108,(AVERAGE(PER!Q108)),IF(D5=PER!B128,(AVERAGE(PER!Q128)),IF(D5=PER!B148,(AVERAGE(PER!Q148)),IF(D5=PER!B167,(AVERAGE(PER!Q167)),IF(D5=PER!B187,(AVERAGE(PER!Q187)),IF(D5=PER!B210,(AVERAGE(PER!Q210)),IF(D5=PER!B228,(AVERAGE(PER!Q228)),IF(D5=PER!B249,(AVERAGE(PER!Q249)),IF(D5=PER!B269,(AVERAGE(PER!Q269)),IF(D5=PER!B292,(AVERAGE(PER!Q292)),IF(D5=PER!B313,(AVERAGE(PER!Q313)),IF(D5=PER!B333,(AVERAGE(PER!Q333)),IF(D5=PER!B353,(AVERAGE(PER!Q353)),IF(D5=PER!B374,(AVERAGE(PER!Q374)),IF(D5=PER!B393,(AVERAGE(PER!Q393)),IF(D5=PER!B414,(AVERAGE(PER!Q414)),IF(D5=PER!B433,(AVERAGE(PER!Q433)),IF(D5=PER!B451,(AVERAGE(PER!Q451)),IF(D5=PER!B480,(AVERAGE(PER!Q480)),IF(D5=PER!B498,(AVERAGE(PER!Q498)),IF(D5=PER!B519,(AVERAGE(PER!Q519)),IF(D5=PER!B541,(AVERAGE(PER!Q541)),IF(D5=PER!B565,(AVERAGE(PER!Q565)),IF(D5=PER!B584,(AVERAGE(PER!Q584)),IF(D5=PER!B603,(AVERAGE(PER!Q603)),IF(D5=PER!B623,(AVERAGE(PER!Q623))))))))))))))))))))))))))))))))</f>
        <v>30.35</v>
      </c>
      <c r="X9" s="193" t="str">
        <f>IF(V9&gt;W9,$C$5,$D$5)</f>
        <v>Golden</v>
      </c>
      <c r="Y9" s="191" t="s">
        <v>636</v>
      </c>
    </row>
    <row r="10" spans="2:25" ht="18.75" hidden="1" customHeight="1" outlineLevel="1" x14ac:dyDescent="0.25">
      <c r="B10" s="202" t="s">
        <v>39</v>
      </c>
      <c r="C10" s="189" t="str">
        <f t="shared" si="1"/>
        <v>X</v>
      </c>
      <c r="D10" s="189" t="str">
        <f t="shared" si="2"/>
        <v/>
      </c>
      <c r="E10" s="373" t="str">
        <f>IF(C10="X",C5,D5)&amp;" marque en moyenne plus de paniers (tous confondus)"</f>
        <v>Golden marque en moyenne plus de paniers (tous confondus)</v>
      </c>
      <c r="F10" s="373"/>
      <c r="G10" s="373"/>
      <c r="H10" s="373"/>
      <c r="I10" s="373"/>
      <c r="J10" s="275"/>
      <c r="K10" s="371" t="s">
        <v>641</v>
      </c>
      <c r="L10" s="371"/>
      <c r="R10" s="158"/>
      <c r="V10" s="199">
        <f>IF(C5=Schedule!D5,(AVERAGE(Schedule!M6:M87)),IF(C5=Schedule!D88,(AVERAGE(Schedule!M89:M170)),IF(C5=Schedule!D171,(AVERAGE(Schedule!M172:M253)),IF(C5=Schedule!D254,(AVERAGE(Schedule!M255:M336)),IF(C5=Schedule!D337,(AVERAGE(Schedule!M338:M419)),IF(C5=Schedule!D420,(AVERAGE(Schedule!M421:M502)),IF(C5=Schedule!D503,(AVERAGE(Schedule!M504:M585)),IF(C5=Schedule!D586,(AVERAGE(Schedule!M587:M668)),IF(C5=Schedule!D669,(AVERAGE(Schedule!M670:M751)),IF(C5=Schedule!D752,(AVERAGE(Schedule!M753:M85834)),IF(C5=Schedule!D835,(AVERAGE(Schedule!M817:M836)),IF(C5=Schedule!D918,(AVERAGE(Schedule!M919:M1000)),IF(C5=Schedule!D1001,(AVERAGE(Schedule!M1002:M1083)),IF(C5=Schedule!D1084,(AVERAGE(Schedule!M1085:M1166)),IF(C5=Schedule!D1167,(AVERAGE(Schedule!M1168:M1249)),IF(C5=Schedule!D1250,(AVERAGE(Schedule!M1251:M1332)),IF(C5=Schedule!D1333,(AVERAGE(Schedule!M1334:M1415)),IF(C5=Schedule!D1416,(AVERAGE(Schedule!M1417:M1498)),IF(C5=Schedule!D1499,(AVERAGE(Schedule!M1500:M1581)),IF(C5=Schedule!D1582,(AVERAGE(Schedule!M1583:M1664)),IF(C5=Schedule!D1665,(AVERAGE(Schedule!M1666:M1747)),IF(C5=Schedule!D1748,(AVERAGE(Schedule!M1749:M1830)),IF(C5=Schedule!D1831,(AVERAGE(Schedule!M1832:M1913)),IF(C5=Schedule!D1914,(AVERAGE(Schedule!M1915:M1996)),IF(C5=Schedule!D1997,(AVERAGE(Schedule!M1998:M2079)),IF(C5=Schedule!D2080,(AVERAGE(Schedule!M2081:M2162)),IF(C5=Schedule!D2163,(AVERAGE(Schedule!M2164:M2245)),IF(C5=Schedule!D2246,(AVERAGE(Schedule!M2247:M2328)),IF(C5=Schedule!D2329,(AVERAGE(Schedule!M2330:M2411)),IF(C5=Schedule!D2412,(AVERAGE(Schedule!M2413:M2494))))))))))))))))))))))))))))))))</f>
        <v>100</v>
      </c>
      <c r="W10" s="192" t="s">
        <v>651</v>
      </c>
      <c r="X10" s="199">
        <f>IF(C5=Schedule!D5,(AVERAGE(Schedule!O6:O87)),IF(C5=Schedule!D88,(AVERAGE(Schedule!O89:O170)),IF(C5=Schedule!D171,(AVERAGE(Schedule!O172:O253)),IF(C5=Schedule!D254,(AVERAGE(Schedule!O255:O336)),IF(C5=Schedule!D337,(AVERAGE(Schedule!O338:O419)),IF(C5=Schedule!D420,(AVERAGE(Schedule!O421:O502)),IF(C5=Schedule!D503,(AVERAGE(Schedule!O504:O585)),IF(C5=Schedule!D586,(AVERAGE(Schedule!O587:O668)),IF(C5=Schedule!D669,(AVERAGE(Schedule!O670:O751)),IF(C5=Schedule!D752,(AVERAGE(Schedule!O753:O85834)),IF(C5=Schedule!D835,(AVERAGE(Schedule!O817:O836)),IF(C5=Schedule!D918,(AVERAGE(Schedule!O919:O1000)),IF(C5=Schedule!D1001,(AVERAGE(Schedule!O1002:O1083)),IF(C5=Schedule!D1084,(AVERAGE(Schedule!O1085:O1166)),IF(C5=Schedule!D1167,(AVERAGE(Schedule!O1168:O1249)),IF(C5=Schedule!D1250,(AVERAGE(Schedule!O1251:O1332)),IF(C5=Schedule!D1333,(AVERAGE(Schedule!O1334:O1415)),IF(C5=Schedule!D1416,(AVERAGE(Schedule!O1417:O1498)),IF(C5=Schedule!D1499,(AVERAGE(Schedule!O1500:O1581)),IF(C5=Schedule!D1582,(AVERAGE(Schedule!O1583:O1664)),IF(C5=Schedule!D1665,(AVERAGE(Schedule!O1666:O1747)),IF(C5=Schedule!D1748,(AVERAGE(Schedule!O1749:O1830)),IF(C5=Schedule!D1831,(AVERAGE(Schedule!O1832:O1913)),IF(C5=Schedule!D1914,(AVERAGE(Schedule!O1915:O1996)),IF(C5=Schedule!D1997,(AVERAGE(Schedule!O1998:O2079)),IF(C5=Schedule!D2080,(AVERAGE(Schedule!O2081:O2162)),IF(C5=Schedule!D2163,(AVERAGE(Schedule!O2164:O2245)),IF(C5=Schedule!D2246,(AVERAGE(Schedule!O2247:O2328)),IF(C5=Schedule!D2329,(AVERAGE(Schedule!O2330:O2411)),IF(C5=Schedule!D2412,(AVERAGE(Schedule!O2413:O2494))))))))))))))))))))))))))))))))</f>
        <v>129</v>
      </c>
      <c r="Y10" s="192" t="s">
        <v>638</v>
      </c>
    </row>
    <row r="11" spans="2:25" ht="18" hidden="1" customHeight="1" outlineLevel="1" x14ac:dyDescent="0.25">
      <c r="B11" s="202" t="s">
        <v>633</v>
      </c>
      <c r="C11" s="189" t="str">
        <f t="shared" si="1"/>
        <v>X</v>
      </c>
      <c r="D11" s="189" t="str">
        <f t="shared" si="2"/>
        <v/>
      </c>
      <c r="E11" s="374" t="str">
        <f>"Le 5 majeur de "&amp;IF(C11="X",C5,D5)&amp;" possède un meilleur PER"</f>
        <v>Le 5 majeur de Golden possède un meilleur PER</v>
      </c>
      <c r="F11" s="374"/>
      <c r="G11" s="374"/>
      <c r="H11" s="374"/>
      <c r="I11" s="374"/>
      <c r="J11" s="276"/>
      <c r="K11" s="356" t="s">
        <v>643</v>
      </c>
      <c r="L11" s="357">
        <f>(V10+V11)</f>
        <v>217</v>
      </c>
      <c r="R11" s="158"/>
      <c r="V11" s="199">
        <f>IF(D5=Schedule!D5,(AVERAGE(Schedule!N6:N87)),IF(D5=Schedule!D88,(AVERAGE(Schedule!N89:N170)),IF(D5=Schedule!D171,(AVERAGE(Schedule!N172:N253)),IF(D5=Schedule!D254,(AVERAGE(Schedule!N255:N336)),IF(D5=Schedule!D337,(AVERAGE(Schedule!N338:N419)),IF(D5=Schedule!D420,(AVERAGE(Schedule!N421:N502)),IF(D5=Schedule!D503,(AVERAGE(Schedule!N504:N585)),IF(D5=Schedule!D586,(AVERAGE(Schedule!N587:N668)),IF(D5=Schedule!D669,(AVERAGE(Schedule!N670:N751)),IF(D5=Schedule!D752,(AVERAGE(Schedule!N753:N85834)),IF(D5=Schedule!D835,(AVERAGE(Schedule!N817:N836)),IF(D5=Schedule!D918,(AVERAGE(Schedule!N919:N1000)),IF(D5=Schedule!D1001,(AVERAGE(Schedule!N1002:N1083)),IF(D5=Schedule!D1084,(AVERAGE(Schedule!N1085:N1166)),IF(D5=Schedule!D1167,(AVERAGE(Schedule!N1168:N1249)),IF(D5=Schedule!D1250,(AVERAGE(Schedule!N1251:N1332)),IF(D5=Schedule!D1333,(AVERAGE(Schedule!N1334:N1415)),IF(D5=Schedule!D1416,(AVERAGE(Schedule!N1417:N1498)),IF(D5=Schedule!D1499,(AVERAGE(Schedule!N1500:N1581)),IF(D5=Schedule!D1582,(AVERAGE(Schedule!N1583:N1664)),IF(D5=Schedule!D1665,(AVERAGE(Schedule!N1666:N1747)),IF(D5=Schedule!D1748,(AVERAGE(Schedule!N1749:N1830)),IF(D5=Schedule!D1831,(AVERAGE(Schedule!N1832:N1913)),IF(D5=Schedule!D1914,(AVERAGE(Schedule!N1915:N1996)),IF(D5=Schedule!D1997,(AVERAGE(Schedule!N1998:N2079)),IF(D5=Schedule!D2080,(AVERAGE(Schedule!N2081:N2162)),IF(D5=Schedule!D2163,(AVERAGE(Schedule!N2164:N2245)),IF(D5=Schedule!D2246,(AVERAGE(Schedule!N2247:N2328)),IF(D5=Schedule!D2329,(AVERAGE(Schedule!N2330:N2411)),IF(D5=Schedule!D2412,(AVERAGE(Schedule!N2413:N2494))))))))))))))))))))))))))))))))</f>
        <v>117</v>
      </c>
      <c r="W11" s="192" t="s">
        <v>652</v>
      </c>
      <c r="X11" s="193">
        <f>IF(D5=Schedule!D5,(AVERAGE(Schedule!P6:P87)),IF(D5=Schedule!D88,(AVERAGE(Schedule!P89:P170)),IF(D5=Schedule!D171,(AVERAGE(Schedule!P172:P253)),IF(D5=Schedule!D254,(AVERAGE(Schedule!P255:P336)),IF(D5=Schedule!D337,(AVERAGE(Schedule!P338:P419)),IF(D5=Schedule!D420,(AVERAGE(Schedule!P421:P502)),IF(D5=Schedule!D503,(AVERAGE(Schedule!P504:P585)),IF(D5=Schedule!D586,(AVERAGE(Schedule!P587:P668)),IF(D5=Schedule!D669,(AVERAGE(Schedule!P670:P751)),IF(D5=Schedule!D752,(AVERAGE(Schedule!P753:P85834)),IF(D5=Schedule!D835,(AVERAGE(Schedule!P836:P917)),IF(D5=Schedule!D918,(AVERAGE(Schedule!P919:P1000)),IF(D5=Schedule!D1001,(AVERAGE(Schedule!P1002:P1083)),IF(D5=Schedule!D1084,(AVERAGE(Schedule!P1085:P1166)),IF(D5=Schedule!D1167,(AVERAGE(Schedule!P1168:P1249)),IF(D5=Schedule!D1250,(AVERAGE(Schedule!P1251:P1332)),IF(D5=Schedule!D1333,(AVERAGE(Schedule!P1334:P1415)),IF(D5=Schedule!D1416,(AVERAGE(Schedule!P1417:P1498)),IF(D5=Schedule!D1499,(AVERAGE(Schedule!P1500:P1581)),IF(D5=Schedule!D1582,(AVERAGE(Schedule!P1583:P1664)),IF(D5=Schedule!D1665,(AVERAGE(Schedule!P1666:P1747)),IF(D5=Schedule!D1748,(AVERAGE(Schedule!P1749:P1830)),IF(D5=Schedule!D1831,(AVERAGE(Schedule!P1832:P1913)),IF(D5=Schedule!D1914,(AVERAGE(Schedule!P1915:P1996)),IF(D5=Schedule!D1997,(AVERAGE(Schedule!P1998:P2079)),IF(D5=Schedule!D2080,(AVERAGE(Schedule!P2081:P2162)),IF(D5=Schedule!D2163,(AVERAGE(Schedule!P2164:P2245)),IF(D5=Schedule!D2246,(AVERAGE(Schedule!P2247:P2328)),IF(D5=Schedule!D2329,(AVERAGE(Schedule!P2330:P2411)),IF(D5=Schedule!D2412,(AVERAGE(Schedule!P2413:P2494))))))))))))))))))))))))))))))))</f>
        <v>122</v>
      </c>
      <c r="Y11" s="192" t="s">
        <v>639</v>
      </c>
    </row>
    <row r="12" spans="2:25" ht="18.75" hidden="1" customHeight="1" outlineLevel="1" x14ac:dyDescent="0.25">
      <c r="B12" s="202" t="s">
        <v>634</v>
      </c>
      <c r="C12" s="189" t="str">
        <f t="shared" si="1"/>
        <v>X</v>
      </c>
      <c r="D12" s="189" t="str">
        <f t="shared" si="2"/>
        <v>X</v>
      </c>
      <c r="E12" s="374" t="str">
        <f>IF(C12="X",C5&amp;" gagne plus de match a domicile que "&amp;D5&amp;" à l'extérieur",D5&amp;" gagne plus de match a l'extérieur que "&amp;C5&amp;" à domicile")</f>
        <v>Golden gagne plus de match a domicile que Brooklyn à l'extérieur</v>
      </c>
      <c r="F12" s="374"/>
      <c r="G12" s="374"/>
      <c r="H12" s="374"/>
      <c r="I12" s="374"/>
      <c r="J12" s="277"/>
      <c r="K12" s="356"/>
      <c r="L12" s="357"/>
      <c r="R12" s="158"/>
    </row>
    <row r="13" spans="2:25" ht="18.75" hidden="1" customHeight="1" outlineLevel="1" x14ac:dyDescent="0.25">
      <c r="B13" s="359" t="str">
        <f>"D'après les statistiques, "&amp;"[ "&amp;IF(COUNTBLANK(C6:C12)&lt;COUNTBLANK(D6:D12),C5,D5)&amp;" ]"&amp;" est favori pour gagner le match"</f>
        <v>D'après les statistiques, [ Brooklyn ] est favori pour gagner le match</v>
      </c>
      <c r="C13" s="360"/>
      <c r="D13" s="360"/>
      <c r="E13" s="360"/>
      <c r="F13" s="360"/>
      <c r="G13" s="360"/>
      <c r="H13" s="360"/>
      <c r="I13" s="361"/>
      <c r="J13" s="358" t="s">
        <v>672</v>
      </c>
      <c r="K13" s="381" t="s">
        <v>669</v>
      </c>
      <c r="L13" s="371"/>
      <c r="M13" s="369" t="s">
        <v>1211</v>
      </c>
      <c r="N13" s="369"/>
      <c r="O13" s="369"/>
      <c r="R13" s="158"/>
      <c r="V13" s="193">
        <f>INDEX(O57:O88,MATCH(C21,B57:B88,0))</f>
        <v>31.9</v>
      </c>
      <c r="W13" s="194">
        <f>INDEX(O57:O88,MATCH(D21,B57:B88,0))</f>
        <v>41.8</v>
      </c>
      <c r="X13" s="193" t="str">
        <f>IF(V13&gt;W13,$C$5,$D$5)</f>
        <v>Brooklyn</v>
      </c>
      <c r="Y13" s="190" t="s">
        <v>633</v>
      </c>
    </row>
    <row r="14" spans="2:25" ht="18.75" hidden="1" customHeight="1" outlineLevel="1" x14ac:dyDescent="0.25">
      <c r="B14" s="359"/>
      <c r="C14" s="360"/>
      <c r="D14" s="360"/>
      <c r="E14" s="360"/>
      <c r="F14" s="360"/>
      <c r="G14" s="360"/>
      <c r="H14" s="360"/>
      <c r="I14" s="361"/>
      <c r="J14" s="358"/>
      <c r="K14" s="382"/>
      <c r="L14" s="383"/>
      <c r="M14" s="369"/>
      <c r="N14" s="369"/>
      <c r="O14" s="369"/>
      <c r="R14" s="158"/>
      <c r="V14" s="194">
        <f>INDEX(E57:E88,MATCH(C21,B57:B88,0))</f>
        <v>0</v>
      </c>
      <c r="W14" s="194">
        <f>INDEX(H57:H88,MATCH(D21,B57:B88,0))</f>
        <v>100</v>
      </c>
      <c r="X14" s="193" t="str">
        <f>IF(V14&gt;W14,$C$5,$D$5)</f>
        <v>Brooklyn</v>
      </c>
      <c r="Y14" s="303" t="s">
        <v>634</v>
      </c>
    </row>
    <row r="15" spans="2:25" ht="18.75" hidden="1" customHeight="1" outlineLevel="1" x14ac:dyDescent="0.25">
      <c r="B15" s="359"/>
      <c r="C15" s="360"/>
      <c r="D15" s="360"/>
      <c r="E15" s="360"/>
      <c r="F15" s="360"/>
      <c r="G15" s="360"/>
      <c r="H15" s="360"/>
      <c r="I15" s="361"/>
      <c r="J15" s="362">
        <f>AVERAGE((50+(SQRT((V2-W2)^2)^2)/100),(1.2*(50+(SQRT((V9-W9)^2)^2)/100)),(1.1*(50+(SQRT((V8-W8)^2)^2)/100)))</f>
        <v>55.963583333333332</v>
      </c>
      <c r="K15" s="377">
        <f>X10</f>
        <v>129</v>
      </c>
      <c r="L15" s="379">
        <f>X11</f>
        <v>122</v>
      </c>
      <c r="M15" s="369"/>
      <c r="N15" s="369"/>
      <c r="O15" s="369"/>
      <c r="R15" s="158"/>
      <c r="V15" s="193">
        <f>IF(C21=PER!B26,(AVERAGE(PER!Q26)),IF(C21=PER!B47,(AVERAGE(PER!Q47)),IF(C21=PER!B68,(AVERAGE(PER!Q68)),IF(C21=PER!B89,(AVERAGE(PER!Q89)),IF(C21=PER!B108,(AVERAGE(PER!Q108)),IF(C21=PER!B128,(AVERAGE(PER!Q128)),IF(C21=PER!B148,(AVERAGE(PER!Q148)),IF(C21=PER!B167,(AVERAGE(PER!Q167)),IF(C21=PER!B187,(AVERAGE(PER!Q187)),IF(C21=PER!B210,(AVERAGE(PER!Q210)),IF(C21=PER!B228,(AVERAGE(PER!Q228)),IF(C21=PER!B249,(AVERAGE(PER!Q249)),IF(C21=PER!B269,(AVERAGE(PER!Q269)),IF(C21=PER!B292,(AVERAGE(PER!Q292)),IF(C21=PER!B313,(AVERAGE(PER!Q313)),IF(C21=PER!B333,(AVERAGE(PER!Q333)),IF(C21=PER!B353,(AVERAGE(PER!Q353)),IF(C21=PER!B374,(AVERAGE(PER!Q374)),IF(C21=PER!B393,(AVERAGE(PER!Q393)),IF(C21=PER!B414,(AVERAGE(PER!Q414)),IF(C21=PER!B433,(AVERAGE(PER!Q433)),IF(C21=PER!B451,(AVERAGE(PER!Q451)),IF(C21=PER!B480,(AVERAGE(PER!Q480)),IF(C21=PER!B498,(AVERAGE(PER!Q498)),IF(C21=PER!B519,(AVERAGE(PER!Q519)),IF(C21=PER!B541,(AVERAGE(PER!Q541)),IF(C21=PER!B565,(AVERAGE(PER!Q565)),IF(C21=PER!B584,(AVERAGE(PER!Q584)),IF(C21=PER!B603,(AVERAGE(PER!Q603)),IF(C21=PER!B623,(AVERAGE(PER!Q623))))))))))))))))))))))))))))))))</f>
        <v>29.85</v>
      </c>
      <c r="W15" s="193">
        <f>IF(D21=PER!B26,(AVERAGE(PER!Q26)),IF(D21=PER!B47,(AVERAGE(PER!Q47)),IF(D21=PER!B68,(AVERAGE(PER!Q68)),IF(D21=PER!B89,(AVERAGE(PER!Q89)),IF(D21=PER!B108,(AVERAGE(PER!Q108)),IF(D21=PER!B128,(AVERAGE(PER!Q128)),IF(D21=PER!B148,(AVERAGE(PER!Q148)),IF(D21=PER!B167,(AVERAGE(PER!Q167)),IF(D21=PER!B187,(AVERAGE(PER!Q187)),IF(D21=PER!B210,(AVERAGE(PER!Q210)),IF(D21=PER!B228,(AVERAGE(PER!Q228)),IF(D21=PER!B249,(AVERAGE(PER!Q249)),IF(D21=PER!B269,(AVERAGE(PER!Q269)),IF(D21=PER!B292,(AVERAGE(PER!Q292)),IF(D21=PER!B313,(AVERAGE(PER!Q313)),IF(D21=PER!B333,(AVERAGE(PER!Q333)),IF(D21=PER!B353,(AVERAGE(PER!Q353)),IF(D21=PER!B374,(AVERAGE(PER!Q374)),IF(D21=PER!B393,(AVERAGE(PER!Q393)),IF(D21=PER!B414,(AVERAGE(PER!Q414)),IF(D21=PER!B433,(AVERAGE(PER!Q433)),IF(D21=PER!B451,(AVERAGE(PER!Q451)),IF(D21=PER!B480,(AVERAGE(PER!Q480)),IF(D21=PER!B498,(AVERAGE(PER!Q498)),IF(D21=PER!B519,(AVERAGE(PER!Q519)),IF(D21=PER!B541,(AVERAGE(PER!Q541)),IF(D21=PER!B565,(AVERAGE(PER!Q565)),IF(D21=PER!B584,(AVERAGE(PER!Q584)),IF(D21=PER!B603,(AVERAGE(PER!Q603)),IF(D21=PER!B623,(AVERAGE(PER!Q623))))))))))))))))))))))))))))))))</f>
        <v>47.2</v>
      </c>
      <c r="X15" s="193" t="str">
        <f>IF(V15&gt;W15,$C$5,$D$5)</f>
        <v>Brooklyn</v>
      </c>
      <c r="Y15" s="191" t="s">
        <v>636</v>
      </c>
    </row>
    <row r="16" spans="2:25" ht="18.75" hidden="1" customHeight="1" outlineLevel="1" x14ac:dyDescent="0.25">
      <c r="B16" s="359"/>
      <c r="C16" s="360"/>
      <c r="D16" s="360"/>
      <c r="E16" s="360"/>
      <c r="F16" s="360"/>
      <c r="G16" s="360"/>
      <c r="H16" s="360"/>
      <c r="I16" s="361"/>
      <c r="J16" s="362"/>
      <c r="K16" s="378"/>
      <c r="L16" s="380"/>
      <c r="M16" s="369"/>
      <c r="N16" s="369"/>
      <c r="O16" s="369"/>
      <c r="R16" s="158"/>
      <c r="V16" s="199">
        <f>IF(C21=Schedule!D5,(AVERAGE(Schedule!M6:M87)),IF(C21=Schedule!D88,(AVERAGE(Schedule!M89:M170)),IF(C21=Schedule!D171,(AVERAGE(Schedule!M172:M253)),IF(C21=Schedule!D254,(AVERAGE(Schedule!M255:M336)),IF(C21=Schedule!D337,(AVERAGE(Schedule!M338:M419)),IF(C21=Schedule!D420,(AVERAGE(Schedule!M421:M502)),IF(C21=Schedule!D503,(AVERAGE(Schedule!M504:M585)),IF(C21=Schedule!D586,(AVERAGE(Schedule!M587:M668)),IF(C21=Schedule!D669,(AVERAGE(Schedule!M670:M751)),IF(C21=Schedule!D752,(AVERAGE(Schedule!M753:M85834)),IF(C21=Schedule!D835,(AVERAGE(Schedule!M817:M836)),IF(C21=Schedule!D918,(AVERAGE(Schedule!M919:M1000)),IF(C21=Schedule!D1001,(AVERAGE(Schedule!M1002:M1083)),IF(C21=Schedule!D1084,(AVERAGE(Schedule!M1085:M1166)),IF(C21=Schedule!D1167,(AVERAGE(Schedule!M1168:M1249)),IF(C21=Schedule!D1250,(AVERAGE(Schedule!M1251:M1332)),IF(C21=Schedule!D1333,(AVERAGE(Schedule!M1334:M1415)),IF(C21=Schedule!D1416,(AVERAGE(Schedule!M1417:M1498)),IF(C21=Schedule!D1499,(AVERAGE(Schedule!M1500:M1581)),IF(C21=Schedule!D1582,(AVERAGE(Schedule!M1583:M1664)),IF(C21=Schedule!D1665,(AVERAGE(Schedule!M1666:M1747)),IF(C21=Schedule!D1748,(AVERAGE(Schedule!M1749:M1830)),IF(C21=Schedule!D1831,(AVERAGE(Schedule!M1832:M1913)),IF(C21=Schedule!D1914,(AVERAGE(Schedule!M1915:M1996)),IF(C21=Schedule!D1997,(AVERAGE(Schedule!M1998:M2079)),IF(C21=Schedule!D2080,(AVERAGE(Schedule!M2081:M2162)),IF(C21=Schedule!D2163,(AVERAGE(Schedule!M2164:M2245)),IF(C21=Schedule!D2246,(AVERAGE(Schedule!M2247:M2328)),IF(C21=Schedule!D2329,(AVERAGE(Schedule!M2330:M2411)),IF(C21=Schedule!D2412,(AVERAGE(Schedule!M2413:M2494))))))))))))))))))))))))))))))))</f>
        <v>94</v>
      </c>
      <c r="W16" s="192" t="s">
        <v>651</v>
      </c>
      <c r="X16" s="199">
        <f>IF(C21=Schedule!D5,(AVERAGE(Schedule!O6:O87)),IF(C21=Schedule!D88,(AVERAGE(Schedule!O89:O170)),IF(C21=Schedule!D171,(AVERAGE(Schedule!O172:O253)),IF(C21=Schedule!D254,(AVERAGE(Schedule!O255:O336)),IF(C21=Schedule!D337,(AVERAGE(Schedule!O338:O419)),IF(C21=Schedule!D420,(AVERAGE(Schedule!O421:O502)),IF(C21=Schedule!D503,(AVERAGE(Schedule!O504:O585)),IF(C21=Schedule!D586,(AVERAGE(Schedule!O587:O668)),IF(C21=Schedule!D669,(AVERAGE(Schedule!O670:O751)),IF(C21=Schedule!D752,(AVERAGE(Schedule!O753:O85834)),IF(C21=Schedule!D835,(AVERAGE(Schedule!O817:O836)),IF(C21=Schedule!D918,(AVERAGE(Schedule!O919:O1000)),IF(C21=Schedule!D1001,(AVERAGE(Schedule!O1002:O1083)),IF(C21=Schedule!D1084,(AVERAGE(Schedule!O1085:O1166)),IF(C21=Schedule!D1167,(AVERAGE(Schedule!O1168:O1249)),IF(C21=Schedule!D1250,(AVERAGE(Schedule!O1251:O1332)),IF(C21=Schedule!D1333,(AVERAGE(Schedule!O1334:O1415)),IF(C21=Schedule!D1416,(AVERAGE(Schedule!O1417:O1498)),IF(C21=Schedule!D1499,(AVERAGE(Schedule!O1500:O1581)),IF(C21=Schedule!D1582,(AVERAGE(Schedule!O1583:O1664)),IF(C21=Schedule!D1665,(AVERAGE(Schedule!O1666:O1747)),IF(C21=Schedule!D1748,(AVERAGE(Schedule!O1749:O1830)),IF(C21=Schedule!D1831,(AVERAGE(Schedule!O1832:O1913)),IF(C21=Schedule!D1914,(AVERAGE(Schedule!O1915:O1996)),IF(C21=Schedule!D1997,(AVERAGE(Schedule!O1998:O2079)),IF(C21=Schedule!D2080,(AVERAGE(Schedule!O2081:O2162)),IF(C21=Schedule!D2163,(AVERAGE(Schedule!O2164:O2245)),IF(C21=Schedule!D2246,(AVERAGE(Schedule!O2247:O2328)),IF(C21=Schedule!D2329,(AVERAGE(Schedule!O2330:O2411)),IF(C21=Schedule!D2412,(AVERAGE(Schedule!O2413:O2494))))))))))))))))))))))))))))))))</f>
        <v>102</v>
      </c>
      <c r="Y16" s="192" t="s">
        <v>638</v>
      </c>
    </row>
    <row r="17" spans="1:25" ht="18.75" customHeight="1" collapsed="1" x14ac:dyDescent="0.3">
      <c r="A17" s="206"/>
      <c r="B17" s="306"/>
      <c r="C17" s="307"/>
      <c r="D17" s="308"/>
      <c r="E17" s="376" t="s">
        <v>1856</v>
      </c>
      <c r="F17" s="376"/>
      <c r="G17" s="376"/>
      <c r="H17" s="376"/>
      <c r="I17" s="376"/>
      <c r="J17" s="376"/>
      <c r="K17" s="321" t="s">
        <v>49</v>
      </c>
      <c r="L17" s="321" t="s">
        <v>50</v>
      </c>
      <c r="P17" s="158"/>
      <c r="Q17" s="158"/>
      <c r="R17" s="158"/>
      <c r="S17" s="158"/>
      <c r="T17" s="158"/>
      <c r="U17" s="158"/>
      <c r="V17" s="199">
        <f>IF(D21=Schedule!D5,(AVERAGE(Schedule!N6:N87)),IF(D21=Schedule!D88,(AVERAGE(Schedule!N89:N170)),IF(D21=Schedule!D171,(AVERAGE(Schedule!N172:N253)),IF(D21=Schedule!D254,(AVERAGE(Schedule!N255:N336)),IF(D21=Schedule!D337,(AVERAGE(Schedule!N338:N419)),IF(D21=Schedule!D420,(AVERAGE(Schedule!N421:N502)),IF(D21=Schedule!D503,(AVERAGE(Schedule!N504:N585)),IF(D21=Schedule!D586,(AVERAGE(Schedule!N587:N668)),IF(D21=Schedule!D669,(AVERAGE(Schedule!N670:N751)),IF(D21=Schedule!D752,(AVERAGE(Schedule!N753:N85834)),IF(D21=Schedule!D835,(AVERAGE(Schedule!N817:N836)),IF(D21=Schedule!D918,(AVERAGE(Schedule!N919:N1000)),IF(D21=Schedule!D1001,(AVERAGE(Schedule!N1002:N1083)),IF(D21=Schedule!D1084,(AVERAGE(Schedule!N1085:N1166)),IF(D21=Schedule!D1167,(AVERAGE(Schedule!N1168:N1249)),IF(D21=Schedule!D1250,(AVERAGE(Schedule!N1251:N1332)),IF(D21=Schedule!D1333,(AVERAGE(Schedule!N1334:N1415)),IF(D21=Schedule!D1416,(AVERAGE(Schedule!N1417:N1498)),IF(D21=Schedule!D1499,(AVERAGE(Schedule!N1500:N1581)),IF(D21=Schedule!D1582,(AVERAGE(Schedule!N1583:N1664)),IF(D21=Schedule!D1665,(AVERAGE(Schedule!N1666:N1747)),IF(D21=Schedule!D1748,(AVERAGE(Schedule!N1749:N1830)),IF(D21=Schedule!D1831,(AVERAGE(Schedule!N1832:N1913)),IF(D21=Schedule!D1914,(AVERAGE(Schedule!N1915:N1996)),IF(D21=Schedule!D1997,(AVERAGE(Schedule!N1998:N2079)),IF(D21=Schedule!D2080,(AVERAGE(Schedule!N2081:N2162)),IF(D21=Schedule!D2163,(AVERAGE(Schedule!N2164:N2245)),IF(D21=Schedule!D2246,(AVERAGE(Schedule!N2247:N2328)),IF(D21=Schedule!D2329,(AVERAGE(Schedule!N2330:N2411)),IF(D21=Schedule!D2412,(AVERAGE(Schedule!N2413:N2494))))))))))))))))))))))))))))))))</f>
        <v>115.5</v>
      </c>
      <c r="W17" s="192" t="s">
        <v>652</v>
      </c>
      <c r="X17" s="193">
        <f>IF(D21=Schedule!D5,(AVERAGE(Schedule!P6:P87)),IF(D21=Schedule!D88,(AVERAGE(Schedule!P89:P170)),IF(D21=Schedule!D171,(AVERAGE(Schedule!P172:P253)),IF(D21=Schedule!D254,(AVERAGE(Schedule!P255:P336)),IF(D21=Schedule!D337,(AVERAGE(Schedule!P338:P419)),IF(D21=Schedule!D420,(AVERAGE(Schedule!P421:P502)),IF(D21=Schedule!D503,(AVERAGE(Schedule!P504:P585)),IF(D21=Schedule!D586,(AVERAGE(Schedule!P587:P668)),IF(D21=Schedule!D669,(AVERAGE(Schedule!P670:P751)),IF(D21=Schedule!D752,(AVERAGE(Schedule!P753:P85834)),IF(D21=Schedule!D835,(AVERAGE(Schedule!P836:P917)),IF(D21=Schedule!D918,(AVERAGE(Schedule!P919:P1000)),IF(D21=Schedule!D1001,(AVERAGE(Schedule!P1002:P1083)),IF(D21=Schedule!D1084,(AVERAGE(Schedule!P1085:P1166)),IF(D21=Schedule!D1167,(AVERAGE(Schedule!P1168:P1249)),IF(D21=Schedule!D1250,(AVERAGE(Schedule!P1251:P1332)),IF(D21=Schedule!D1333,(AVERAGE(Schedule!P1334:P1415)),IF(D21=Schedule!D1416,(AVERAGE(Schedule!P1417:P1498)),IF(D21=Schedule!D1499,(AVERAGE(Schedule!P1500:P1581)),IF(D21=Schedule!D1582,(AVERAGE(Schedule!P1583:P1664)),IF(D21=Schedule!D1665,(AVERAGE(Schedule!P1666:P1747)),IF(D21=Schedule!D1748,(AVERAGE(Schedule!P1749:P1830)),IF(D21=Schedule!D1831,(AVERAGE(Schedule!P1832:P1913)),IF(D21=Schedule!D1914,(AVERAGE(Schedule!P1915:P1996)),IF(D21=Schedule!D1997,(AVERAGE(Schedule!P1998:P2079)),IF(D21=Schedule!D2080,(AVERAGE(Schedule!P2081:P2162)),IF(D21=Schedule!D2163,(AVERAGE(Schedule!P2164:P2245)),IF(D21=Schedule!D2246,(AVERAGE(Schedule!P2247:P2328)),IF(D21=Schedule!D2329,(AVERAGE(Schedule!P2330:P2411)),IF(D21=Schedule!D2412,(AVERAGE(Schedule!P2413:P2494))))))))))))))))))))))))))))))))</f>
        <v>97</v>
      </c>
      <c r="Y17" s="192" t="s">
        <v>639</v>
      </c>
    </row>
    <row r="18" spans="1:25" ht="15.75" hidden="1" customHeight="1" outlineLevel="1" x14ac:dyDescent="0.3">
      <c r="B18" s="309"/>
      <c r="C18" s="401" t="s">
        <v>632</v>
      </c>
      <c r="D18" s="401"/>
      <c r="E18" s="310"/>
      <c r="F18" s="311"/>
      <c r="G18" s="311"/>
      <c r="H18" s="311"/>
      <c r="I18" s="311"/>
      <c r="J18" s="311"/>
      <c r="K18" s="371" t="s">
        <v>1854</v>
      </c>
      <c r="L18" s="371"/>
      <c r="R18" s="158"/>
      <c r="S18" s="158"/>
      <c r="T18" s="158"/>
      <c r="U18" s="158"/>
    </row>
    <row r="19" spans="1:25" ht="15.75" hidden="1" customHeight="1" outlineLevel="1" x14ac:dyDescent="0.3">
      <c r="B19" s="309"/>
      <c r="C19" s="402"/>
      <c r="D19" s="402"/>
      <c r="E19" s="312"/>
      <c r="F19" s="312"/>
      <c r="G19" s="312"/>
      <c r="H19" s="312"/>
      <c r="I19" s="312"/>
      <c r="J19" s="313"/>
      <c r="K19" s="371"/>
      <c r="L19" s="371"/>
      <c r="O19" s="327"/>
      <c r="P19" s="327"/>
      <c r="Q19" s="327"/>
      <c r="R19" s="158"/>
      <c r="S19" s="158"/>
      <c r="T19" s="158"/>
      <c r="U19" s="158"/>
    </row>
    <row r="20" spans="1:25" ht="15.75" hidden="1" customHeight="1" outlineLevel="1" x14ac:dyDescent="0.3">
      <c r="B20" s="314"/>
      <c r="C20" s="315" t="s">
        <v>34</v>
      </c>
      <c r="D20" s="316" t="s">
        <v>35</v>
      </c>
      <c r="E20" s="312"/>
      <c r="F20" s="312"/>
      <c r="G20" s="312"/>
      <c r="H20" s="312"/>
      <c r="I20" s="312"/>
      <c r="J20" s="313"/>
      <c r="K20" s="356">
        <f>((F22)+(F22/2*1.1)+(F22/2*0.65))+IF(F22&lt;G22,10,0)</f>
        <v>106.875</v>
      </c>
      <c r="L20" s="356">
        <f>(G22)+(G22/2*1.1)+(G22/2*0.65)+IF(G22&lt;F22,10,0)</f>
        <v>109.375</v>
      </c>
      <c r="O20" s="327"/>
      <c r="P20" s="327"/>
      <c r="Q20" s="327"/>
      <c r="R20" s="158"/>
      <c r="S20" s="158"/>
      <c r="T20" s="158"/>
      <c r="U20" s="158"/>
    </row>
    <row r="21" spans="1:25" ht="15.75" hidden="1" customHeight="1" outlineLevel="1" x14ac:dyDescent="0.3">
      <c r="B21" s="317" t="s">
        <v>637</v>
      </c>
      <c r="C21" s="318" t="s">
        <v>26</v>
      </c>
      <c r="D21" s="318" t="s">
        <v>46</v>
      </c>
      <c r="E21" s="312"/>
      <c r="F21" s="319" t="s">
        <v>49</v>
      </c>
      <c r="G21" s="320" t="s">
        <v>50</v>
      </c>
      <c r="H21" s="312"/>
      <c r="I21" s="312"/>
      <c r="J21" s="313"/>
      <c r="K21" s="356"/>
      <c r="L21" s="356"/>
      <c r="O21" s="327"/>
      <c r="P21" s="327"/>
      <c r="Q21" s="327"/>
    </row>
    <row r="22" spans="1:25" ht="15.75" hidden="1" customHeight="1" outlineLevel="1" x14ac:dyDescent="0.25">
      <c r="B22" s="202" t="s">
        <v>37</v>
      </c>
      <c r="C22" s="189" t="str">
        <f>IF(F22&gt;G22,"X","")&amp;(IF(F22=G22,"X",""))</f>
        <v>X</v>
      </c>
      <c r="D22" s="189" t="str">
        <f>IF(G22&gt;F22,"X","")&amp;(IF(F22=G22,"X",""))</f>
        <v/>
      </c>
      <c r="E22" s="146"/>
      <c r="F22" s="323">
        <v>57</v>
      </c>
      <c r="G22" s="322">
        <v>53</v>
      </c>
      <c r="H22" s="387" t="s">
        <v>1855</v>
      </c>
      <c r="I22" s="387"/>
      <c r="J22" s="387"/>
      <c r="K22" s="371" t="s">
        <v>668</v>
      </c>
      <c r="L22" s="371"/>
      <c r="O22" s="327"/>
      <c r="P22" s="327"/>
      <c r="Q22" s="327"/>
    </row>
    <row r="23" spans="1:25" ht="15.75" hidden="1" customHeight="1" outlineLevel="1" x14ac:dyDescent="0.25">
      <c r="B23" s="202" t="s">
        <v>38</v>
      </c>
      <c r="C23" s="189" t="str">
        <f>IF(F23&gt;G23,"X","")&amp;(IF(F23=G23,"X",""))</f>
        <v/>
      </c>
      <c r="D23" s="189" t="str">
        <f>IF(G23&gt;F23,"X","")&amp;(IF(F23=G23,"X",""))</f>
        <v>X</v>
      </c>
      <c r="E23" s="146"/>
      <c r="F23" s="324">
        <v>21.5</v>
      </c>
      <c r="G23" s="322">
        <v>35</v>
      </c>
      <c r="H23" s="387"/>
      <c r="I23" s="387"/>
      <c r="J23" s="387"/>
      <c r="K23" s="371"/>
      <c r="L23" s="371"/>
      <c r="O23" s="327"/>
      <c r="P23" s="327"/>
      <c r="Q23" s="327"/>
    </row>
    <row r="24" spans="1:25" ht="15.75" hidden="1" customHeight="1" outlineLevel="1" x14ac:dyDescent="0.25">
      <c r="B24" s="202" t="s">
        <v>41</v>
      </c>
      <c r="C24" s="189" t="str">
        <f>IF(F24&gt;G24,"X","")&amp;(IF(F24=G24,"X",""))</f>
        <v/>
      </c>
      <c r="D24" s="189" t="str">
        <f>IF(G24&gt;F24,"X","")&amp;(IF(F24=G24,"X",""))</f>
        <v>X</v>
      </c>
      <c r="E24" s="146"/>
      <c r="F24" s="324">
        <v>54.5</v>
      </c>
      <c r="G24" s="322">
        <v>57</v>
      </c>
      <c r="H24" s="387"/>
      <c r="I24" s="387"/>
      <c r="J24" s="387"/>
      <c r="K24" s="372" t="s">
        <v>640</v>
      </c>
      <c r="L24" s="357">
        <f>SQRT((K20-L20)^2)</f>
        <v>2.5</v>
      </c>
      <c r="O24" s="327"/>
      <c r="P24" s="327"/>
      <c r="Q24" s="327"/>
    </row>
    <row r="25" spans="1:25" ht="15.75" hidden="1" customHeight="1" outlineLevel="1" x14ac:dyDescent="0.25">
      <c r="B25" s="202" t="s">
        <v>40</v>
      </c>
      <c r="C25" s="189" t="str">
        <f>IF(F25&gt;G25,"X","")&amp;(IF(F25=G25,"X",""))</f>
        <v>X</v>
      </c>
      <c r="D25" s="189" t="str">
        <f>IF(G25&gt;F25,"X","")&amp;(IF(F25=G25,"X",""))</f>
        <v/>
      </c>
      <c r="E25" s="146"/>
      <c r="F25" s="324">
        <v>92</v>
      </c>
      <c r="G25" s="322">
        <v>80.5</v>
      </c>
      <c r="H25" s="387"/>
      <c r="I25" s="387"/>
      <c r="J25" s="387"/>
      <c r="K25" s="372"/>
      <c r="L25" s="357"/>
    </row>
    <row r="26" spans="1:25" ht="15.75" hidden="1" customHeight="1" outlineLevel="1" x14ac:dyDescent="0.25">
      <c r="B26" s="202" t="s">
        <v>39</v>
      </c>
      <c r="C26" s="189" t="str">
        <f>IF(F26&gt;G26,"X","")&amp;(IF(F26=G26,"X",""))</f>
        <v/>
      </c>
      <c r="D26" s="189" t="str">
        <f>IF(G26&gt;F26,"X","")&amp;(IF(F26=G26,"X",""))</f>
        <v>X</v>
      </c>
      <c r="E26" s="146"/>
      <c r="F26" s="325">
        <v>34</v>
      </c>
      <c r="G26" s="326">
        <v>51.5</v>
      </c>
      <c r="H26" s="387"/>
      <c r="I26" s="387"/>
      <c r="J26" s="387"/>
      <c r="K26" s="371" t="s">
        <v>641</v>
      </c>
      <c r="L26" s="371"/>
    </row>
    <row r="27" spans="1:25" ht="15.75" hidden="1" customHeight="1" outlineLevel="1" x14ac:dyDescent="0.25">
      <c r="B27" s="202" t="s">
        <v>633</v>
      </c>
      <c r="C27" s="189" t="str">
        <f>IF(V13&gt;W13,"X","")&amp;(IF(V13=W13,"X",""))</f>
        <v/>
      </c>
      <c r="D27" s="189" t="str">
        <f>IF(W13&gt;V13,"X","")&amp;(IF(V13=W13,"X",""))</f>
        <v>X</v>
      </c>
      <c r="E27" s="305"/>
      <c r="F27" s="305"/>
      <c r="G27" s="305"/>
      <c r="H27" s="387"/>
      <c r="I27" s="387"/>
      <c r="J27" s="387"/>
      <c r="K27" s="356" t="s">
        <v>643</v>
      </c>
      <c r="L27" s="357">
        <f>K20+L20</f>
        <v>216.25</v>
      </c>
    </row>
    <row r="28" spans="1:25" ht="15.75" hidden="1" customHeight="1" outlineLevel="1" x14ac:dyDescent="0.25">
      <c r="B28" s="202" t="s">
        <v>634</v>
      </c>
      <c r="C28" s="189" t="str">
        <f>IF(V24&gt;W24,"X","")&amp;(IF(V24=W24,"X",""))</f>
        <v>X</v>
      </c>
      <c r="D28" s="189" t="str">
        <f>IF(G26&gt;F26,"X","")&amp;(IF(F26=G26,"X",""))</f>
        <v>X</v>
      </c>
      <c r="E28" s="305"/>
      <c r="F28" s="305"/>
      <c r="G28" s="305"/>
      <c r="H28" s="387"/>
      <c r="I28" s="387"/>
      <c r="J28" s="388"/>
      <c r="K28" s="356"/>
      <c r="L28" s="357"/>
    </row>
    <row r="29" spans="1:25" ht="27" hidden="1" customHeight="1" outlineLevel="1" x14ac:dyDescent="0.25">
      <c r="B29" s="359" t="str">
        <f>"D'après les statistiques, "&amp;"[ "&amp;IF(COUNTBLANK(C22:C28)&lt;COUNTBLANK(D22:D28),C21,D21)&amp;" ]"&amp;" est favori pour gagner le match"</f>
        <v>D'après les statistiques, [ San Antonio ] est favori pour gagner le match</v>
      </c>
      <c r="C29" s="360"/>
      <c r="D29" s="360"/>
      <c r="E29" s="360"/>
      <c r="F29" s="360"/>
      <c r="G29" s="360"/>
      <c r="H29" s="360"/>
      <c r="I29" s="361"/>
      <c r="J29" s="395" t="s">
        <v>672</v>
      </c>
      <c r="K29" s="396"/>
      <c r="L29" s="397"/>
    </row>
    <row r="30" spans="1:25" ht="18.95" hidden="1" customHeight="1" outlineLevel="1" x14ac:dyDescent="0.25">
      <c r="B30" s="359"/>
      <c r="C30" s="360"/>
      <c r="D30" s="360"/>
      <c r="E30" s="360"/>
      <c r="F30" s="360"/>
      <c r="G30" s="360"/>
      <c r="H30" s="360"/>
      <c r="I30" s="361"/>
      <c r="J30" s="398"/>
      <c r="K30" s="399"/>
      <c r="L30" s="400"/>
    </row>
    <row r="31" spans="1:25" ht="18.95" hidden="1" customHeight="1" outlineLevel="1" x14ac:dyDescent="0.25">
      <c r="B31" s="359"/>
      <c r="C31" s="360"/>
      <c r="D31" s="360"/>
      <c r="E31" s="360"/>
      <c r="F31" s="360"/>
      <c r="G31" s="360"/>
      <c r="H31" s="360"/>
      <c r="I31" s="361"/>
      <c r="J31" s="389">
        <f>AVERAGE((1.85*50+(SQRT((F22-G22)^2)^2)/100),(1.15*(50+(SQRT((V14-W14)^2)^2)/100)),(1.15*(50+(SQRT((V15-W15)^2)^2)/100)),((50+(SQRT((F23-G23)^2)^2)/100)),((50+(SQRT((F24-G24)^2)^2)/100)),((50+(SQRT((F25-G25)^2)^2)/100)),((50+(SQRT((F26-G26)^2)^2)/100)))*1.25</f>
        <v>95.069956919642863</v>
      </c>
      <c r="K31" s="390"/>
      <c r="L31" s="391"/>
    </row>
    <row r="32" spans="1:25" ht="18.95" hidden="1" customHeight="1" outlineLevel="1" x14ac:dyDescent="0.25">
      <c r="B32" s="384"/>
      <c r="C32" s="385"/>
      <c r="D32" s="385"/>
      <c r="E32" s="385"/>
      <c r="F32" s="385"/>
      <c r="G32" s="385"/>
      <c r="H32" s="385"/>
      <c r="I32" s="386"/>
      <c r="J32" s="392"/>
      <c r="K32" s="393"/>
      <c r="L32" s="394"/>
    </row>
    <row r="33" spans="1:59" ht="18.95" customHeight="1" collapsed="1" x14ac:dyDescent="0.3"/>
    <row r="34" spans="1:59" ht="18.95" customHeight="1" x14ac:dyDescent="0.25">
      <c r="A34" s="368" t="s">
        <v>43</v>
      </c>
      <c r="B34" s="368"/>
      <c r="C34" s="368"/>
      <c r="D34" s="368"/>
      <c r="E34" s="368"/>
      <c r="F34" s="368"/>
      <c r="G34" s="368"/>
      <c r="H34" s="368"/>
      <c r="I34" s="368"/>
      <c r="J34" s="368"/>
      <c r="K34" s="368"/>
      <c r="L34" s="368"/>
      <c r="M34" s="368"/>
      <c r="N34" s="368"/>
      <c r="O34" s="368"/>
    </row>
    <row r="35" spans="1:59" ht="18.95" customHeight="1" x14ac:dyDescent="0.25">
      <c r="A35" s="368"/>
      <c r="B35" s="368"/>
      <c r="C35" s="368"/>
      <c r="D35" s="368"/>
      <c r="E35" s="368"/>
      <c r="F35" s="368"/>
      <c r="G35" s="368"/>
      <c r="H35" s="368"/>
      <c r="I35" s="368"/>
      <c r="J35" s="368"/>
      <c r="K35" s="368"/>
      <c r="L35" s="368"/>
      <c r="M35" s="368"/>
      <c r="N35" s="368"/>
      <c r="O35" s="368"/>
    </row>
    <row r="36" spans="1:59" ht="18.95" customHeight="1" x14ac:dyDescent="0.25">
      <c r="A36" s="242"/>
      <c r="B36" s="243" t="s">
        <v>662</v>
      </c>
      <c r="C36" s="366">
        <f ca="1">TODAY()</f>
        <v>42671</v>
      </c>
      <c r="D36" s="366"/>
      <c r="E36" s="332" t="s">
        <v>663</v>
      </c>
      <c r="F36" s="332"/>
      <c r="G36" s="332"/>
      <c r="H36" s="333" t="str">
        <f>C40</f>
        <v>Atlanta</v>
      </c>
      <c r="I36" s="333"/>
      <c r="J36" s="245"/>
      <c r="K36" s="336" t="s">
        <v>1853</v>
      </c>
      <c r="L36" s="337"/>
      <c r="M36" s="338"/>
      <c r="N36" s="334" t="s">
        <v>2005</v>
      </c>
      <c r="O36" s="334"/>
    </row>
    <row r="37" spans="1:59" ht="18.95" customHeight="1" x14ac:dyDescent="0.3">
      <c r="A37" s="346" t="str">
        <f ca="1">SUM(Schedule!Q:Q)/2&amp;" rencontres sont programmées"</f>
        <v>8 rencontres sont programmées</v>
      </c>
      <c r="B37" s="346"/>
      <c r="C37" s="346"/>
      <c r="D37" s="346"/>
      <c r="E37" s="332" t="s">
        <v>664</v>
      </c>
      <c r="F37" s="332"/>
      <c r="G37" s="332"/>
      <c r="H37" s="333" t="str">
        <f>F40</f>
        <v>Denver</v>
      </c>
      <c r="I37" s="333"/>
      <c r="J37" s="245"/>
      <c r="K37" s="339"/>
      <c r="L37" s="340"/>
      <c r="M37" s="341"/>
      <c r="N37" s="335" t="s">
        <v>1212</v>
      </c>
      <c r="O37" s="335"/>
      <c r="AT37" s="2"/>
      <c r="AV37" s="3"/>
      <c r="AW37" s="3"/>
      <c r="BF37" s="237"/>
      <c r="BG37" s="237"/>
    </row>
    <row r="38" spans="1:59" ht="18.95" customHeight="1" x14ac:dyDescent="0.25">
      <c r="A38" s="244"/>
      <c r="B38" s="244"/>
      <c r="C38" s="345" t="s">
        <v>671</v>
      </c>
      <c r="D38" s="345"/>
      <c r="E38" s="345"/>
      <c r="F38" s="345"/>
      <c r="G38" s="345"/>
      <c r="H38" s="238"/>
      <c r="I38" s="238"/>
      <c r="J38" s="245"/>
      <c r="K38" s="342"/>
      <c r="L38" s="343"/>
      <c r="M38" s="344"/>
      <c r="N38" s="334" t="s">
        <v>670</v>
      </c>
      <c r="O38" s="334"/>
    </row>
    <row r="39" spans="1:59" ht="18.95" hidden="1" customHeight="1" outlineLevel="1" x14ac:dyDescent="0.25">
      <c r="A39" s="262"/>
      <c r="B39" s="244"/>
      <c r="C39" s="354" t="s">
        <v>30</v>
      </c>
      <c r="D39" s="354"/>
      <c r="E39" s="246"/>
      <c r="F39" s="354" t="s">
        <v>29</v>
      </c>
      <c r="G39" s="354"/>
      <c r="H39" s="238"/>
      <c r="I39" s="238"/>
      <c r="J39" s="245"/>
      <c r="K39" s="245"/>
      <c r="L39" s="245"/>
      <c r="M39" s="245"/>
      <c r="N39" s="245"/>
      <c r="O39" s="245"/>
    </row>
    <row r="40" spans="1:59" ht="18.95" hidden="1" customHeight="1" outlineLevel="1" x14ac:dyDescent="0.3">
      <c r="A40" s="241"/>
      <c r="B40" s="254"/>
      <c r="C40" s="115" t="str">
        <f t="shared" ref="C40:C54" si="3">INDEX($B$57:$B$71,MATCH(D40,$R$51:$R$65,0))</f>
        <v>Atlanta</v>
      </c>
      <c r="D40" s="115">
        <f>LARGE($R$51:$R$65,1)</f>
        <v>100</v>
      </c>
      <c r="E40" s="246"/>
      <c r="F40" s="115" t="str">
        <f t="shared" ref="F40:F54" si="4">INDEX($B$74:$B$88,MATCH(G40,$R$68:$R$82,0))</f>
        <v>Denver</v>
      </c>
      <c r="G40" s="115">
        <f>LARGE($R$68:$R$82,1)</f>
        <v>100</v>
      </c>
      <c r="H40" s="238"/>
      <c r="I40" s="241"/>
      <c r="J40" s="241"/>
      <c r="K40" s="245"/>
      <c r="L40" s="245"/>
      <c r="M40" s="245"/>
      <c r="N40" s="245"/>
      <c r="O40" s="245"/>
    </row>
    <row r="41" spans="1:59" ht="18.95" hidden="1" customHeight="1" outlineLevel="1" x14ac:dyDescent="0.3">
      <c r="A41" s="241"/>
      <c r="B41" s="254"/>
      <c r="C41" s="115" t="str">
        <f t="shared" si="3"/>
        <v>Atlanta</v>
      </c>
      <c r="D41" s="115">
        <f>LARGE($R$51:$R$65,2)</f>
        <v>100</v>
      </c>
      <c r="E41" s="246"/>
      <c r="F41" s="115" t="str">
        <f t="shared" si="4"/>
        <v>Denver</v>
      </c>
      <c r="G41" s="115">
        <f>LARGE($R$68:$R$82,2)</f>
        <v>100</v>
      </c>
      <c r="H41" s="238"/>
      <c r="I41" s="241"/>
      <c r="J41" s="241"/>
      <c r="K41" s="245"/>
      <c r="L41" s="245"/>
      <c r="M41" s="245"/>
      <c r="N41" s="245"/>
      <c r="O41" s="245"/>
    </row>
    <row r="42" spans="1:59" ht="18.95" hidden="1" customHeight="1" outlineLevel="1" x14ac:dyDescent="0.3">
      <c r="A42" s="241"/>
      <c r="B42" s="254"/>
      <c r="C42" s="115" t="str">
        <f t="shared" si="3"/>
        <v>Atlanta</v>
      </c>
      <c r="D42" s="115">
        <f>LARGE($R$51:$R$65,3)</f>
        <v>100</v>
      </c>
      <c r="E42" s="246"/>
      <c r="F42" s="115" t="str">
        <f t="shared" si="4"/>
        <v>Denver</v>
      </c>
      <c r="G42" s="115">
        <f>LARGE($R$68:$R$82,3)</f>
        <v>100</v>
      </c>
      <c r="H42" s="238"/>
      <c r="I42" s="241"/>
      <c r="J42" s="241"/>
      <c r="K42" s="245"/>
      <c r="L42" s="245"/>
      <c r="M42" s="245"/>
      <c r="N42" s="245"/>
      <c r="O42" s="245"/>
    </row>
    <row r="43" spans="1:59" ht="18.95" hidden="1" customHeight="1" outlineLevel="1" x14ac:dyDescent="0.3">
      <c r="A43" s="241"/>
      <c r="B43" s="254"/>
      <c r="C43" s="115" t="str">
        <f t="shared" si="3"/>
        <v>Atlanta</v>
      </c>
      <c r="D43" s="115">
        <f>LARGE($R$51:$R$65,4)</f>
        <v>100</v>
      </c>
      <c r="E43" s="246"/>
      <c r="F43" s="115" t="str">
        <f t="shared" si="4"/>
        <v>Denver</v>
      </c>
      <c r="G43" s="115">
        <f>LARGE($R$68:$R$82,4)</f>
        <v>100</v>
      </c>
      <c r="H43" s="238"/>
      <c r="I43" s="241"/>
      <c r="J43" s="241"/>
      <c r="K43" s="245"/>
      <c r="L43" s="245"/>
      <c r="M43" s="245"/>
      <c r="N43" s="245"/>
      <c r="O43" s="245"/>
    </row>
    <row r="44" spans="1:59" ht="18.95" hidden="1" customHeight="1" outlineLevel="1" x14ac:dyDescent="0.3">
      <c r="A44" s="241"/>
      <c r="B44" s="254"/>
      <c r="C44" s="115" t="str">
        <f t="shared" si="3"/>
        <v>Atlanta</v>
      </c>
      <c r="D44" s="115">
        <f>LARGE($R$51:$R$65,5)</f>
        <v>100</v>
      </c>
      <c r="E44" s="246"/>
      <c r="F44" s="115" t="str">
        <f t="shared" si="4"/>
        <v>Denver</v>
      </c>
      <c r="G44" s="115">
        <f>LARGE($R$68:$R$82,5)</f>
        <v>100</v>
      </c>
      <c r="H44" s="238"/>
      <c r="I44" s="241"/>
      <c r="J44" s="241"/>
      <c r="K44" s="245"/>
      <c r="L44" s="245"/>
      <c r="M44" s="245"/>
      <c r="N44" s="245"/>
      <c r="O44" s="245"/>
    </row>
    <row r="45" spans="1:59" ht="18.95" hidden="1" customHeight="1" outlineLevel="1" x14ac:dyDescent="0.3">
      <c r="A45" s="241"/>
      <c r="B45" s="254"/>
      <c r="C45" s="115" t="str">
        <f t="shared" si="3"/>
        <v>Atlanta</v>
      </c>
      <c r="D45" s="115">
        <f>LARGE($R$51:$R$65,6)</f>
        <v>100</v>
      </c>
      <c r="E45" s="246"/>
      <c r="F45" s="115" t="str">
        <f t="shared" si="4"/>
        <v>Denver</v>
      </c>
      <c r="G45" s="115">
        <f>LARGE($R$68:$R$82,6)</f>
        <v>100</v>
      </c>
      <c r="H45" s="238"/>
      <c r="I45" s="241"/>
      <c r="J45" s="241"/>
      <c r="K45" s="245"/>
      <c r="L45" s="245"/>
      <c r="M45" s="245"/>
      <c r="N45" s="245"/>
      <c r="O45" s="245"/>
    </row>
    <row r="46" spans="1:59" ht="18.95" hidden="1" customHeight="1" outlineLevel="1" x14ac:dyDescent="0.3">
      <c r="A46" s="241"/>
      <c r="B46" s="254"/>
      <c r="C46" s="115" t="str">
        <f t="shared" si="3"/>
        <v>Atlanta</v>
      </c>
      <c r="D46" s="115">
        <f>LARGE($R$51:$R$65,7)</f>
        <v>100</v>
      </c>
      <c r="E46" s="246"/>
      <c r="F46" s="115" t="str">
        <f t="shared" si="4"/>
        <v>Portland</v>
      </c>
      <c r="G46" s="115">
        <f>LARGE($R$68:$R$82,7)</f>
        <v>50</v>
      </c>
      <c r="H46" s="238"/>
      <c r="I46" s="241"/>
      <c r="J46" s="241"/>
      <c r="K46" s="245"/>
      <c r="L46" s="245"/>
      <c r="M46" s="245"/>
      <c r="N46" s="245"/>
      <c r="O46" s="245"/>
    </row>
    <row r="47" spans="1:59" ht="18.95" hidden="1" customHeight="1" outlineLevel="1" x14ac:dyDescent="0.3">
      <c r="A47" s="241"/>
      <c r="B47" s="254"/>
      <c r="C47" s="115" t="str">
        <f t="shared" si="3"/>
        <v>Boston</v>
      </c>
      <c r="D47" s="115">
        <f>LARGE($R$51:$R$65,8)</f>
        <v>50</v>
      </c>
      <c r="E47" s="246"/>
      <c r="F47" s="115" t="str">
        <f t="shared" si="4"/>
        <v>Portland</v>
      </c>
      <c r="G47" s="115">
        <f>LARGE($R$68:$R$82,8)</f>
        <v>50</v>
      </c>
      <c r="H47" s="238"/>
      <c r="I47" s="241"/>
      <c r="J47" s="241"/>
      <c r="K47" s="245"/>
      <c r="L47" s="245"/>
      <c r="M47" s="245"/>
      <c r="N47" s="245"/>
      <c r="O47" s="245"/>
    </row>
    <row r="48" spans="1:59" ht="18.95" hidden="1" customHeight="1" outlineLevel="1" x14ac:dyDescent="0.3">
      <c r="A48" s="241"/>
      <c r="B48" s="254"/>
      <c r="C48" s="115" t="str">
        <f t="shared" si="3"/>
        <v>Brooklyn</v>
      </c>
      <c r="D48" s="115">
        <f>LARGE($R$51:$R$65,9)</f>
        <v>0</v>
      </c>
      <c r="E48" s="246"/>
      <c r="F48" s="115" t="str">
        <f t="shared" si="4"/>
        <v>Dallas</v>
      </c>
      <c r="G48" s="115">
        <f>LARGE($R$68:$R$82,9)</f>
        <v>0</v>
      </c>
      <c r="H48" s="238"/>
      <c r="I48" s="241"/>
      <c r="J48" s="241"/>
      <c r="K48" s="245"/>
      <c r="L48" s="245"/>
      <c r="M48" s="245"/>
      <c r="N48" s="245"/>
      <c r="O48" s="245"/>
    </row>
    <row r="49" spans="1:18" ht="24" hidden="1" customHeight="1" outlineLevel="1" x14ac:dyDescent="0.3">
      <c r="A49" s="241"/>
      <c r="B49" s="254"/>
      <c r="C49" s="115" t="str">
        <f t="shared" si="3"/>
        <v>Brooklyn</v>
      </c>
      <c r="D49" s="115">
        <f>LARGE($R$51:$R$65,10)</f>
        <v>0</v>
      </c>
      <c r="E49" s="246"/>
      <c r="F49" s="115" t="str">
        <f t="shared" si="4"/>
        <v>Dallas</v>
      </c>
      <c r="G49" s="115">
        <f>LARGE($R$68:$R$82,10)</f>
        <v>0</v>
      </c>
      <c r="H49" s="238"/>
      <c r="I49" s="241"/>
      <c r="J49" s="241"/>
      <c r="K49" s="245"/>
      <c r="L49" s="245"/>
      <c r="M49" s="245"/>
      <c r="N49" s="245"/>
      <c r="O49" s="245"/>
    </row>
    <row r="50" spans="1:18" ht="26.25" hidden="1" outlineLevel="1" x14ac:dyDescent="0.3">
      <c r="A50" s="241"/>
      <c r="B50" s="254"/>
      <c r="C50" s="115" t="str">
        <f t="shared" si="3"/>
        <v>Brooklyn</v>
      </c>
      <c r="D50" s="115">
        <f>LARGE($R$51:$R$65,11)</f>
        <v>0</v>
      </c>
      <c r="E50" s="246"/>
      <c r="F50" s="115" t="str">
        <f t="shared" si="4"/>
        <v>Dallas</v>
      </c>
      <c r="G50" s="115">
        <f>LARGE($R$68:$R$82,11)</f>
        <v>0</v>
      </c>
      <c r="H50" s="238"/>
      <c r="I50" s="241"/>
      <c r="J50" s="241"/>
      <c r="K50" s="245"/>
      <c r="L50" s="245"/>
      <c r="M50" s="245"/>
      <c r="N50" s="245"/>
      <c r="O50" s="245"/>
    </row>
    <row r="51" spans="1:18" ht="26.25" hidden="1" outlineLevel="1" x14ac:dyDescent="0.3">
      <c r="A51" s="241"/>
      <c r="B51" s="254"/>
      <c r="C51" s="115" t="str">
        <f t="shared" si="3"/>
        <v>Brooklyn</v>
      </c>
      <c r="D51" s="115">
        <f>LARGE($R$51:$R$65,12)</f>
        <v>0</v>
      </c>
      <c r="E51" s="246"/>
      <c r="F51" s="115" t="str">
        <f t="shared" si="4"/>
        <v>Dallas</v>
      </c>
      <c r="G51" s="115">
        <f>LARGE($R$68:$R$82,12)</f>
        <v>0</v>
      </c>
      <c r="H51" s="238"/>
      <c r="I51" s="241"/>
      <c r="J51" s="241"/>
      <c r="K51" s="245"/>
      <c r="L51" s="245"/>
      <c r="M51" s="245"/>
      <c r="N51" s="245"/>
      <c r="O51" s="245"/>
      <c r="R51">
        <f t="shared" ref="R51:R65" si="5">((C57+F57)*100)/SUM(C57,D57,F57,G57)</f>
        <v>100</v>
      </c>
    </row>
    <row r="52" spans="1:18" ht="26.25" hidden="1" outlineLevel="1" x14ac:dyDescent="0.3">
      <c r="A52" s="241"/>
      <c r="B52" s="254"/>
      <c r="C52" s="115" t="str">
        <f t="shared" si="3"/>
        <v>Brooklyn</v>
      </c>
      <c r="D52" s="115">
        <f>LARGE($R$51:$R$65,13)</f>
        <v>0</v>
      </c>
      <c r="E52" s="246"/>
      <c r="F52" s="115" t="str">
        <f t="shared" si="4"/>
        <v>Dallas</v>
      </c>
      <c r="G52" s="115">
        <f>LARGE($R$68:$R$82,13)</f>
        <v>0</v>
      </c>
      <c r="H52" s="238"/>
      <c r="I52" s="241"/>
      <c r="J52" s="241"/>
      <c r="K52" s="245"/>
      <c r="L52" s="245"/>
      <c r="M52" s="245"/>
      <c r="N52" s="245"/>
      <c r="O52" s="245"/>
      <c r="R52">
        <f t="shared" si="5"/>
        <v>50</v>
      </c>
    </row>
    <row r="53" spans="1:18" ht="26.25" hidden="1" outlineLevel="1" x14ac:dyDescent="0.3">
      <c r="A53" s="241"/>
      <c r="B53" s="254"/>
      <c r="C53" s="115" t="str">
        <f t="shared" si="3"/>
        <v>Brooklyn</v>
      </c>
      <c r="D53" s="115">
        <f>LARGE($R$51:$R$65,14)</f>
        <v>0</v>
      </c>
      <c r="E53" s="246"/>
      <c r="F53" s="115" t="str">
        <f t="shared" si="4"/>
        <v>Dallas</v>
      </c>
      <c r="G53" s="115">
        <f>LARGE($R$68:$R$82,14)</f>
        <v>0</v>
      </c>
      <c r="H53" s="238"/>
      <c r="I53" s="241"/>
      <c r="J53" s="241"/>
      <c r="K53" s="245"/>
      <c r="L53" s="245"/>
      <c r="M53" s="245"/>
      <c r="N53" s="245"/>
      <c r="O53" s="245"/>
      <c r="R53">
        <f t="shared" si="5"/>
        <v>0</v>
      </c>
    </row>
    <row r="54" spans="1:18" ht="26.25" hidden="1" outlineLevel="1" x14ac:dyDescent="0.3">
      <c r="A54" s="241"/>
      <c r="B54" s="256"/>
      <c r="C54" s="115" t="str">
        <f t="shared" si="3"/>
        <v>Brooklyn</v>
      </c>
      <c r="D54" s="115">
        <f>LARGE($R$51:$R$65,15)</f>
        <v>0</v>
      </c>
      <c r="E54" s="257"/>
      <c r="F54" s="115" t="str">
        <f t="shared" si="4"/>
        <v>Dallas</v>
      </c>
      <c r="G54" s="115">
        <f>LARGE($R$68:$R$82,15)</f>
        <v>0</v>
      </c>
      <c r="H54" s="258"/>
      <c r="I54" s="259"/>
      <c r="J54" s="241"/>
      <c r="K54" s="245"/>
      <c r="L54" s="245"/>
      <c r="M54" s="245"/>
      <c r="N54" s="245"/>
      <c r="O54" s="245"/>
      <c r="R54">
        <f t="shared" si="5"/>
        <v>100</v>
      </c>
    </row>
    <row r="55" spans="1:18" collapsed="1" x14ac:dyDescent="0.3">
      <c r="B55" s="1" t="s">
        <v>31</v>
      </c>
      <c r="C55" s="347" t="s">
        <v>34</v>
      </c>
      <c r="D55" s="348"/>
      <c r="E55" s="70"/>
      <c r="F55" s="347" t="s">
        <v>35</v>
      </c>
      <c r="G55" s="348"/>
      <c r="H55" s="70"/>
      <c r="P55" s="165"/>
      <c r="R55">
        <f t="shared" si="5"/>
        <v>100</v>
      </c>
    </row>
    <row r="56" spans="1:18" ht="19.5" thickBot="1" x14ac:dyDescent="0.35">
      <c r="A56" t="s">
        <v>673</v>
      </c>
      <c r="B56" s="32" t="s">
        <v>30</v>
      </c>
      <c r="C56" s="25" t="s">
        <v>32</v>
      </c>
      <c r="D56" s="31" t="s">
        <v>33</v>
      </c>
      <c r="E56" s="31" t="s">
        <v>36</v>
      </c>
      <c r="F56" s="25" t="s">
        <v>32</v>
      </c>
      <c r="G56" s="31" t="s">
        <v>33</v>
      </c>
      <c r="H56" s="31" t="s">
        <v>36</v>
      </c>
      <c r="I56" s="24" t="s">
        <v>37</v>
      </c>
      <c r="J56" s="4" t="s">
        <v>38</v>
      </c>
      <c r="K56" s="4" t="s">
        <v>41</v>
      </c>
      <c r="L56" s="4" t="s">
        <v>40</v>
      </c>
      <c r="M56" s="4" t="s">
        <v>39</v>
      </c>
      <c r="N56" s="4" t="s">
        <v>224</v>
      </c>
      <c r="O56" s="4" t="s">
        <v>665</v>
      </c>
      <c r="R56">
        <f t="shared" si="5"/>
        <v>100</v>
      </c>
    </row>
    <row r="57" spans="1:18" ht="19.5" thickTop="1" x14ac:dyDescent="0.3">
      <c r="A57" s="77"/>
      <c r="B57" s="5" t="s">
        <v>0</v>
      </c>
      <c r="C57" s="42">
        <f>SUM(Schedule!G6,Schedule!G8,Schedule!G9,Schedule!G11,Schedule!G13,Schedule!G14,Schedule!G16,Schedule!G19,Schedule!G25,Schedule!G27,Schedule!G28,Schedule!G30,Schedule!G32,Schedule!G34,Schedule!G37,Schedule!G38,Schedule!G39,Schedule!G44,Schedule!G45,Schedule!G48,Schedule!G49,Schedule!G50,Schedule!G52,Schedule!G53,Schedule!G56,Schedule!G57,Schedule!G58,Schedule!G62,Schedule!G65,Schedule!G66,Schedule!G67,Schedule!G68,Schedule!G69,Schedule!G70,Schedule!G73,Schedule!G74,Schedule!G78,Schedule!G79,Schedule!G83,Schedule!G85,Schedule!G86)</f>
        <v>1</v>
      </c>
      <c r="D57" s="42">
        <f>IF(Schedule!G6=0,1,0)+IF(Schedule!G8=0,1,0)+IF(Schedule!G9=0,1,0)+IF(Schedule!G11=0,1,0)+IF(Schedule!G13=0,1,0)+IF(Schedule!G14=0,1,0)+IF(Schedule!G16=0,1,0)+IF(Schedule!G19=0,1,0)+IF(Schedule!G25=0,1,0)+IF(Schedule!G27=0,1,0)+IF(Schedule!G28=0,1,0)+IF(Schedule!G30=0,1,0)+IF(Schedule!G32=0,1,0)+IF(Schedule!G34=0,1,0)+IF(Schedule!G37=0,1,0)+IF(Schedule!G38=0,1,0)+IF(Schedule!G39=0,1,0)+IF(Schedule!G44=0,1,0)+IF(Schedule!G45=0,1,0)+IF(Schedule!G48=0,1,0)+IF(Schedule!G49=0,1,0)+IF(Schedule!G50=0,1,0)+IF(Schedule!G52=0,1,0)+IF(Schedule!G53=0,1,0)+IF(Schedule!G56=0,1,0)+IF(Schedule!G57=0,1,0)+IF(Schedule!G58=0,1,0)+IF(Schedule!G62=0,1,0)+IF(Schedule!G65=0,1,0)+IF(Schedule!G66=0,1,0)+IF(Schedule!G67=0,1,0)+IF(Schedule!G68=0,1,0)+IF(Schedule!G69=0,1,0)+IF(Schedule!G70=0,1,0)+IF(Schedule!G73=0,1,0)+IF(Schedule!G74=0,1,0)+IF(Schedule!G78=0,1,0)+IF(Schedule!G79=0,1,0)+IF(Schedule!G83=0,1,0)+IF(Schedule!G85=0,1,0)+IF(Schedule!G86=0,1,0)</f>
        <v>0</v>
      </c>
      <c r="E57" s="281">
        <f>(C57*100)/SUM(C57+D57)</f>
        <v>100</v>
      </c>
      <c r="F57" s="26">
        <f>SUM(Schedule!G7,Schedule!G10,Schedule!G12,Schedule!G15,Schedule!G17,Schedule!G18,Schedule!G20,Schedule!G21,Schedule!G22,Schedule!G23,Schedule!G24,Schedule!G26,Schedule!G29,Schedule!G31,Schedule!G33,Schedule!G35,Schedule!G36,Schedule!G40,Schedule!G41,Schedule!G42,Schedule!G46,Schedule!G47,Schedule!G51,Schedule!G54,Schedule!G55,Schedule!G59,Schedule!G60,Schedule!G61,Schedule!G63,Schedule!G64,Schedule!G71,Schedule!G72,Schedule!G75,Schedule!G76,Schedule!G77,Schedule!G80,Schedule!G81,Schedule!G82,Schedule!G84,Schedule!G87)</f>
        <v>0</v>
      </c>
      <c r="G57" s="42">
        <f>IF(Schedule!G7=0,1,0)+IF(Schedule!G10=0,1,0)+IF(Schedule!G12=0,1,0)+IF(Schedule!G15=0,1,0)+IF(Schedule!G17=0,1,0)+IF(Schedule!G18=0,1,0)+IF(Schedule!G20=0,1,0)+IF(Schedule!G21=0,1,0)+IF(Schedule!G22=0,1,0)+IF(Schedule!G23=0,1,0)+IF(Schedule!G24=0,1,0)+IF(Schedule!G26=0,1,0)+IF(Schedule!G29=0,1,0)+IF(Schedule!G31=0,1,0)+IF(Schedule!G33=0,1,0)+IF(Schedule!G35=0,1,0)+IF(Schedule!G36=0,1,0)+IF(Schedule!G40=0,1,0)+IF(Schedule!G41=0,1,0)+IF(Schedule!G42=0,1,0)+IF(Schedule!G43=0,1,0)+IF(Schedule!G46=0,1,0)+IF(Schedule!G47=0,1,0)+IF(Schedule!G51=0,1,0)+IF(Schedule!G54=0,1,0)+IF(Schedule!G55=0,1,0)+IF(Schedule!G59=0,1,0)+IF(Schedule!G60=0,1,0)+IF(Schedule!G61=0,1,0)+IF(Schedule!G63=0,1,0)+IF(Schedule!G64=0,1,0)+IF(Schedule!G71=0,1,0)+IF(Schedule!G72=0,1,0)+IF(Schedule!G75=0,1,0)+IF(Schedule!G76=0,1,0)+IF(Schedule!G77=0,1,0)+IF(Schedule!G80=0,1,0)+IF(Schedule!G81=0,1,0)+IF(Schedule!G82=0,1,0)+IF(Schedule!G84=0,1,0)+IF(Schedule!G87=0,1,0)</f>
        <v>0</v>
      </c>
      <c r="H57" s="266" t="e">
        <f>(F57*100)/SUM(F57,G57)</f>
        <v>#DIV/0!</v>
      </c>
      <c r="I57" s="47">
        <f>AVERAGE(Schedule!H6:H87)</f>
        <v>114</v>
      </c>
      <c r="J57" s="47">
        <f>AVERAGE(Schedule!I6:I87)</f>
        <v>46</v>
      </c>
      <c r="K57" s="47">
        <f>AVERAGE(Schedule!J6:J87)</f>
        <v>52</v>
      </c>
      <c r="L57" s="47">
        <f>AVERAGE(Schedule!K6:K87)</f>
        <v>78</v>
      </c>
      <c r="M57" s="47">
        <f>AVERAGE(Schedule!L6:L87)</f>
        <v>50</v>
      </c>
      <c r="N57" s="47" t="e">
        <f>AVERAGE(PER!H27:H46)</f>
        <v>#DIV/0!</v>
      </c>
      <c r="O57" s="47" t="e">
        <f>AVERAGE(INDEX(PER!H27:H46,MATCH(MAX(PER!I27:I46,1),PER!I27:I46,0)),(INDEX(PER!H27:H46,MATCH(LARGE(PER!I27:I46,2),PER!I27:I46,0))),(INDEX(PER!H27:H46,MATCH(LARGE(PER!I27:I46,3),PER!I27:I46,0))),(INDEX(PER!H27:H46,MATCH(LARGE(PER!I27:I46,4),PER!I27:I46,0))),(INDEX(PER!H27:H46,MATCH(LARGE(PER!I27:I46,5),PER!I27:I46,0))))</f>
        <v>#N/A</v>
      </c>
      <c r="R57">
        <f t="shared" si="5"/>
        <v>0</v>
      </c>
    </row>
    <row r="58" spans="1:18" x14ac:dyDescent="0.3">
      <c r="A58" s="77"/>
      <c r="B58" s="6" t="s">
        <v>1</v>
      </c>
      <c r="C58" s="28">
        <f>SUM(Schedule!G89,Schedule!G92,Schedule!G94,Schedule!G96,Schedule!G99,Schedule!G100,Schedule!G104,Schedule!G106,Schedule!G107,Schedule!G111,Schedule!G114,Schedule!G118,Schedule!G120,Schedule!G123,Schedule!G122,Schedule!G124,Schedule!G125,Schedule!G127,Schedule!G129,Schedule!G130,Schedule!G131,Schedule!G133,Schedule!G134,Schedule!G136,Schedule!G137,Schedule!G138,Schedule!G139,Schedule!G144,Schedule!G148,Schedule!G149,Schedule!G155,Schedule!G156,Schedule!G159,Schedule!G160,Schedule!G161,Schedule!G162,Schedule!G163,Schedule!G164,Schedule!G166,Schedule!G169,Schedule!G170)</f>
        <v>1</v>
      </c>
      <c r="D58" s="112">
        <f>IF(Schedule!G89=0,1,0)+IF(Schedule!G92=0,1,0)+IF(Schedule!G94=0,1,0)+IF(Schedule!G96=0,1,0)+IF(Schedule!G99=0,1,0)+IF(Schedule!G100=0,1,0)+IF(Schedule!G104=0,1,0)+IF(Schedule!G106=0,1,0)+IF(Schedule!G107=0,1,0)+IF(Schedule!G111=0,1,0)+IF(Schedule!G114=0,1,0)+IF(Schedule!G118=0,1,0)+IF(Schedule!G120=0,1,0)+IF(Schedule!G123=0,1,0)+IF(Schedule!G122=0,1,0)+IF(Schedule!G124=0,1,0)+IF(Schedule!G125=0,1,0)+IF(Schedule!G127=0,1,0)+IF(Schedule!G129=0,1,0)+IF(Schedule!G130=0,1,0)+IF(Schedule!G131=0,1,0)+IF(Schedule!G133=0,1,0)+IF(Schedule!G134=0,1,0)+IF(Schedule!G136=0,1,0)+IF(Schedule!G137=0,1,0)+IF(Schedule!G138=0,1,0)+IF(Schedule!G139=0,1,0)+IF(Schedule!G144=0,1,0)+IF(Schedule!G148=0,1,0)+IF(Schedule!G149=0,1,0)+IF(Schedule!G155=0,1,0)+IF(Schedule!G156=0,1,0)+IF(Schedule!G159=0,1,0)+IF(Schedule!G160=0,1,0)+IF(Schedule!G161=0,1,0)+IF(Schedule!G162=0,1,0)+IF(Schedule!G163=0,1,0)+IF(Schedule!G164=0,1,0)+IF(Schedule!G166=0,1,0)+IF(Schedule!G169=0,1,0)+IF(Schedule!G170=0,1,0)</f>
        <v>0</v>
      </c>
      <c r="E58" s="281">
        <f t="shared" ref="E58:E88" si="6">(C58*100)/SUM(C58+D58)</f>
        <v>100</v>
      </c>
      <c r="F58" s="7">
        <f>SUM(Schedule!G90,Schedule!G91,Schedule!G93,Schedule!G95,Schedule!G97,Schedule!G98,Schedule!G101,Schedule!G102,Schedule!G103,Schedule!G105,Schedule!G108,Schedule!G109,Schedule!G110,Schedule!G112,Schedule!G113,Schedule!G115,Schedule!G116,Schedule!G117,Schedule!G119,Schedule!G121,Schedule!G126,Schedule!G128,Schedule!G132,Schedule!G135,Schedule!G140,Schedule!G141,Schedule!G142,Schedule!G143,Schedule!G145,Schedule!G146,Schedule!G147,Schedule!G150,Schedule!G151,Schedule!G152,Schedule!G153,Schedule!G154,Schedule!G157,Schedule!G158,Schedule!G165,Schedule!G167,Schedule!G168)</f>
        <v>0</v>
      </c>
      <c r="G58" s="27">
        <f>IF(Schedule!G90=0,1,0)+IF(Schedule!G91=0,1,0)+IF(Schedule!G93=0,1,0)+IF(Schedule!G95=0,1,0)+IF(Schedule!G97=0,1,0)+IF(Schedule!G98=0,1,0)+IF(Schedule!G101=0,1,0)+IF(Schedule!G102=0,1,0)+IF(Schedule!G103=0,1,0)+IF(Schedule!G105=0,1,0)+IF(Schedule!G108=0,1,0)+IF(Schedule!G109=0,1,0)+IF(Schedule!G110=0,1,0)+IF(Schedule!G112=0,1,0)+IF(Schedule!G113=0,1,0)+IF(Schedule!G115=0,1,0)+IF(Schedule!G116=0,1,0)+IF(Schedule!G117=0,1,0)+IF(Schedule!G119=0,1,0)+IF(Schedule!G121=0,1,0)+IF(Schedule!G126=0,1,0)+IF(Schedule!G128=0,1,0)+IF(Schedule!G132=0,1,0)+IF(Schedule!G135=0,1,0)+IF(Schedule!G140=0,1,0)+IF(Schedule!G141=0,1,0)+IF(Schedule!G142=0,1,0)+IF(Schedule!G143=0,1,0)+IF(Schedule!G145=0,1,0)+IF(Schedule!G146=0,1,0)+IF(Schedule!G147=0,1,0)+IF(Schedule!G150=0,1,0)+IF(Schedule!G151=0,1,0)+IF(Schedule!G152=0,1,0)+IF(Schedule!G153=0,1,0)+IF(Schedule!G154=0,1,0)+IF(Schedule!G157=0,1,0)+IF(Schedule!G158=0,1,0)+IF(Schedule!G165=0,1,0)+IF(Schedule!G167=0,1,0)+IF(Schedule!G168=0,1,0)</f>
        <v>1</v>
      </c>
      <c r="H58" s="266">
        <f t="shared" ref="H58:H88" si="7">(F58*100)/SUM(F58,G58)</f>
        <v>0</v>
      </c>
      <c r="I58" s="27">
        <f>AVERAGE(Schedule!H89:H170)</f>
        <v>110.5</v>
      </c>
      <c r="J58" s="27">
        <f>AVERAGE(Schedule!I89:I170)</f>
        <v>34.5</v>
      </c>
      <c r="K58" s="27">
        <f>AVERAGE(Schedule!J89:J170)</f>
        <v>61</v>
      </c>
      <c r="L58" s="27">
        <f>AVERAGE(Schedule!K89:K170)</f>
        <v>73</v>
      </c>
      <c r="M58" s="27">
        <f>AVERAGE(Schedule!L89:L170)</f>
        <v>49</v>
      </c>
      <c r="N58" s="121">
        <f>AVERAGE(PER!H48:H67)</f>
        <v>19.850000000000001</v>
      </c>
      <c r="O58" s="47">
        <f>AVERAGE(INDEX(PER!H48:H67,MATCH(MAX(PER!I48:I67,1),PER!I48:I67,0)),(INDEX(PER!H48:H67,MATCH(LARGE(PER!I48:I67,2),PER!I48:I67,0))),(INDEX(PER!H48:H67,MATCH(LARGE(PER!I48:I67,3),PER!I48:I67,0))),(INDEX(PER!H48:H67,MATCH(LARGE(PER!I48:I67,4),PER!I48:I67,0))),(INDEX(PER!H48:H67,MATCH(LARGE(PER!I48:I67,5),PER!I48:I67,0))))</f>
        <v>29.1</v>
      </c>
      <c r="R58">
        <f t="shared" si="5"/>
        <v>100</v>
      </c>
    </row>
    <row r="59" spans="1:18" x14ac:dyDescent="0.3">
      <c r="A59" s="77"/>
      <c r="B59" s="8" t="s">
        <v>45</v>
      </c>
      <c r="C59" s="29">
        <f>SUM(Schedule!G173,Schedule!G175,Schedule!G176,Schedule!G177,Schedule!G178,Schedule!G184,Schedule!G185,Schedule!G187,Schedule!G188,Schedule!G189,Schedule!G191,Schedule!G192,Schedule!G195,Schedule!G199,Schedule!G201,Schedule!G204,Schedule!G206,Schedule!G207,Schedule!G208,Schedule!G209,Schedule!G211,Schedule!G212,Schedule!G215,Schedule!G216,Schedule!G220,Schedule!G221,Schedule!G222,Schedule!G224,Schedule!G225,Schedule!G226,Schedule!G227,Schedule!G236,Schedule!G237,Schedule!G239,Schedule!G240,Schedule!G241,Schedule!G242,Schedule!G245,Schedule!G247,Schedule!G248,Schedule!G251)</f>
        <v>0</v>
      </c>
      <c r="D59" s="26">
        <f>IF(Schedule!G173=0,1,0)+IF(Schedule!G175=0,1,0)+IF(Schedule!G176=0,1,0)+IF(Schedule!G177=0,1,0)+IF(Schedule!G178=0,1,0)+IF(Schedule!G184=0,1,0)+IF(Schedule!G185=0,1,0)+IF(Schedule!G187=0,1,0)+IF(Schedule!G188=0,1,0)+IF(Schedule!G189=0,1,0)+IF(Schedule!G191=0,1,0)+IF(Schedule!G192=0,1,0)+IF(Schedule!G195=0,1,0)+IF(Schedule!G199=0,1,0)+IF(Schedule!G201=0,1,0)+IF(Schedule!G204=0,1,0)+IF(Schedule!G206=0,1,0)+IF(Schedule!G207=0,1,0)+IF(Schedule!G208=0,1,0)+IF(Schedule!G209=0,1,0)+IF(Schedule!G211=0,1,0)+IF(Schedule!G212=0,1,0)+IF(Schedule!G215=0,1,0)+IF(Schedule!G216=0,1,0)+IF(Schedule!G220=0,1,0)+IF(Schedule!G221=0,1,0)+IF(Schedule!G222=0,1,0)+IF(Schedule!G224=0,1,0)+IF(Schedule!G225=0,1,0)+IF(Schedule!G226=0,1,0)+IF(Schedule!G227=0,1,0)+IF(Schedule!G236=0,1,0)+IF(Schedule!G237=0,1,0)+IF(Schedule!G239=0,1,0)+IF(Schedule!G240=0,1,0)+IF(Schedule!G241=0,1,0)+IF(Schedule!G242=0,1,0)+IF(Schedule!G245=0,1,0)+IF(Schedule!G247=0,1,0)+IF(Schedule!G248=0,1,0)+IF(Schedule!G251=0,1,0)</f>
        <v>0</v>
      </c>
      <c r="E59" s="281" t="e">
        <f t="shared" si="6"/>
        <v>#DIV/0!</v>
      </c>
      <c r="F59" s="9">
        <f>SUM(Schedule!G172,Schedule!G174,Schedule!G179,Schedule!G180,Schedule!G181,Schedule!G182,Schedule!G183,Schedule!G186,Schedule!G190,Schedule!G193,Schedule!G194,Schedule!G196,Schedule!G197,Schedule!G198,Schedule!G200,Schedule!G202,Schedule!G203,Schedule!G205,Schedule!G210,Schedule!G213,Schedule!G214,Schedule!G217,Schedule!G218,Schedule!G219,Schedule!G223,Schedule!G228,Schedule!G229,Schedule!G230,Schedule!G231,Schedule!G232,Schedule!G233,Schedule!G234,Schedule!G235,Schedule!G238,Schedule!G243,Schedule!G246,Schedule!G249,Schedule!G250,Schedule!G252,Schedule!G253)</f>
        <v>0</v>
      </c>
      <c r="G59" s="26">
        <f>IF(Schedule!G172=0,1,0)+IF(Schedule!G174=0,1,0)+IF(Schedule!G179=0,1,0)+IF(Schedule!G180=0,1,0)+IF(Schedule!G181=0,1,0)+IF(Schedule!G182=0,1,0)+IF(Schedule!G183=0,1,0)+IF(Schedule!G186=0,1,0)+IF(Schedule!G190=0,1,0)+IF(Schedule!G193=0,1,0)+IF(Schedule!G194=0,1,0)+IF(Schedule!G196=0,1,0)+IF(Schedule!G197=0,1,0)+IF(Schedule!G198=0,1,0)+IF(Schedule!G200=0,1,0)+IF(Schedule!G202=0,1,0)+IF(Schedule!G203=0,1,0)+IF(Schedule!G205=0,1,0)+IF(Schedule!G210=0,1,0)+IF(Schedule!G213=0,1,0)+IF(Schedule!G214=0,1,0)+IF(Schedule!G217=0,1,0)+IF(Schedule!G218=0,1,0)+IF(Schedule!G219=0,1,0)+IF(Schedule!G223=0,1,0)+IF(Schedule!G228=0,1,0)+IF(Schedule!G229=0,1,0)+IF(Schedule!G230=0,1,0)+IF(Schedule!G231=0,1,0)+IF(Schedule!G232=0,1,0)+IF(Schedule!G233=0,1,0)+IF(Schedule!G234=0,1,0)+IF(Schedule!G235=0,1,0)+IF(Schedule!G238=0,1,0)+IF(Schedule!G243=0,1,0)+IF(Schedule!G246=0,1,0)+IF(Schedule!G249=0,1,0)+IF(Schedule!G250=0,1,0)+IF(Schedule!G252=0,1,0)+IF(Schedule!G253=0,1,0)</f>
        <v>1</v>
      </c>
      <c r="H59" s="266">
        <f t="shared" si="7"/>
        <v>0</v>
      </c>
      <c r="I59" s="26">
        <f>AVERAGE(Schedule!H172:H253)</f>
        <v>117</v>
      </c>
      <c r="J59" s="26">
        <f>AVERAGE(Schedule!I172:I253)</f>
        <v>34</v>
      </c>
      <c r="K59" s="26">
        <f>AVERAGE(Schedule!J172:J253)</f>
        <v>53</v>
      </c>
      <c r="L59" s="26">
        <f>AVERAGE(Schedule!K172:K253)</f>
        <v>80</v>
      </c>
      <c r="M59" s="26">
        <f>AVERAGE(Schedule!L172:L253)</f>
        <v>44</v>
      </c>
      <c r="N59" s="330">
        <f>AVERAGE(PER!H69:H88)</f>
        <v>15.225000000000003</v>
      </c>
      <c r="O59" s="47">
        <f>AVERAGE(INDEX(PER!H69:H88,MATCH(MAX(PER!I69:I88,1),PER!I69:I88,0)),(INDEX(PER!H69:H88,MATCH(LARGE(PER!I69:I88,2),PER!I69:I88,0))),(INDEX(PER!H69:H88,MATCH(LARGE(PER!I69:I88,3),PER!I69:I88,0))),(INDEX(PER!H69:H88,MATCH(LARGE(PER!I69:I88,4),PER!I69:I88,0))),(INDEX(PER!H69:H88,MATCH(LARGE(PER!I69:I88,5),PER!I69:I88,0))))</f>
        <v>26.7</v>
      </c>
      <c r="R59">
        <f t="shared" si="5"/>
        <v>100</v>
      </c>
    </row>
    <row r="60" spans="1:18" x14ac:dyDescent="0.3">
      <c r="A60" s="77"/>
      <c r="B60" s="6" t="s">
        <v>2</v>
      </c>
      <c r="C60" s="28">
        <f>SUM(Schedule!G255,Schedule!G256,Schedule!G259,Schedule!G261,Schedule!G264,Schedule!G271,Schedule!G272,Schedule!G274,Schedule!G276,Schedule!G277,Schedule!G278,Schedule!G280,Schedule!G281,Schedule!G282,Schedule!G285,Schedule!G286,Schedule!G288,Schedule!G289,Schedule!G291,Schedule!G292,Schedule!G295,Schedule!G297,Schedule!G299,Schedule!G301,Schedule!G302,Schedule!G303,Schedule!G310,Schedule!G311,Schedule!G312,Schedule!G314,Schedule!G315,Schedule!G316,Schedule!G319,Schedule!G322,Schedule!G324,Schedule!G326,Schedule!G327,Schedule!G329,Schedule!G330,Schedule!G335,Schedule!G336)</f>
        <v>1</v>
      </c>
      <c r="D60" s="27">
        <f>IF(Schedule!G255=0,1,0)+IF(Schedule!G256=0,1,0)+IF(Schedule!G259=0,1,0)+IF(Schedule!G261=0,1,0)+IF(Schedule!G264=0,1,0)+IF(Schedule!G271=0,1,0)+IF(Schedule!G272=0,1,0)+IF(Schedule!G274=0,1,0)+IF(Schedule!G276=0,1,0)+IF(Schedule!G277=0,1,0)+IF(Schedule!G278=0,1,0)+IF(Schedule!G280=0,1,0)+IF(Schedule!G281=0,1,0)+IF(Schedule!G282=0,1,0)+IF(Schedule!G285=0,1,0)+IF(Schedule!G286=0,1,0)+IF(Schedule!G288=0,1,0)+IF(Schedule!G289=0,1,0)+IF(Schedule!G291=0,1,0)+IF(Schedule!G292=0,1,0)+IF(Schedule!G295=0,1,0)+IF(Schedule!G297=0,1,0)+IF(Schedule!G299=0,1,0)+IF(Schedule!G301=0,1,0)+IF(Schedule!G302=0,1,0)+IF(Schedule!G303=0,1,0)+IF(Schedule!G310=0,1,0)+IF(Schedule!G311=0,1,0)+IF(Schedule!G312=0,1,0)+IF(Schedule!G314=0,1,0)+IF(Schedule!G315=0,1,0)+IF(Schedule!G316=0,1,0)+IF(Schedule!G319=0,1,0)+IF(Schedule!G322=0,1,0)+IF(Schedule!G324=0,1,0)+IF(Schedule!G326=0,1,0)+IF(Schedule!G327=0,1,0)+IF(Schedule!G329=0,1,0)+IF(Schedule!G330=0,1,0)+IF(Schedule!G335=0,1,0)+IF(Schedule!G336=0,1,0)</f>
        <v>0</v>
      </c>
      <c r="E60" s="281">
        <f t="shared" si="6"/>
        <v>100</v>
      </c>
      <c r="F60" s="7">
        <f>SUM(Schedule!G257,Schedule!G258,Schedule!G260,Schedule!G262,Schedule!G263,Schedule!G265,Schedule!G266,Schedule!G267,Schedule!G268,Schedule!G269,Schedule!G270,Schedule!G273,Schedule!G275,Schedule!G279,Schedule!G283,Schedule!G284,Schedule!G287,Schedule!G290,Schedule!G293,Schedule!G294,Schedule!G296,Schedule!G298,Schedule!G300,Schedule!G304,Schedule!G305,Schedule!G306,Schedule!G307,Schedule!G308,Schedule!G309,Schedule!G313,Schedule!G317,Schedule!G318,Schedule!G320,Schedule!G321,Schedule!G323,Schedule!G325,Schedule!G328,Schedule!G331,Schedule!G332,Schedule!G333,Schedule!G334)</f>
        <v>0</v>
      </c>
      <c r="G60" s="43">
        <f>IF(Schedule!G257=0,1,0)+IF(Schedule!G258=0,1,0)+IF(Schedule!G260=0,1,0)+IF(Schedule!G262=0,1,0)+IF(Schedule!G263=0,1,0)+IF(Schedule!G265=0,1,0)+IF(Schedule!G266=0,1,0)+IF(Schedule!G267=0,1,0)+IF(Schedule!G268=0,1,0)+IF(Schedule!G269=0,1,0)+IF(Schedule!G270=0,1,0)+IF(Schedule!G273=0,1,0)+IF(Schedule!G275=0,1,0)+IF(Schedule!G279=0,1,0)+IF(Schedule!G283=0,1,0)+IF(Schedule!G284=0,1,0)+IF(Schedule!G287=0,1,0)+IF(Schedule!G290=0,1,0)+IF(Schedule!G293=0,1,0)+IF(Schedule!G294=0,1,0)+IF(Schedule!G296=0,1,0)+IF(Schedule!G298=0,1,0)+IF(Schedule!G300=0,1,0)+IF(Schedule!G304=0,1,0)+IF(Schedule!G305=0,1,0)+IF(Schedule!G306=0,1,0)+IF(Schedule!G307=0,1,0)+IF(Schedule!G308=0,1,0)+IF(Schedule!G309=0,1,0)+IF(Schedule!G313=0,1,0)+IF(Schedule!G317=0,1,0)+IF(Schedule!G318=0,1,0)+IF(Schedule!G320=0,1,0)+IF(Schedule!G321=0,1,0)+IF(Schedule!G323=0,1,0)+IF(Schedule!G325=0,1,0)+IF(Schedule!G328=0,1,0)+IF(Schedule!G331=0,1,0)+IF(Schedule!G332=0,1,0)+IF(Schedule!G333=0,1,0)+IF(Schedule!G334=0,1,0)</f>
        <v>0</v>
      </c>
      <c r="H60" s="266" t="e">
        <f t="shared" si="7"/>
        <v>#DIV/0!</v>
      </c>
      <c r="I60" s="43">
        <f>AVERAGE(Schedule!H255:H336)</f>
        <v>105</v>
      </c>
      <c r="J60" s="43">
        <f>AVERAGE(Schedule!I255:I336)</f>
        <v>44</v>
      </c>
      <c r="K60" s="43">
        <f>AVERAGE(Schedule!J255:J336)</f>
        <v>37</v>
      </c>
      <c r="L60" s="43">
        <f>AVERAGE(Schedule!K255:K336)</f>
        <v>73</v>
      </c>
      <c r="M60" s="43">
        <f>AVERAGE(Schedule!L255:L336)</f>
        <v>39</v>
      </c>
      <c r="N60" s="43" t="e">
        <f>AVERAGE(PER!H90:H107)</f>
        <v>#DIV/0!</v>
      </c>
      <c r="O60" s="47" t="e">
        <f>AVERAGE(INDEX(PER!H90:H107,MATCH(MAX(PER!I90:I107,1),PER!I90:I107,0)),(INDEX(PER!H90:H107,MATCH(LARGE(PER!I90:I107,2),PER!I90:I107,0))),(INDEX(PER!H90:H107,MATCH(LARGE(PER!I90:I107,3),PER!I90:I107,0))),(INDEX(PER!H90:H107,MATCH(LARGE(PER!I90:I107,4),PER!I90:I107,0))),(INDEX(PER!H90:H107,MATCH(LARGE(PER!I90:I107,5),PER!I90:I107,0))))</f>
        <v>#N/A</v>
      </c>
      <c r="R60">
        <f t="shared" si="5"/>
        <v>0</v>
      </c>
    </row>
    <row r="61" spans="1:18" x14ac:dyDescent="0.3">
      <c r="A61" s="77"/>
      <c r="B61" s="8" t="s">
        <v>3</v>
      </c>
      <c r="C61" s="29">
        <f>SUM(Schedule!G340,Schedule!G341,Schedule!G343,Schedule!G344,Schedule!G345,Schedule!G348,Schedule!G350,Schedule!G351,Schedule!G353,Schedule!G355,Schedule!G356,Schedule!G357,Schedule!G359,Schedule!G360,Schedule!G366,Schedule!G367,Schedule!G370,Schedule!G371,Schedule!G373,Schedule!G379,Schedule!G380,Schedule!G381,Schedule!G382,Schedule!G383,Schedule!G385,Schedule!G389,Schedule!G390,Schedule!G391,Schedule!G392,Schedule!G400,Schedule!G402,Schedule!G403,Schedule!G404,Schedule!G406,Schedule!G407,Schedule!G409,Schedule!G410,Schedule!G411,Schedule!G413,Schedule!G416,Schedule!G417)</f>
        <v>0</v>
      </c>
      <c r="D61" s="26">
        <f>IF(Schedule!G340=0,1,0)+IF(Schedule!G341=0,1,0)+IF(Schedule!G343=0,1,0)+IF(Schedule!G344=0,1,0)+IF(Schedule!G345=0,1,0)+IF(Schedule!G348=0,1,0)+IF(Schedule!G350=0,1,0)+IF(Schedule!G351=0,1,0)+IF(Schedule!G353=0,1,0)+IF(Schedule!G355=0,1,0)+IF(Schedule!G356=0,1,0)+IF(Schedule!G357=0,1,0)+IF(Schedule!G359=0,1,0)+IF(Schedule!G360=0,1,0)+IF(Schedule!G366=0,1,0)+IF(Schedule!G367=0,1,0)+IF(Schedule!G370=0,1,0)+IF(Schedule!G371=0,1,0)+IF(Schedule!G373=0,1,0)+IF(Schedule!G379=0,1,0)+IF(Schedule!G380=0,1,0)+IF(Schedule!G381=0,1,0)+IF(Schedule!G382=0,1,0)+IF(Schedule!G383=0,1,0)+IF(Schedule!G385=0,1,0)+IF(Schedule!G389=0,1,0)+IF(Schedule!G390=0,1,0)+IF(Schedule!G391=0,1,0)+IF(Schedule!G392=0,1,0)+IF(Schedule!G400=0,1,0)+IF(Schedule!G402=0,1,0)+IF(Schedule!G403=0,1,0)+IF(Schedule!G404=0,1,0)+IF(Schedule!G406=0,1,0)+IF(Schedule!G407=0,1,0)+IF(Schedule!G409=0,1,0)+IF(Schedule!G410=0,1,0)+IF(Schedule!G411=0,1,0)+IF(Schedule!G413=0,1,0)+IF(Schedule!G416=0,1,0)+IF(Schedule!G417=0,1,0)</f>
        <v>0</v>
      </c>
      <c r="E61" s="281" t="e">
        <f t="shared" si="6"/>
        <v>#DIV/0!</v>
      </c>
      <c r="F61" s="9">
        <f>SUM(Schedule!G338,Schedule!G339,Schedule!G342,Schedule!G346,Schedule!G347,Schedule!G349,Schedule!G352,Schedule!G354,Schedule!G358,Schedule!G361,Schedule!G362,Schedule!G363,Schedule!G364,Schedule!G365,Schedule!G368,Schedule!G369,Schedule!G372,Schedule!G374,Schedule!G375,Schedule!G376,Schedule!G377,Schedule!G378,Schedule!G384,Schedule!G386,Schedule!G387,Schedule!G388,Schedule!G393,Schedule!G394,Schedule!G395,Schedule!G396,Schedule!G397,Schedule!G398,Schedule!G399,Schedule!G401,Schedule!G405,Schedule!G408,Schedule!G412,Schedule!G414,Schedule!G415,Schedule!G418,Schedule!G419)</f>
        <v>1</v>
      </c>
      <c r="G61" s="44">
        <f>IF(Schedule!G338=0,1,0)+IF(Schedule!G339=0,1,0)+IF(Schedule!G342=0,1,0)+IF(Schedule!G346=0,1,0)+IF(Schedule!G347=0,1,0)+IF(Schedule!G349=0,1,0)+IF(Schedule!G352=0,1,0)+IF(Schedule!G354=0,1,0)+IF(Schedule!G358=0,1,0)+IF(Schedule!G361=0,1,0)+IF(Schedule!G362=0,1,0)+IF(Schedule!G363=0,1,0)+IF(Schedule!G364=0,1,0)+IF(Schedule!G365=0,1,0)+IF(Schedule!G368=0,1,0)+IF(Schedule!G369=0,1,0)+IF(Schedule!G372=0,1,0)+IF(Schedule!G374=0,1,0)+IF(Schedule!G375=0,1,0)+IF(Schedule!G376=0,1,0)+IF(Schedule!G377=0,1,0)+IF(Schedule!G378=0,1,0)+IF(Schedule!G384=0,1,0)+IF(Schedule!G386=0,1,0)+IF(Schedule!G387=0,1,0)+IF(Schedule!G388=0,1,0)+IF(Schedule!G393=0,1,0)+IF(Schedule!G394=0,1,0)+IF(Schedule!G395=0,1,0)+IF(Schedule!G396=0,1,0)+IF(Schedule!G397=0,1,0)+IF(Schedule!G398=0,1,0)+IF(Schedule!G399=0,1,0)+IF(Schedule!G401=0,1,0)+IF(Schedule!G405=0,1,0)+IF(Schedule!G408=0,1,0)+IF(Schedule!G412=0,1,0)+IF(Schedule!G414=0,1,0)+IF(Schedule!G415=0,1,0)+IF(Schedule!G418=0,1,0)+IF(Schedule!G419=0,1,0)</f>
        <v>0</v>
      </c>
      <c r="H61" s="266">
        <f t="shared" si="7"/>
        <v>100</v>
      </c>
      <c r="I61" s="44">
        <f>AVERAGE(Schedule!H338:H419)</f>
        <v>107</v>
      </c>
      <c r="J61" s="44">
        <f>AVERAGE(Schedule!I338:I419)</f>
        <v>30</v>
      </c>
      <c r="K61" s="44">
        <f>AVERAGE(Schedule!J338:J419)</f>
        <v>50</v>
      </c>
      <c r="L61" s="44">
        <f>AVERAGE(Schedule!K338:K419)</f>
        <v>83</v>
      </c>
      <c r="M61" s="44">
        <f>AVERAGE(Schedule!L338:L419)</f>
        <v>45</v>
      </c>
      <c r="N61" s="44">
        <f>AVERAGE(PER!H109:H127)</f>
        <v>14.55</v>
      </c>
      <c r="O61" s="47">
        <f>AVERAGE(INDEX(PER!H109:H127,MATCH(MAX(PER!I109:I127,1),PER!I109:I127,0)),(INDEX(PER!H109:H127,MATCH(LARGE(PER!I109:I127,2),PER!I109:I127,0))),(INDEX(PER!H109:H127,MATCH(LARGE(PER!I109:I127,3),PER!I109:I127,0))),(INDEX(PER!H109:H127,MATCH(LARGE(PER!I109:I127,4),PER!I109:I127,0))),(INDEX(PER!H109:H127,MATCH(LARGE(PER!I109:I127,5),PER!I109:I127,0))))</f>
        <v>27.8</v>
      </c>
      <c r="R61">
        <f t="shared" si="5"/>
        <v>0</v>
      </c>
    </row>
    <row r="62" spans="1:18" x14ac:dyDescent="0.3">
      <c r="A62" s="77"/>
      <c r="B62" s="6" t="s">
        <v>4</v>
      </c>
      <c r="C62" s="30">
        <f>SUM(Schedule!G421,Schedule!G423,Schedule!G424,Schedule!G425,Schedule!G427,Schedule!G429,Schedule!G430,Schedule!G432,Schedule!G433,Schedule!G434,Schedule!G437,Schedule!G441,Schedule!G442,Schedule!G443,Schedule!G445,Schedule!G447,Schedule!G448,Schedule!G449,Schedule!G451,Schedule!G453,Schedule!G454,Schedule!G461,Schedule!G462,Schedule!G464,Schedule!G465,Schedule!G466,Schedule!G468,Schedule!G473,Schedule!G475,Schedule!G476,Schedule!G477,Schedule!G478,Schedule!G482,Schedule!G486,Schedule!G487,Schedule!G492,Schedule!G495,Schedule!G496,Schedule!G497,Schedule!G499,Schedule!G502)</f>
        <v>1</v>
      </c>
      <c r="D62" s="27">
        <f>IF(Schedule!G421=0,1,0)+IF(Schedule!G423=0,1,0)+IF(Schedule!G424=0,1,0)+IF(Schedule!G425=0,1,0)+IF(Schedule!G427=0,1,0)+IF(Schedule!G429=0,1,0)+IF(Schedule!G430=0,1,0)+IF(Schedule!G432=0,1,0)+IF(Schedule!G433=0,1,0)+IF(Schedule!G434=0,1,0)+IF(Schedule!G437=0,1,0)+IF(Schedule!G441=0,1,0)+IF(Schedule!G442=0,1,0)+IF(Schedule!G443=0,1,0)+IF(Schedule!G445=0,1,0)+IF(Schedule!G447=0,1,0)+IF(Schedule!G448=0,1,0)+IF(Schedule!G449=0,1,0)+IF(Schedule!G451=0,1,0)+IF(Schedule!G453=0,1,0)+IF(Schedule!G454=0,1,0)+IF(Schedule!G461=0,1,0)+IF(Schedule!G462=0,1,0)+IF(Schedule!G464=0,1,0)+IF(Schedule!G465=0,1,0)+IF(Schedule!G466=0,1,0)+IF(Schedule!G468=0,1,0)+IF(Schedule!G473=0,1,0)+IF(Schedule!G475=0,1,0)+IF(Schedule!G476=0,1,0)+IF(Schedule!G477=0,1,0)+IF(Schedule!G478=0,1,0)+IF(Schedule!G482=0,1,0)+IF(Schedule!G486=0,1,0)+IF(Schedule!G487=0,1,0)+IF(Schedule!G492=0,1,0)+IF(Schedule!G495=0,1,0)+IF(Schedule!G496=0,1,0)+IF(Schedule!G497=0,1,0)+IF(Schedule!G499=0,1,0)+IF(Schedule!G502=0,1,0)</f>
        <v>0</v>
      </c>
      <c r="E62" s="281">
        <f t="shared" si="6"/>
        <v>100</v>
      </c>
      <c r="F62" s="10">
        <f>SUM(Schedule!G422,Schedule!G426,Schedule!G428,Schedule!G431,Schedule!G435,Schedule!G436,Schedule!G438,Schedule!G439,Schedule!G440,Schedule!G444,Schedule!G446,Schedule!G450,Schedule!G452,Schedule!G455,Schedule!G456,Schedule!G457,Schedule!G458,Schedule!G459,Schedule!G460,Schedule!G463,Schedule!G467,Schedule!G469,Schedule!G470,Schedule!G471,Schedule!G472,Schedule!G474,Schedule!G479,Schedule!G480,Schedule!G481,Schedule!G483,Schedule!G484,Schedule!G485,Schedule!G488,Schedule!G489,Schedule!G490,Schedule!G491,Schedule!G493,Schedule!G494,Schedule!G498,Schedule!G500,Schedule!G501)</f>
        <v>0</v>
      </c>
      <c r="G62" s="45">
        <f>IF(Schedule!G422=0,1,0)+IF(Schedule!G426=0,1,0)+IF(Schedule!G428=0,1,0)+IF(Schedule!G431=0,1,0)+IF(Schedule!G435=0,1,0)+IF(Schedule!G436=0,1,0)+IF(Schedule!G438=0,1,0)+IF(Schedule!G439=0,1,0)+IF(Schedule!G440=0,1,0)+IF(Schedule!G444=0,1,0)+IF(Schedule!G446=0,1,0)+IF(Schedule!G450=0,1,0)+IF(Schedule!G452=0,1,0)+IF(Schedule!G455=0,1,0)+IF(Schedule!G456=0,1,0)+IF(Schedule!G457=0,1,0)+IF(Schedule!G458=0,1,0)+IF(Schedule!G459=0,1,0)+IF(Schedule!G460=0,1,0)+IF(Schedule!G463=0,1,0)+IF(Schedule!G467=0,1,0)+IF(Schedule!G469=0,1,0)+IF(Schedule!G470=0,1,0)+IF(Schedule!G471=0,1,0)+IF(Schedule!G472=0,1,0)+IF(Schedule!G474=0,1,0)+IF(Schedule!G479=0,1,0)+IF(Schedule!G480=0,1,0)+IF(Schedule!G481=0,1,0)+IF(Schedule!G483=0,1,0)+IF(Schedule!G484=0,1,0)+IF(Schedule!G485=0,1,0)+IF(Schedule!G488=0,1,0)+IF(Schedule!G489=0,1,0)+IF(Schedule!G490=0,1,0)+IF(Schedule!G491=0,1,0)+IF(Schedule!G493=0,1,0)+IF(Schedule!G494=0,1,0)+IF(Schedule!G498=0,1,0)+IF(Schedule!G500=0,1,0)+IF(Schedule!G501=0,1,0)</f>
        <v>0</v>
      </c>
      <c r="H62" s="266" t="e">
        <f t="shared" si="7"/>
        <v>#DIV/0!</v>
      </c>
      <c r="I62" s="268">
        <f>AVERAGE(Schedule!H421:H502)</f>
        <v>117</v>
      </c>
      <c r="J62" s="268">
        <f>AVERAGE(Schedule!I421:I502)</f>
        <v>37</v>
      </c>
      <c r="K62" s="268">
        <f>AVERAGE(Schedule!J421:J502)</f>
        <v>54</v>
      </c>
      <c r="L62" s="268">
        <f>AVERAGE(Schedule!K421:K502)</f>
        <v>74</v>
      </c>
      <c r="M62" s="268">
        <f>AVERAGE(Schedule!L421:L502)</f>
        <v>48</v>
      </c>
      <c r="N62" s="130">
        <f>AVERAGE(PER!H129:H147)</f>
        <v>14.315384615384614</v>
      </c>
      <c r="O62" s="47">
        <f>AVERAGE(INDEX(PER!H129:H147,MATCH(MAX(PER!I129:I147,1),PER!I129:I147,0)),(INDEX(PER!H129:H147,MATCH(LARGE(PER!I129:I147,2),PER!I129:I147,0))),(INDEX(PER!H129:H147,MATCH(LARGE(PER!I129:I147,3),PER!I129:I147,0))),(INDEX(PER!H129:H147,MATCH(LARGE(PER!I129:I147,4),PER!I129:I147,0))),(INDEX(PER!H129:H147,MATCH(LARGE(PER!I129:I147,5),PER!I129:I147,0))))</f>
        <v>32</v>
      </c>
      <c r="R62">
        <f t="shared" si="5"/>
        <v>0</v>
      </c>
    </row>
    <row r="63" spans="1:18" x14ac:dyDescent="0.3">
      <c r="A63" s="77"/>
      <c r="B63" s="8" t="s">
        <v>5</v>
      </c>
      <c r="C63" s="29">
        <f>SUM(Schedule!G505,Schedule!G506,Schedule!G507,Schedule!G509,Schedule!G514,Schedule!G517,Schedule!G518,Schedule!G519,Schedule!G520,Schedule!G525,Schedule!G526,Schedule!G529,Schedule!G532,Schedule!G534,Schedule!G535,Schedule!G536,Schedule!G537,Schedule!G540,Schedule!G541,Schedule!G547,Schedule!G548,Schedule!G549,Schedule!G552,Schedule!G553,Schedule!G555,Schedule!G556,Schedule!G557,Schedule!G560,Schedule!G561,Schedule!G562,Schedule!G563,Schedule!G566,Schedule!G568,Schedule!G569,Schedule!G571,Schedule!G572,Schedule!G573,Schedule!G578,Schedule!G579,Schedule!G581,Schedule!G584)</f>
        <v>0</v>
      </c>
      <c r="D63" s="26">
        <f>IF(Schedule!G505=0,1,0)+IF(Schedule!G506=0,1,0)+IF(Schedule!G507=0,1,0)+IF(Schedule!G509=0,1,0)+IF(Schedule!G514=0,1,0)+IF(Schedule!G517=0,1,0)+IF(Schedule!G518=0,1,0)+IF(Schedule!G519=0,1,0)+IF(Schedule!G520=0,1,0)+IF(Schedule!G525=0,1,0)+IF(Schedule!G526=0,1,0)+IF(Schedule!G529=0,1,0)+IF(Schedule!G532=0,1,0)+IF(Schedule!G534=0,1,0)+IF(Schedule!G535=0,1,0)+IF(Schedule!G536=0,1,0)+IF(Schedule!G537=0,1,0)+IF(Schedule!G540=0,1,0)+IF(Schedule!G541=0,1,0)+IF(Schedule!G547=0,1,0)+IF(Schedule!G548=0,1,0)+IF(Schedule!G549=0,1,0)+IF(Schedule!G552=0,1,0)+IF(Schedule!G553=0,1,0)+IF(Schedule!G555=0,1,0)+IF(Schedule!G556=0,1,0)+IF(Schedule!G557=0,1,0)+IF(Schedule!G560=0,1,0)+IF(Schedule!G561=0,1,0)+IF(Schedule!G562=0,1,0)+IF(Schedule!G563=0,1,0)+IF(Schedule!G566=0,1,0)+IF(Schedule!G568=0,1,0)+IF(Schedule!G569=0,1,0)+IF(Schedule!G571=0,1,0)+IF(Schedule!G572=0,1,0)+IF(Schedule!G573=0,1,0)+IF(Schedule!G578=0,1,0)+IF(Schedule!G579=0,1,0)+IF(Schedule!G581=0,1,0)+IF(Schedule!G584=0,1,0)</f>
        <v>0</v>
      </c>
      <c r="E63" s="281" t="e">
        <f t="shared" si="6"/>
        <v>#DIV/0!</v>
      </c>
      <c r="F63" s="9">
        <f>SUM(Schedule!G504,Schedule!G508,Schedule!G510,Schedule!G511,Schedule!G512,Schedule!G513,Schedule!G515,Schedule!G516,Schedule!G521,Schedule!G522,Schedule!G523,Schedule!G524,Schedule!G527,Schedule!G528,Schedule!G530,Schedule!G531,Schedule!G533,Schedule!G538,Schedule!G539,Schedule!G542,Schedule!G543,Schedule!G544,Schedule!G545,Schedule!G546,Schedule!G550,Schedule!G551,Schedule!G554,Schedule!G558,Schedule!G559,Schedule!G564,Schedule!G565,Schedule!G567,Schedule!G570,Schedule!G574,Schedule!G575,Schedule!G576,Schedule!G577,Schedule!G580,Schedule!G582,Schedule!G583,Schedule!G585)</f>
        <v>0</v>
      </c>
      <c r="G63" s="44">
        <f>IF(Schedule!G504=0,1,0)+IF(Schedule!G508=0,1,0)+IF(Schedule!G510=0,1,0)+IF(Schedule!G511=0,1,0)+IF(Schedule!G512=0,1,0)+IF(Schedule!G513=0,1,0)+IF(Schedule!G515=0,1,0)+IF(Schedule!G516=0,1,0)+IF(Schedule!G521=0,1,0)+IF(Schedule!G522=0,1,0)+IF(Schedule!G523=0,1,0)+IF(Schedule!G524=0,1,0)+IF(Schedule!G527=0,1,0)+IF(Schedule!G528=0,1,0)+IF(Schedule!G530=0,1,0)+IF(Schedule!G531=0,1,0)+IF(Schedule!G533=0,1,0)+IF(Schedule!G538=0,1,0)+IF(Schedule!G539=0,1,0)+IF(Schedule!G542=0,1,0)+IF(Schedule!G543=0,1,0)+IF(Schedule!G544=0,1,0)+IF(Schedule!G545=0,1,0)+IF(Schedule!G546=0,1,0)+IF(Schedule!G550=0,1,0)+IF(Schedule!G551=0,1,0)+IF(Schedule!G554=0,1,0)+IF(Schedule!G558=0,1,0)+IF(Schedule!G559=0,1,0)+IF(Schedule!G564=0,1,0)+IF(Schedule!G565=0,1,0)+IF(Schedule!G567=0,1,0)+IF(Schedule!G570=0,1,0)+IF(Schedule!G574=0,1,0)+IF(Schedule!G575=0,1,0)+IF(Schedule!G576=0,1,0)+IF(Schedule!G577=0,1,0)+IF(Schedule!G580=0,1,0)+IF(Schedule!G582=0,1,0)+IF(Schedule!G583=0,1,0)+IF(Schedule!G585=0,1,0)</f>
        <v>1</v>
      </c>
      <c r="H63" s="266">
        <f t="shared" si="7"/>
        <v>0</v>
      </c>
      <c r="I63" s="44">
        <f>AVERAGE(Schedule!H504:H585)</f>
        <v>91</v>
      </c>
      <c r="J63" s="44">
        <f>AVERAGE(Schedule!I504:I585)</f>
        <v>18</v>
      </c>
      <c r="K63" s="44">
        <f>AVERAGE(Schedule!J504:J585)</f>
        <v>50</v>
      </c>
      <c r="L63" s="44">
        <f>AVERAGE(Schedule!K504:K585)</f>
        <v>77</v>
      </c>
      <c r="M63" s="44">
        <f>AVERAGE(Schedule!L504:L585)</f>
        <v>42</v>
      </c>
      <c r="N63" s="129">
        <f>AVERAGE(PER!H149:H166)</f>
        <v>10.66666666666667</v>
      </c>
      <c r="O63" s="47">
        <f>AVERAGE(INDEX(PER!H149:H166,MATCH(MAX(PER!I149:I166,1),PER!I149:I166,0)),(INDEX(PER!H149:H166,MATCH(LARGE(PER!I149:I166,2),PER!I149:I166,0))),(INDEX(PER!H149:H166,MATCH(LARGE(PER!I149:I166,3),PER!I149:I166,0))),(INDEX(PER!H149:H166,MATCH(LARGE(PER!I149:I166,4),PER!I149:I166,0))),(INDEX(PER!H149:H166,MATCH(LARGE(PER!I149:I166,5),PER!I149:I166,0))))</f>
        <v>18.2</v>
      </c>
      <c r="R63">
        <f t="shared" si="5"/>
        <v>0</v>
      </c>
    </row>
    <row r="64" spans="1:18" x14ac:dyDescent="0.3">
      <c r="A64" s="77"/>
      <c r="B64" s="6" t="s">
        <v>7</v>
      </c>
      <c r="C64" s="28">
        <f>SUM(Schedule!G587,Schedule!G590,Schedule!G592,Schedule!G594,Schedule!G596,Schedule!G597,Schedule!G598,Schedule!G599,Schedule!G601,Schedule!G602,Schedule!G604,Schedule!G603,Schedule!G610,Schedule!G611,Schedule!G615,Schedule!G617,Schedule!G620,Schedule!G621,Schedule!G623,Schedule!G624,Schedule!G626,Schedule!G630,Schedule!G632,Schedule!G633,Schedule!G636,Schedule!G637,Schedule!G638,Schedule!G640,Schedule!G641,Schedule!G643,Schedule!G644,Schedule!G650,Schedule!G652,Schedule!G654,Schedule!G656,Schedule!G658,Schedule!G659,Schedule!G660,Schedule!G664,Schedule!G665,Schedule!G668)</f>
        <v>1</v>
      </c>
      <c r="D64" s="27">
        <f>IF(Schedule!G587=0,1,0)+IF(Schedule!G590=0,1,0)+IF(Schedule!G592=0,1,0)+IF(Schedule!G594=0,1,0)+IF(Schedule!G596=0,1,0)+IF(Schedule!G597=0,1,0)+IF(Schedule!G598=0,1,0)+IF(Schedule!G599=0,1,0)+IF(Schedule!G601=0,1,0)+IF(Schedule!G602=0,1,0)+IF(Schedule!G604=0,1,0)+IF(Schedule!G603=0,1,0)+IF(Schedule!G610=0,1,0)+IF(Schedule!G611=0,1,0)+IF(Schedule!G615=0,1,0)+IF(Schedule!G617=0,1,0)+IF(Schedule!G620=0,1,0)+IF(Schedule!G621=0,1,0)+IF(Schedule!G623=0,1,0)+IF(Schedule!G624=0,1,0)+IF(Schedule!G626=0,1,0)+IF(Schedule!G630=0,1,0)+IF(Schedule!G632=0,1,0)+IF(Schedule!G633=0,1,0)+IF(Schedule!G636=0,1,0)+IF(Schedule!G637=0,1,0)+IF(Schedule!G638=0,1,0)+IF(Schedule!G640=0,1,0)+IF(Schedule!G641=0,1,0)+IF(Schedule!G643=0,1,0)+IF(Schedule!G644=0,1,0)+IF(Schedule!G650=0,1,0)+IF(Schedule!G652=0,1,0)+IF(Schedule!G654=0,1,0)+IF(Schedule!G656=0,1,0)+IF(Schedule!G658=0,1,0)+IF(Schedule!G659=0,1,0)+IF(Schedule!G660=0,1,0)+IF(Schedule!G664=0,1,0)+IF(Schedule!G665=0,1,0)+IF(Schedule!G668=0,1,0)</f>
        <v>0</v>
      </c>
      <c r="E64" s="281">
        <f t="shared" si="6"/>
        <v>100</v>
      </c>
      <c r="F64" s="7">
        <f>SUM(Schedule!G588,Schedule!G589,Schedule!G591,Schedule!G593,Schedule!G595,Schedule!G600,Schedule!G605,Schedule!G606,Schedule!G607,Schedule!G608,Schedule!G609,Schedule!G612,Schedule!G613,Schedule!G614,Schedule!G616,Schedule!G618,Schedule!G619,Schedule!G622,Schedule!G625,Schedule!G627,Schedule!G628,Schedule!G629,Schedule!G631,Schedule!G634,Schedule!G635,Schedule!G639,Schedule!G642,Schedule!G645,Schedule!G646,Schedule!G647,Schedule!G648,Schedule!G649,Schedule!G651,Schedule!G653,Schedule!G655,Schedule!G657,Schedule!G661,Schedule!G662,Schedule!G663,Schedule!G666,Schedule!G667)</f>
        <v>0</v>
      </c>
      <c r="G64" s="27">
        <f>IF(Schedule!G588=0,1,0)+IF(Schedule!G589=0,1,0)+IF(Schedule!G591=0,1,0)+IF(Schedule!G593=0,1,0)+IF(Schedule!G595=0,1,0)+IF(Schedule!G600=0,1,0)+IF(Schedule!G605=0,1,0)+IF(Schedule!G606=0,1,0)+IF(Schedule!G607=0,1,0)+IF(Schedule!G608=0,1,0)+IF(Schedule!G609=0,1,0)+IF(Schedule!G612=0,1,0)+IF(Schedule!G613=0,1,0)+IF(Schedule!G614=0,1,0)+IF(Schedule!G616=0,1,0)+IF(Schedule!G618=0,1,0)+IF(Schedule!G619=0,1,0)+IF(Schedule!G622=0,1,0)+IF(Schedule!G625=0,1,0)+IF(Schedule!G627=0,1,0)+IF(Schedule!G628=0,1,0)+IF(Schedule!G629=0,1,0)+IF(Schedule!G631=0,1,0)+IF(Schedule!G634=0,1,0)+IF(Schedule!G635=0,1,0)+IF(Schedule!G639=0,1,0)+IF(Schedule!G642=0,1,0)+IF(Schedule!G645=0,1,0)+IF(Schedule!G646=0,1,0)+IF(Schedule!G647=0,1,0)+IF(Schedule!G648=0,1,0)+IF(Schedule!G649=0,1,0)+IF(Schedule!G651=0,1,0)+IF(Schedule!G653=0,1,0)+IF(Schedule!G655=0,1,0)+IF(Schedule!G657=0,1,0)+IF(Schedule!G661=0,1,0)+IF(Schedule!G662=0,1,0)+IF(Schedule!G663=0,1,0)+IF(Schedule!G666=0,1,0)+IF(Schedule!G667=0,1,0)</f>
        <v>0</v>
      </c>
      <c r="H64" s="266" t="e">
        <f t="shared" si="7"/>
        <v>#DIV/0!</v>
      </c>
      <c r="I64" s="27">
        <f>AVERAGE(Schedule!H587:H668)</f>
        <v>130</v>
      </c>
      <c r="J64" s="27">
        <f>AVERAGE(Schedule!I587:I668)</f>
        <v>53</v>
      </c>
      <c r="K64" s="27">
        <f>AVERAGE(Schedule!J587:J668)</f>
        <v>50</v>
      </c>
      <c r="L64" s="27">
        <f>AVERAGE(Schedule!K587:K668)</f>
        <v>76</v>
      </c>
      <c r="M64" s="27">
        <f>AVERAGE(Schedule!L587:L668)</f>
        <v>51</v>
      </c>
      <c r="N64" s="121">
        <f>AVERAGE(PER!H168:H186)</f>
        <v>13.218181818181819</v>
      </c>
      <c r="O64" s="47">
        <f>AVERAGE(INDEX(PER!H168:H186,MATCH(MAX(PER!I168:I186,1),PER!I168:I186,0)),(INDEX(PER!H168:H186,MATCH(LARGE(PER!I168:I186,2),PER!I168:I186,0))),(INDEX(PER!H168:H186,MATCH(LARGE(PER!I168:I186,3),PER!I168:I186,0))),(INDEX(PER!H168:H186,MATCH(LARGE(PER!I168:I186,4),PER!I168:I186,0))),(INDEX(PER!H168:H186,MATCH(LARGE(PER!I168:I186,5),PER!I168:I186,0))))</f>
        <v>36.5</v>
      </c>
      <c r="R64">
        <f t="shared" si="5"/>
        <v>100</v>
      </c>
    </row>
    <row r="65" spans="1:18" x14ac:dyDescent="0.3">
      <c r="A65" s="77"/>
      <c r="B65" s="8" t="s">
        <v>6</v>
      </c>
      <c r="C65" s="29">
        <f>SUM(Schedule!G671,Schedule!G672,Schedule!G673,Schedule!G676,Schedule!G677,Schedule!G679,Schedule!G680,Schedule!G685,Schedule!G686,Schedule!G690,Schedule!G694,Schedule!G695,Schedule!G696,Schedule!G697,Schedule!G698,Schedule!G699,Schedule!G701,Schedule!G704,Schedule!G711,Schedule!G712,Schedule!G713,Schedule!G714,Schedule!G717,Schedule!G718,Schedule!G719,Schedule!G720,Schedule!G725,Schedule!G728,Schedule!G730,Schedule!G732,Schedule!G734,Schedule!G735,Schedule!G737,Schedule!G738,Schedule!G739,Schedule!G740,Schedule!G741,Schedule!G745,Schedule!G746,Schedule!G750,Schedule!G751)</f>
        <v>0</v>
      </c>
      <c r="D65" s="26">
        <f>IF(Schedule!G671=0,1,0)+IF(Schedule!G672=0,1,0)+IF(Schedule!G673=0,1,0)+IF(Schedule!G676=0,1,0)+IF(Schedule!G677=0,1,0)+IF(Schedule!G679=0,1,0)+IF(Schedule!G680=0,1,0)+IF(Schedule!G685=0,1,0)+IF(Schedule!G686=0,1,0)+IF(Schedule!G690=0,1,0)+IF(Schedule!G694=0,1,0)+IF(Schedule!G695=0,1,0)+IF(Schedule!G696=0,1,0)+IF(Schedule!G697=0,1,0)+IF(Schedule!G698=0,1,0)+IF(Schedule!G699=0,1,0)+IF(Schedule!G701=0,1,0)+IF(Schedule!G704=0,1,0)+IF(Schedule!G711=0,1,0)+IF(Schedule!G712=0,1,0)+IF(Schedule!G713=0,1,0)+IF(Schedule!G714=0,1,0)+IF(Schedule!G717=0,1,0)+IF(Schedule!G718=0,1,0)+IF(Schedule!G719=0,1,0)+IF(Schedule!G720=0,1,0)+IF(Schedule!G725=0,1,0)+IF(Schedule!G728=0,1,0)+IF(Schedule!G730=0,1,0)+IF(Schedule!G732=0,1,0)+IF(Schedule!G734=0,1,0)+IF(Schedule!G735=0,1,0)+IF(Schedule!G737=0,1,0)+IF(Schedule!G738=0,1,0)+IF(Schedule!G739=0,1,0)+IF(Schedule!G740=0,1,0)+IF(Schedule!G741=0,1,0)+IF(Schedule!G745=0,1,0)+IF(Schedule!G746=0,1,0)+IF(Schedule!G750=0,1,0)+IF(Schedule!G751=0,1,0)</f>
        <v>0</v>
      </c>
      <c r="E65" s="281" t="e">
        <f t="shared" si="6"/>
        <v>#DIV/0!</v>
      </c>
      <c r="F65" s="9">
        <f>SUM(Schedule!G670,Schedule!G674,Schedule!G675,Schedule!G678,Schedule!G681,Schedule!G682,Schedule!G683,Schedule!G684,Schedule!G687,Schedule!G688,Schedule!G689,Schedule!G691,Schedule!G692,Schedule!G693,Schedule!G700,Schedule!G702,Schedule!G703,Schedule!G705,Schedule!G706,Schedule!G707,Schedule!G708,Schedule!G709,Schedule!G710,Schedule!G715,Schedule!G716,Schedule!G721,Schedule!G722,Schedule!G723,Schedule!G724,Schedule!G726,Schedule!G727,Schedule!G729,Schedule!G731,Schedule!G733,Schedule!G736,Schedule!G742,Schedule!G743,Schedule!G744,Schedule!G747,Schedule!G748,Schedule!G749)</f>
        <v>1</v>
      </c>
      <c r="G65" s="46">
        <f>IF(Schedule!G670=0,1,0)+IF(Schedule!G674=0,1,0)+IF(Schedule!G675=0,1,0)+IF(Schedule!G678=0,1,0)+IF(Schedule!G681=0,1,0)+IF(Schedule!G682=0,1,0)+IF(Schedule!G683=0,1,0)+IF(Schedule!G684=0,1,0)+IF(Schedule!G687=0,1,0)+IF(Schedule!G688=0,1,0)+IF(Schedule!G689=0,1,0)+IF(Schedule!G691=0,1,0)+IF(Schedule!G692=0,1,0)+IF(Schedule!G693=0,1,0)+IF(Schedule!G700=0,1,0)+IF(Schedule!G702=0,1,0)+IF(Schedule!G703=0,1,0)+IF(Schedule!G705=0,1,0)+IF(Schedule!G706=0,1,0)+IF(Schedule!G707=0,1,0)+IF(Schedule!G708=0,1,0)+IF(Schedule!G709=0,1,0)+IF(Schedule!G710=0,1,0)+IF(Schedule!G715=0,1,0)+IF(Schedule!G716=0,1,0)+IF(Schedule!G721=0,1,0)+IF(Schedule!G722=0,1,0)+IF(Schedule!G723=0,1,0)+IF(Schedule!G724=0,1,0)+IF(Schedule!G726=0,1,0)+IF(Schedule!G727=0,1,0)+IF(Schedule!G727=0,1,0)+IF(Schedule!G731=0,1,0)+IF(Schedule!G733=0,1,0)+IF(Schedule!G736=0,1,0)+IF(Schedule!G742=0,1,0)+IF(Schedule!G743=0,1,0)+IF(Schedule!G744=0,1,0)+IF(Schedule!G747=0,1,0)+IF(Schedule!G748=0,1,0)+IF(Schedule!G749=0,1,0)</f>
        <v>0</v>
      </c>
      <c r="H65" s="266">
        <f t="shared" si="7"/>
        <v>100</v>
      </c>
      <c r="I65" s="46">
        <f>AVERAGE(Schedule!H670:H751)</f>
        <v>108</v>
      </c>
      <c r="J65" s="46">
        <f>AVERAGE(Schedule!I670:I751)</f>
        <v>25</v>
      </c>
      <c r="K65" s="46">
        <f>AVERAGE(Schedule!J670:J751)</f>
        <v>54</v>
      </c>
      <c r="L65" s="46">
        <f>AVERAGE(Schedule!K670:K751)</f>
        <v>63</v>
      </c>
      <c r="M65" s="46">
        <f>AVERAGE(Schedule!L670:L751)</f>
        <v>47</v>
      </c>
      <c r="N65" s="131">
        <f>AVERAGE(PER!H188:H209)</f>
        <v>17.366666666666667</v>
      </c>
      <c r="O65" s="47">
        <f>AVERAGE(INDEX(PER!H188:H209,MATCH(MAX(PER!I188:I209,1),PER!I188:I209,0)),(INDEX(PER!H188:H209,MATCH(LARGE(PER!I188:I209,2),PER!I188:I209,0))),(INDEX(PER!H188:H209,MATCH(LARGE(PER!I188:I209,3),PER!I188:I209,0))),(INDEX(PER!H188:H209,MATCH(LARGE(PER!I188:I209,4),PER!I188:I209,0))),(INDEX(PER!H188:H209,MATCH(LARGE(PER!I188:I209,5),PER!I188:I209,0))))</f>
        <v>24.5</v>
      </c>
      <c r="R65">
        <f t="shared" si="5"/>
        <v>0</v>
      </c>
    </row>
    <row r="66" spans="1:18" x14ac:dyDescent="0.3">
      <c r="A66" s="77"/>
      <c r="B66" s="6" t="s">
        <v>8</v>
      </c>
      <c r="C66" s="28">
        <f>SUM(Schedule!G753,Schedule!G754,Schedule!G757,Schedule!G758,Schedule!G760,Schedule!G761,Schedule!G764,Schedule!G765,Schedule!G766,Schedule!G768,Schedule!G770,Schedule!G771,Schedule!G772,Schedule!G773,Schedule!G776,Schedule!G778,Schedule!G780,Schedule!G785,Schedule!G787,Schedule!G788,Schedule!G790,Schedule!G792,Schedule!G796,Schedule!G797,Schedule!G799,Schedule!G803,Schedule!G804,Schedule!G806,Schedule!G808,Schedule!G809,Schedule!G811,Schedule!G812,Schedule!G813,Schedule!G815,Schedule!G816,Schedule!G817,Schedule!G824,Schedule!G825,Schedule!G828,Schedule!G829,Schedule!G833)</f>
        <v>0</v>
      </c>
      <c r="D66" s="27">
        <f>IF(Schedule!G753=0,1,0)+IF(Schedule!G754=0,1,0)+IF(Schedule!G757=0,1,0)+IF(Schedule!G758=0,1,0)+IF(Schedule!G760=0,1,0)+IF(Schedule!G761=0,1,0)+IF(Schedule!G764=0,1,0)+IF(Schedule!G765=0,1,0)+IF(Schedule!G766=0,1,0)+IF(Schedule!G768=0,1,0)+IF(Schedule!G770=0,1,0)+IF(Schedule!G771=0,1,0)+IF(Schedule!G772=0,1,0)+IF(Schedule!G773=0,1,0)+IF(Schedule!G776=0,1,0)+IF(Schedule!G778=0,1,0)+IF(Schedule!G780=0,1,0)+IF(Schedule!G785=0,1,0)+IF(Schedule!G787=0,1,0)+IF(Schedule!G788=0,1,0)+IF(Schedule!G790=0,1,0)+IF(Schedule!G792=0,1,0)+IF(Schedule!G796=0,1,0)+IF(Schedule!G797=0,1,0)+IF(Schedule!G799=0,1,0)+IF(Schedule!G803=0,1,0)+IF(Schedule!G804=0,1,0)+IF(Schedule!G806=0,1,0)+IF(Schedule!G808=0,1,0)+IF(Schedule!G809=0,1,0)+IF(Schedule!G811=0,1,0)+IF(Schedule!G812=0,1,0)+IF(Schedule!G813=0,1,0)+IF(Schedule!G815=0,1,0)+IF(Schedule!G816=0,1,0)+IF(Schedule!G817=0,1,0)+IF(Schedule!G824=0,1,0)+IF(Schedule!G825=0,1,0)+IF(Schedule!G828=0,1,0)+IF(Schedule!G829=0,1,0)+IF(Schedule!G833=0,1,0)</f>
        <v>1</v>
      </c>
      <c r="E66" s="281">
        <f t="shared" si="6"/>
        <v>0</v>
      </c>
      <c r="F66" s="7">
        <f>SUM(Schedule!G755,Schedule!G756,Schedule!G759,Schedule!G762,Schedule!G763,Schedule!G767,Schedule!G769,Schedule!G774,Schedule!G775,Schedule!G777,Schedule!G779,Schedule!G781,Schedule!G782,Schedule!G783,Schedule!G784,Schedule!G786,Schedule!G789,Schedule!G791,Schedule!G793,Schedule!G794,Schedule!G795,Schedule!G798,Schedule!G800,Schedule!G801,Schedule!G802,Schedule!G805,Schedule!G807,Schedule!G810,Schedule!G814,Schedule!G818,Schedule!G819,Schedule!G820,Schedule!G821,Schedule!G822,Schedule!G823,Schedule!G826,Schedule!G827,Schedule!G830,Schedule!G831,Schedule!G832,Schedule!G834)</f>
        <v>0</v>
      </c>
      <c r="G66" s="45">
        <f>IF(Schedule!G755=0,1,0)+IF(Schedule!G756=0,1,0)+IF(Schedule!G759=0,1,0)+IF(Schedule!G762=0,1,0)+IF(Schedule!G763=0,1,0)+IF(Schedule!G767=0,1,0)+IF(Schedule!G769=0,1,0)+IF(Schedule!G774=0,1,0)+IF(Schedule!G775=0,1,0)+IF(Schedule!G777=0,1,0)+IF(Schedule!G779=0,1,0)+IF(Schedule!G781=0,1,0)+IF(Schedule!G782=0,1,0)+IF(Schedule!G783=0,1,0)+IF(Schedule!G784=0,1,0)+IF(Schedule!G786=0,1,0)+IF(Schedule!G789=0,1,0)+IF(Schedule!G791=0,1,0)+IF(Schedule!G793=0,1,0)+IF(Schedule!G794=0,1,0)+IF(Schedule!G795=0,1,0)+IF(Schedule!G798=0,1,0)+IF(Schedule!G800=0,1,0)+IF(Schedule!G801=0,1,0)+IF(Schedule!G802=0,1,0)+IF(Schedule!G805=0,1,0)+IF(Schedule!G807=0,1,0)+IF(Schedule!G810=0,1,0)+IF(Schedule!G814=0,1,0)+IF(Schedule!G818=0,1,0)+IF(Schedule!G819=0,1,0)+IF(Schedule!G820=0,1,0)+IF(Schedule!G821=0,1,0)+IF(Schedule!G822=0,1,0)+IF(Schedule!G823=0,1,0)+IF(Schedule!G826=0,1,0)+IF(Schedule!G827=0,1,0)+IF(Schedule!G830=0,1,0)+IF(Schedule!G831=0,1,0)+IF(Schedule!G832=0,1,0)+IF(Schedule!G834=0,1,0)</f>
        <v>0</v>
      </c>
      <c r="H66" s="266" t="e">
        <f t="shared" si="7"/>
        <v>#DIV/0!</v>
      </c>
      <c r="I66" s="45">
        <f>AVERAGE(Schedule!H753:H834)</f>
        <v>96</v>
      </c>
      <c r="J66" s="45">
        <f>AVERAGE(Schedule!I753:I834)</f>
        <v>18</v>
      </c>
      <c r="K66" s="45">
        <f>AVERAGE(Schedule!J753:J834)</f>
        <v>48</v>
      </c>
      <c r="L66" s="45">
        <f>AVERAGE(Schedule!K753:K834)</f>
        <v>75</v>
      </c>
      <c r="M66" s="45">
        <f>AVERAGE(Schedule!L753:L834)</f>
        <v>42</v>
      </c>
      <c r="N66" s="130">
        <f>AVERAGE(PER!H211:H227)</f>
        <v>10.41818181818182</v>
      </c>
      <c r="O66" s="47">
        <f>AVERAGE(INDEX(PER!H211:H227,MATCH(MAX(PER!I211:I227,1),PER!I211:I227,0)),(INDEX(PER!H211:H227,MATCH(LARGE(PER!I211:I227,2),PER!I211:I227,0))),(INDEX(PER!H211:H227,MATCH(LARGE(PER!I211:I227,3),PER!I211:I227,0))),(INDEX(PER!H211:H227,MATCH(LARGE(PER!I211:I227,4),PER!I211:I227,0))),(INDEX(PER!H211:H227,MATCH(LARGE(PER!I211:I227,5),PER!I211:I227,0))))</f>
        <v>30.8</v>
      </c>
    </row>
    <row r="67" spans="1:18" x14ac:dyDescent="0.3">
      <c r="A67" s="77"/>
      <c r="B67" s="8" t="s">
        <v>9</v>
      </c>
      <c r="C67" s="29">
        <f>SUM(Schedule!G837,Schedule!G839,Schedule!G841,Schedule!G842,Schedule!G845,Schedule!G846,Schedule!G848,Schedule!G849,Schedule!G850,Schedule!G852,Schedule!G854,Schedule!G855,Schedule!G857,Schedule!G863,Schedule!G864,Schedule!G865,Schedule!G869,Schedule!G870,Schedule!G873,Schedule!G875,Schedule!G877,Schedule!G879,Schedule!G880,Schedule!G883,Schedule!G887,Schedule!G888,Schedule!G889,Schedule!G890,Schedule!G891,Schedule!G894,Schedule!G895,Schedule!G898,Schedule!G903,Schedule!G904,Schedule!G909,Schedule!G910,Schedule!G912,Schedule!G913,Schedule!G914,Schedule!G916,Schedule!G917)</f>
        <v>0</v>
      </c>
      <c r="D67" s="26">
        <f>IF(Schedule!G837=0,1,0)+IF(Schedule!G839=0,1,0)+IF(Schedule!G841=0,1,0)+IF(Schedule!G842=0,1,0)+IF(Schedule!G845=0,1,0)+IF(Schedule!G846=0,1,0)+IF(Schedule!G848=0,1,0)+IF(Schedule!G849=0,1,0)+IF(Schedule!G850=0,1,0)+IF(Schedule!G852=0,1,0)+IF(Schedule!G854=0,1,0)+IF(Schedule!G855=0,1,0)+IF(Schedule!G857=0,1,0)+IF(Schedule!G863=0,1,0)+IF(Schedule!G864=0,1,0)+IF(Schedule!G865=0,1,0)+IF(Schedule!G869=0,1,0)+IF(Schedule!G870=0,1,0)+IF(Schedule!G873=0,1,0)+IF(Schedule!G875=0,1,0)+IF(Schedule!G877=0,1,0)+IF(Schedule!G879=0,1,0)+IF(Schedule!G880=0,1,0)+IF(Schedule!G883=0,1,0)+IF(Schedule!G887=0,1,0)+IF(Schedule!G888=0,1,0)+IF(Schedule!G889=0,1,0)+IF(Schedule!G890=0,1,0)+IF(Schedule!G891=0,1,0)+IF(Schedule!G894=0,1,0)+IF(Schedule!G895=0,1,0)+IF(Schedule!G898=0,1,0)+IF(Schedule!G903=0,1,0)+IF(Schedule!G904=0,1,0)+IF(Schedule!G909=0,1,0)+IF(Schedule!G910=0,1,0)+IF(Schedule!G912=0,1,0)+IF(Schedule!G913=0,1,0)+IF(Schedule!G914=0,1,0)+IF(Schedule!G916=0,1,0)+IF(Schedule!G917=0,1,0)</f>
        <v>0</v>
      </c>
      <c r="E67" s="281" t="e">
        <f t="shared" si="6"/>
        <v>#DIV/0!</v>
      </c>
      <c r="F67" s="9">
        <f>SUM(Schedule!G836,Schedule!G838,Schedule!G840,Schedule!G843,Schedule!G844,Schedule!G847,Schedule!G851,Schedule!G853,Schedule!G856,Schedule!G858,Schedule!G859,Schedule!G860,Schedule!G861,Schedule!G862,Schedule!G866,Schedule!G867,Schedule!G868,Schedule!G871,Schedule!G872,Schedule!G874,Schedule!G876,Schedule!G878,Schedule!G881,Schedule!G882,Schedule!G884,Schedule!G885,Schedule!G886,Schedule!G892,Schedule!G893,Schedule!G896,Schedule!G897,Schedule!G899,Schedule!G900,Schedule!G901,Schedule!G902,Schedule!G905,Schedule!G906,Schedule!G907,Schedule!G908,Schedule!G911,Schedule!G915)</f>
        <v>0</v>
      </c>
      <c r="G67" s="44">
        <f>IF(Schedule!G836=0,1,0)+IF(Schedule!G838=0,1,0)+IF(Schedule!G840=0,1,0)+IF(Schedule!G843=0,1,0)+IF(Schedule!G844=0,1,0)+IF(Schedule!G847=0,1,0)+IF(Schedule!G851=0,1,0)+IF(Schedule!G853=0,1,0)+IF(Schedule!G856=0,1,0)+IF(Schedule!G858=0,1,0)+IF(Schedule!G859=0,1,0)+IF(Schedule!G860=0,1,0)+IF(Schedule!G861=0,1,0)+IF(Schedule!G862=0,1,0)+IF(Schedule!G866=0,1,0)+IF(Schedule!G867=0,1,0)+IF(Schedule!G868=0,1,0)+IF(Schedule!G871=0,1,0)+IF(Schedule!G872=0,1,0)+IF(Schedule!G874=0,1,0)+IF(Schedule!G876=0,1,0)+IF(Schedule!G878=0,1,0)+IF(Schedule!G881=0,1,0)+IF(Schedule!G882=0,1,0)+IF(Schedule!G884=0,1,0)+IF(Schedule!G885=0,1,0)+IF(Schedule!G886=0,1,0)+IF(Schedule!G892=0,1,0)+IF(Schedule!G893=0,1,0)+IF(Schedule!G896=0,1,0)+IF(Schedule!G897=0,1,0)+IF(Schedule!G899=0,1,0)+IF(Schedule!G900=0,1,0)+IF(Schedule!G901=0,1,0)+IF(Schedule!G902=0,1,0)+IF(Schedule!G905=0,1,0)+IF(Schedule!G906=0,1,0)+IF(Schedule!G907=0,1,0)+IF(Schedule!G908=0,1,0)+IF(Schedule!G911=0,1,0)+IF(Schedule!G915=0,1,0)</f>
        <v>1</v>
      </c>
      <c r="H67" s="266">
        <f t="shared" si="7"/>
        <v>0</v>
      </c>
      <c r="I67" s="125">
        <f>AVERAGE(Schedule!H836:H917)</f>
        <v>88</v>
      </c>
      <c r="J67" s="125">
        <f>AVERAGE(Schedule!I836:I917)</f>
        <v>33</v>
      </c>
      <c r="K67" s="125">
        <f>AVERAGE(Schedule!J836:J917)</f>
        <v>38</v>
      </c>
      <c r="L67" s="125">
        <f>AVERAGE(Schedule!K836:K917)</f>
        <v>75</v>
      </c>
      <c r="M67" s="125">
        <f>AVERAGE(Schedule!L836:L917)</f>
        <v>37</v>
      </c>
      <c r="N67" s="129">
        <f>AVERAGE(PER!H229:H248)</f>
        <v>7.5384615384615392</v>
      </c>
      <c r="O67" s="47">
        <f>AVERAGE(INDEX(PER!H229:H248,MATCH(MAX(PER!I229:I248,1),PER!I229:I248,0)),(INDEX(PER!H229:H248,MATCH(LARGE(PER!I229:I248,2),PER!I229:I248,0))),(INDEX(PER!H229:H248,MATCH(LARGE(PER!I229:I248,3),PER!I229:I248,0))),(INDEX(PER!H229:H248,MATCH(LARGE(PER!I229:I248,4),PER!I229:I248,0))),(INDEX(PER!H229:H248,MATCH(LARGE(PER!I229:I248,5),PER!I229:I248,0))))</f>
        <v>12.4</v>
      </c>
    </row>
    <row r="68" spans="1:18" x14ac:dyDescent="0.3">
      <c r="A68" s="77"/>
      <c r="B68" s="6" t="s">
        <v>10</v>
      </c>
      <c r="C68" s="28">
        <f>SUM(Schedule!G919,Schedule!G923,Schedule!G924,Schedule!G926,Schedule!G927,Schedule!G930,Schedule!G931,Schedule!G933,Schedule!G934,Schedule!G935,Schedule!G941,Schedule!G943,Schedule!G945,Schedule!G946,Schedule!G947,Schedule!G950,Schedule!G951,Schedule!G952,Schedule!G955,Schedule!G956,Schedule!G963,Schedule!G964,Schedule!G965,Schedule!G969,Schedule!G970,Schedule!G973,Schedule!G976,Schedule!G977,Schedule!G978,Schedule!G979,Schedule!G980,Schedule!G982,Schedule!G983,Schedule!G985,Schedule!G989,Schedule!G990,Schedule!G991,Schedule!G993,Schedule!G997,Schedule!G998,Schedule!G1000)</f>
        <v>0</v>
      </c>
      <c r="D68" s="27">
        <f>IF(Schedule!G919=0,1,0)+IF(Schedule!G923=0,1,0)+IF(Schedule!G924=0,1,0)+IF(Schedule!G926=0,1,0)+IF(Schedule!G927=0,1,0)+IF(Schedule!G930=0,1,0)+IF(Schedule!G931=0,1,0)+IF(Schedule!G933=0,1,0)+IF(Schedule!G934=0,1,0)+IF(Schedule!G935=0,1,0)+IF(Schedule!G941=0,1,0)+IF(Schedule!G943=0,1,0)+IF(Schedule!G945=0,1,0)+IF(Schedule!G946=0,1,0)+IF(Schedule!G947=0,1,0)+IF(Schedule!G950=0,1,0)+IF(Schedule!G951=0,1,0)+IF(Schedule!G952=0,1,0)+IF(Schedule!G955=0,1,0)+IF(Schedule!G956=0,1,0)+IF(Schedule!G963=0,1,0)+IF(Schedule!G964=0,1,0)+IF(Schedule!G965=0,1,0)+IF(Schedule!G969=0,1,0)+IF(Schedule!G970=0,1,0)+IF(Schedule!G973=0,1,0)+IF(Schedule!G976=0,1,0)+IF(Schedule!G977=0,1,0)+IF(Schedule!G978=0,1,0)+IF(Schedule!G979=0,1,0)+IF(Schedule!G980=0,1,0)+IF(Schedule!G982=0,1,0)+IF(Schedule!G983=0,1,0)+IF(Schedule!G985=0,1,0)+IF(Schedule!G989=0,1,0)+IF(Schedule!G990=0,1,0)+IF(Schedule!G991=0,1,0)+IF(Schedule!G993=0,1,0)+IF(Schedule!G997=0,1,0)+IF(Schedule!G998=0,1,0)+IF(Schedule!G1000=0,1,0)</f>
        <v>1</v>
      </c>
      <c r="E68" s="281">
        <f t="shared" si="6"/>
        <v>0</v>
      </c>
      <c r="F68" s="7">
        <f>SUM(Schedule!G920,Schedule!G921,Schedule!G922,Schedule!G925,Schedule!G928,Schedule!G929,Schedule!G932,Schedule!G936,Schedule!G937,Schedule!G938,Schedule!G939,Schedule!G940,Schedule!G942,Schedule!G944,Schedule!G948,Schedule!G949,Schedule!G953,Schedule!G954,Schedule!G957,Schedule!G958,Schedule!G959,Schedule!G960,Schedule!G961,Schedule!G962,Schedule!G966,Schedule!G967,Schedule!G968,Schedule!G971,Schedule!G972,Schedule!G974,Schedule!G975,Schedule!G981,Schedule!G984,Schedule!G986,Schedule!G987,Schedule!G988,Schedule!G992,Schedule!G994,Schedule!G995,Schedule!G996,Schedule!G999)</f>
        <v>0</v>
      </c>
      <c r="G68" s="27">
        <f>IF(Schedule!G920=0,1,0)+IF(Schedule!G921=0,1,0)+IF(Schedule!G922=0,1,0)+IF(Schedule!G925=0,1,0)+IF(Schedule!G928=0,1,0)+IF(Schedule!G929=0,1,0)+IF(Schedule!G932=0,1,0)+IF(Schedule!G936=0,1,0)+IF(Schedule!G937=0,1,0)+IF(Schedule!G938=0,1,0)+IF(Schedule!G939=0,1,0)+IF(Schedule!G940=0,1,0)+IF(Schedule!G942=0,1,0)+IF(Schedule!G944=0,1,0)+IF(Schedule!G948=0,1,0)+IF(Schedule!G949=0,1,0)+IF(Schedule!G953=0,1,0)+IF(Schedule!G954=0,1,0)+IF(Schedule!G957=0,1,0)+IF(Schedule!G958=0,1,0)+IF(Schedule!G959=0,1,0)+IF(Schedule!G960=0,1,0)+IF(Schedule!G961=0,1,0)+IF(Schedule!G962=0,1,0)+IF(Schedule!G966=0,1,0)+IF(Schedule!G967=0,1,0)+IF(Schedule!G968=0,1,0)+IF(Schedule!G971=0,1,0)+IF(Schedule!G972=0,1,0)+IF(Schedule!G974=0,1,0)+IF(Schedule!G975=0,1,0)+IF(Schedule!G981=0,1,0)+IF(Schedule!G984=0,1,0)+IF(Schedule!G986=0,1,0)+IF(Schedule!G987=0,1,0)+IF(Schedule!G988=0,1,0)+IF(Schedule!G992=0,1,0)+IF(Schedule!G994=0,1,0)+IF(Schedule!G995=0,1,0)+IF(Schedule!G996=0,1,0)+IF(Schedule!G999=0,1,0)</f>
        <v>0</v>
      </c>
      <c r="H68" s="266" t="e">
        <f t="shared" si="7"/>
        <v>#DIV/0!</v>
      </c>
      <c r="I68" s="27">
        <f>AVERAGE(Schedule!H919:H1000)</f>
        <v>96</v>
      </c>
      <c r="J68" s="27">
        <f>AVERAGE(Schedule!I919:I1000)</f>
        <v>35</v>
      </c>
      <c r="K68" s="27">
        <f>AVERAGE(Schedule!J919:J1000)</f>
        <v>39</v>
      </c>
      <c r="L68" s="27">
        <f>AVERAGE(Schedule!K919:K1000)</f>
        <v>79</v>
      </c>
      <c r="M68" s="27">
        <f>AVERAGE(Schedule!L919:L1000)</f>
        <v>39</v>
      </c>
      <c r="N68" s="121">
        <f>AVERAGE(PER!H250:H268)</f>
        <v>11.775</v>
      </c>
      <c r="O68" s="47">
        <f>AVERAGE(INDEX(PER!H250:H268,MATCH(MAX(PER!I250:I268,1),PER!I250:I268,0)),(INDEX(PER!H250:H268,MATCH(LARGE(PER!I250:I268,2),PER!I250:I268,0))),(INDEX(PER!H250:H268,MATCH(LARGE(PER!I250:I268,3),PER!I250:I268,0))),(INDEX(PER!H250:H268,MATCH(LARGE(PER!I250:I268,4),PER!I250:I268,0))),(INDEX(PER!H250:H268,MATCH(LARGE(PER!I250:I268,5),PER!I250:I268,0))))</f>
        <v>22.9</v>
      </c>
      <c r="R68">
        <f t="shared" ref="R68:R82" si="8">((C74+F74)*100)/SUM(C74,D74,F74,G74)</f>
        <v>0</v>
      </c>
    </row>
    <row r="69" spans="1:18" x14ac:dyDescent="0.3">
      <c r="A69" s="77"/>
      <c r="B69" s="8" t="s">
        <v>11</v>
      </c>
      <c r="C69" s="29">
        <f>SUM(Schedule!G1002,Schedule!G1003,Schedule!G1004,Schedule!G1006,Schedule!G1007,Schedule!G1009,Schedule!G1012,Schedule!G1014,Schedule!G1015,Schedule!G1016,Schedule!G1017,Schedule!G1018,Schedule!G1021,Schedule!G1022,Schedule!G1023,Schedule!G1027,Schedule!G1028,Schedule!G1029,Schedule!G1030,Schedule!G1035,Schedule!G1038,Schedule!G1039,Schedule!G1042,Schedule!G1043,Schedule!G1045,Schedule!G1047,Schedule!G1053,Schedule!G1055,Schedule!G1058,Schedule!G1060,Schedule!G1062,Schedule!G1063,Schedule!G1064,Schedule!G1069,Schedule!G1070,Schedule!G1076,Schedule!G1079,Schedule!G1080,Schedule!G1081,Schedule!G1082,Schedule!G1020)</f>
        <v>0</v>
      </c>
      <c r="D69" s="26">
        <f>IF(Schedule!G1002=0,1,0)+IF(Schedule!G1003=0,1,0)+IF(Schedule!G1004=0,1,0)+IF(Schedule!G1006=0,1,0)+IF(Schedule!G1007=0,1,0)+IF(Schedule!G1009=0,1,0)+IF(Schedule!G1012=0,1,0)+IF(Schedule!G1014=0,1,0)+IF(Schedule!G1015=0,1,0)+IF(Schedule!G1016=0,1,0)+IF(Schedule!G1017=0,1,0)+IF(Schedule!G1018=0,1,0)+IF(Schedule!G1020=0,1,0)+IF(Schedule!G1021=0,1,0)+IF(Schedule!G1022=0,1,0)+IF(Schedule!G1023=0,1,0)+IF(Schedule!G1027=0,1,0)+IF(Schedule!G1028=0,1,0)+IF(Schedule!G1029=0,1,0)+IF(Schedule!G1030=0,1,0)+IF(Schedule!G1035=0,1,0)+IF(Schedule!G1038=0,1,0)+IF(Schedule!G1039=0,1,0)+IF(Schedule!G1042=0,1,0)+IF(Schedule!G1043=0,1,0)+IF(Schedule!G1045=0,1,0)+IF(Schedule!G1047=0,1,0)+IF(Schedule!G1053=0,1,0)+IF(Schedule!G1055=0,1,0)+IF(Schedule!G1058=0,1,0)+IF(Schedule!G1060=0,1,0)+IF(Schedule!G1062=0,1,0)+IF(Schedule!G1063=0,1,0)+IF(Schedule!G1064=0,1,0)+IF(Schedule!G1069=0,1,0)+IF(Schedule!G1070=0,1,0)+IF(Schedule!G1076=0,1,0)+IF(Schedule!G1079=0,1,0)+IF(Schedule!G1080=0,1,0)+IF(Schedule!G1081=0,1,0)+IF(Schedule!G1082=0,1,0)</f>
        <v>1</v>
      </c>
      <c r="E69" s="281">
        <f t="shared" si="6"/>
        <v>0</v>
      </c>
      <c r="F69" s="9">
        <f>SUM(Schedule!G1005,Schedule!G1008,Schedule!G1010,Schedule!G1011,Schedule!G1013,Schedule!G1019,Schedule!G1024,Schedule!G1025,Schedule!G1026,Schedule!G1031,Schedule!G1032,Schedule!G1033,Schedule!G1034,Schedule!G1036,Schedule!G1037,Schedule!G1040,Schedule!G1041,Schedule!G1044,Schedule!G1046,Schedule!G1048,Schedule!G1049,Schedule!G1050,Schedule!G1051,Schedule!G1052,Schedule!G1054,Schedule!G1056,Schedule!G1057,Schedule!G1059,Schedule!G1061,Schedule!G1065,Schedule!G1066,Schedule!G1067,Schedule!G1068,Schedule!G1071,Schedule!G1072,Schedule!G1073,Schedule!G1074,Schedule!G1075,Schedule!G1077,Schedule!G1078,Schedule!G1083)</f>
        <v>0</v>
      </c>
      <c r="G69" s="47">
        <f>IF(Schedule!G1005=0,1,0)+IF(Schedule!G1008=0,1,0)+IF(Schedule!G1010=0,1,0)+IF(Schedule!G1011=0,1,0)+IF(Schedule!G1013=0,1,0)+IF(Schedule!G1019=0,1,0)+IF(Schedule!G1024=0,1,0)+IF(Schedule!G1025=0,1,0)+IF(Schedule!G1026=0,1,0)+IF(Schedule!G1031=0,1,0)+IF(Schedule!G1032=0,1,0)+IF(Schedule!G1033=0,1,0)+IF(Schedule!G1034=0,1,0)+IF(Schedule!G1036=0,1,0)+IF(Schedule!G1037=0,1,0)+IF(Schedule!G1040=0,1,0)+IF(Schedule!G1041=0,1,0)+IF(Schedule!G1044=0,1,0)+IF(Schedule!G1046=0,1,0)+IF(Schedule!G1048=0,1,0)+IF(Schedule!G1049=0,1,0)+IF(Schedule!G1050=0,1,0)+IF(Schedule!G1051=0,1,0)+IF(Schedule!G1052=0,1,0)+IF(Schedule!G1054=0,1,0)+IF(Schedule!G1056=0,1,0)+IF(Schedule!G1057=0,1,0)+IF(Schedule!G1059=0,1,0)+IF(Schedule!G1061=0,1,0)+IF(Schedule!G1065=0,1,0)+IF(Schedule!G1066=0,1,0)+IF(Schedule!G1067=0,1,0)+IF(Schedule!G1068=0,1,0)+IF(Schedule!G1071=0,1,0)+IF(Schedule!G1072=0,1,0)+IF(Schedule!G1073=0,1,0)+IF(Schedule!G1074=0,1,0)+IF(Schedule!G1075=0,1,0)+IF(Schedule!G1077=0,1,0)+IF(Schedule!G1078=0,1,0)+IF(Schedule!G1083=0,1,0)</f>
        <v>0</v>
      </c>
      <c r="H69" s="266" t="e">
        <f t="shared" si="7"/>
        <v>#DIV/0!</v>
      </c>
      <c r="I69" s="47">
        <f>AVERAGE(Schedule!H1002:H1083)</f>
        <v>97</v>
      </c>
      <c r="J69" s="47">
        <f>AVERAGE(Schedule!I1002:I1083)</f>
        <v>29</v>
      </c>
      <c r="K69" s="47">
        <f>AVERAGE(Schedule!J1002:J1083)</f>
        <v>48</v>
      </c>
      <c r="L69" s="47">
        <f>AVERAGE(Schedule!K1002:K1083)</f>
        <v>72</v>
      </c>
      <c r="M69" s="47">
        <f>AVERAGE(Schedule!L1002:L1083)</f>
        <v>43</v>
      </c>
      <c r="N69" s="113">
        <f>AVERAGE(PER!H270:H291)</f>
        <v>12.381818181818183</v>
      </c>
      <c r="O69" s="47">
        <f>AVERAGE(INDEX(PER!H270:H291,MATCH(MAX(PER!I270:I291,1),PER!I270:I291,0)),(INDEX(PER!H270:H291,MATCH(LARGE(PER!I270:I291,2),PER!I270:I291,0))),(INDEX(PER!H270:H291,MATCH(LARGE(PER!I270:I291,3),PER!I270:I291,0))),(INDEX(PER!H270:H291,MATCH(LARGE(PER!I270:I291,4),PER!I270:I291,0))),(INDEX(PER!H270:H291,MATCH(LARGE(PER!I270:I291,5),PER!I270:I291,0))))</f>
        <v>18.100000000000001</v>
      </c>
      <c r="R69">
        <f t="shared" si="8"/>
        <v>100</v>
      </c>
    </row>
    <row r="70" spans="1:18" x14ac:dyDescent="0.3">
      <c r="A70" s="77"/>
      <c r="B70" s="6" t="s">
        <v>12</v>
      </c>
      <c r="C70" s="28">
        <f>SUM(Schedule!G1085,Schedule!G1086,Schedule!G1087,Schedule!G1089,Schedule!G1090,Schedule!G1093,Schedule!G1095,Schedule!G1101,Schedule!G1102,Schedule!G1103,Schedule!G1104,Schedule!G1105,Schedule!G1106,Schedule!G1108,Schedule!G1110,Schedule!G1112,Schedule!G1119,Schedule!G1121,Schedule!G1122,Schedule!G1123,Schedule!G1124,Schedule!G1128,Schedule!G1129,Schedule!G1131,Schedule!G1132,Schedule!G1133,Schedule!G1137,Schedule!G1139,Schedule!G1141,Schedule!G1142,Schedule!G1143,Schedule!G1145,Schedule!G1151,Schedule!G1152,Schedule!G1154,Schedule!G1155,Schedule!G1158,Schedule!G1159,Schedule!G1160,Schedule!G1161,Schedule!G1164)</f>
        <v>1</v>
      </c>
      <c r="D70" s="27">
        <f>IF(Schedule!G1085=0,1,0)+IF(Schedule!G1086=0,1,0)+IF(Schedule!G1087=0,1,0)+IF(Schedule!G1089=0,1,0)+IF(Schedule!G1090=0,1,0)+IF(Schedule!G1093=0,1,0)+IF(Schedule!G1095=0,1,0)+IF(Schedule!G1101=0,1,0)+IF(Schedule!G1102=0,1,0)+IF(Schedule!G1103=0,1,0)+IF(Schedule!G1104=0,1,0)+IF(Schedule!G1105=0,1,0)+IF(Schedule!G1106=0,1,0)+IF(Schedule!G1108=0,1,0)+IF(Schedule!G1110=0,1,0)+IF(Schedule!G1112=0,1,0)+IF(Schedule!G1119=0,1,0)+IF(Schedule!G1121=0,1,0)+IF(Schedule!G1122=0,1,0)+IF(Schedule!G1123=0,1,0)+IF(Schedule!G1124=0,1,0)+IF(Schedule!G1128=0,1,0)+IF(Schedule!G1129=0,1,0)+IF(Schedule!G1131=0,1,0)+IF(Schedule!G1132=0,1,0)+IF(Schedule!G1133=0,1,0)+IF(Schedule!G1137=0,1,0)+IF(Schedule!G1139=0,1,0)+IF(Schedule!G1141=0,1,0)+IF(Schedule!G1142=0,1,0)+IF(Schedule!G1143=0,1,0)+IF(Schedule!G1145=0,1,0)+IF(Schedule!G1151=0,1,0)+IF(Schedule!G1152=0,1,0)+IF(Schedule!G1154=0,1,0)+IF(Schedule!G1155=0,1,0)+IF(Schedule!G1158=0,1,0)+IF(Schedule!G1159=0,1,0)+IF(Schedule!G1160=0,1,0)+IF(Schedule!G1161=0,1,0)+IF(Schedule!G1164=0,1,0)</f>
        <v>0</v>
      </c>
      <c r="E70" s="281">
        <f t="shared" si="6"/>
        <v>100</v>
      </c>
      <c r="F70" s="7">
        <f>SUM(Schedule!G1088,Schedule!G1091,Schedule!G1092,Schedule!G1094,Schedule!G1096,Schedule!G1097,Schedule!G1098,Schedule!G1099,Schedule!G1100,Schedule!G1107,Schedule!G1109,Schedule!G1111,Schedule!G1113,Schedule!G1114,Schedule!G1115,Schedule!G1116,Schedule!G1117,Schedule!G1118,Schedule!G1120,Schedule!G1125,Schedule!G1126,Schedule!G1127,Schedule!G1130,Schedule!G1134,Schedule!G1135,Schedule!G1136,Schedule!G1138,Schedule!G1140,Schedule!G1144,Schedule!G1146,Schedule!G1147,Schedule!G1148,Schedule!G1149,Schedule!G1150,Schedule!G1153,Schedule!G1156,Schedule!G1157,Schedule!G1162,Schedule!G1163,Schedule!G1165,Schedule!G1166)</f>
        <v>0</v>
      </c>
      <c r="G70" s="43">
        <f>IF(Schedule!G1088=0,1,0)+IF(Schedule!G1091=0,1,0)+IF(Schedule!G1092=0,1,0)+IF(Schedule!G1094=0,1,0)+IF(Schedule!G1096=0,1,0)+IF(Schedule!G1097=0,1,0)+IF(Schedule!G1098=0,1,0)+IF(Schedule!G1099=0,1,0)+IF(Schedule!G1100=0,1,0)+IF(Schedule!G1107=0,1,0)+IF(Schedule!G1109=0,1,0)+IF(Schedule!G1111=0,1,0)+IF(Schedule!G1113=0,1,0)+IF(Schedule!G1114=0,1,0)+IF(Schedule!G1115=0,1,0)+IF(Schedule!G1116=0,1,0)+IF(Schedule!G1117=0,1,0)+IF(Schedule!G1118=0,1,0)+IF(Schedule!G1120=0,1,0)+IF(Schedule!G1125=0,1,0)+IF(Schedule!G1126=0,1,0)+IF(Schedule!G1127=0,1,0)+IF(Schedule!G1130=0,1,0)+IF(Schedule!G1134=0,1,0)+IF(Schedule!G1135=0,1,0)+IF(Schedule!G1136=0,1,0)+IF(Schedule!G1138=0,1,0)+IF(Schedule!G1140=0,1,0)+IF(Schedule!G1144=0,1,0)+IF(Schedule!G1146=0,1,0)+IF(Schedule!G1147=0,1,0)+IF(Schedule!G1148=0,1,0)+IF(Schedule!G1149=0,1,0)+IF(Schedule!G1150=0,1,0)+IF(Schedule!G1153=0,1,0)+IF(Schedule!G1156=0,1,0)+IF(Schedule!G1157=0,1,0)+IF(Schedule!G1162=0,1,0)+IF(Schedule!G1163=0,1,0)+IF(Schedule!G1165=0,1,0)+IF(Schedule!G1166=0,1,0)</f>
        <v>0</v>
      </c>
      <c r="H70" s="266" t="e">
        <f t="shared" si="7"/>
        <v>#DIV/0!</v>
      </c>
      <c r="I70" s="43">
        <f>AVERAGE(Schedule!H1085:H1166)</f>
        <v>109</v>
      </c>
      <c r="J70" s="43">
        <f>AVERAGE(Schedule!I1085:I1166)</f>
        <v>17</v>
      </c>
      <c r="K70" s="43">
        <f>AVERAGE(Schedule!J1085:J1166)</f>
        <v>56</v>
      </c>
      <c r="L70" s="43">
        <f>AVERAGE(Schedule!K1085:K1166)</f>
        <v>83</v>
      </c>
      <c r="M70" s="43">
        <f>AVERAGE(Schedule!L1085:L1166)</f>
        <v>48</v>
      </c>
      <c r="N70" s="43">
        <f>AVERAGE(PER!H293:H312)</f>
        <v>10.210000000000001</v>
      </c>
      <c r="O70" s="47">
        <f>AVERAGE(INDEX(PER!H293:H312,MATCH(MAX(PER!I293:I312,1),PER!I293:I312,0)),(INDEX(PER!H293:H312,MATCH(LARGE(PER!I293:I312,2),PER!I293:I312,0))),(INDEX(PER!H293:H312,MATCH(LARGE(PER!I293:I312,3),PER!I293:I312,0))),(INDEX(PER!H293:H312,MATCH(LARGE(PER!I293:I312,4),PER!I293:I312,0))),(INDEX(PER!H293:H312,MATCH(LARGE(PER!I293:I312,5),PER!I293:I312,0))))</f>
        <v>40.299999999999997</v>
      </c>
      <c r="R70">
        <f t="shared" si="8"/>
        <v>0</v>
      </c>
    </row>
    <row r="71" spans="1:18" x14ac:dyDescent="0.3">
      <c r="A71" s="77"/>
      <c r="B71" s="8" t="s">
        <v>13</v>
      </c>
      <c r="C71" s="29">
        <f>SUM(Schedule!G1170,Schedule!G1171,Schedule!G1173,Schedule!G1174,Schedule!G1175,Schedule!G1178,Schedule!G1179,Schedule!G1180,Schedule!G1182,Schedule!G1183,Schedule!G1187,Schedule!G1188,Schedule!G1189,Schedule!G1191,Schedule!G1192,Schedule!G1193,Schedule!G1197,Schedule!G1198,Schedule!G1199,Schedule!G1202,Schedule!G1204,Schedule!G1206,Schedule!G1207,Schedule!G1208,Schedule!G1212,Schedule!G1215,Schedule!G1216,Schedule!G1217,Schedule!G1218,Schedule!G1220,Schedule!G1221,Schedule!G1224,Schedule!G1225,Schedule!G1227,Schedule!G1228,Schedule!G1234,Schedule!G1235,Schedule!G1238,Schedule!G1239,Schedule!G1245,Schedule!G1247)</f>
        <v>0</v>
      </c>
      <c r="D71" s="26">
        <f>IF(Schedule!G1170=0,1,0)+IF(Schedule!G1171=0,1,0)+IF(Schedule!G1173=0,1,0)+IF(Schedule!G1174=0,1,0)+IF(Schedule!G1175=0,1,0)+IF(Schedule!G1178=0,1,0)+IF(Schedule!G1179=0,1,0)+IF(Schedule!G1180=0,1,0)+IF(Schedule!G1182=0,1,0)+IF(Schedule!G1183=0,1,0)+IF(Schedule!G1187=0,1,0)+IF(Schedule!G1188=0,1,0)+IF(Schedule!G1189=0,1,0)+IF(Schedule!G1191=0,1,0)+IF(Schedule!G1192=0,1,0)+IF(Schedule!G1193=0,1,0)+IF(Schedule!G1197=0,1,0)+IF(Schedule!G1198=0,1,0)+IF(Schedule!G1199=0,1,0)+IF(Schedule!G1202=0,1,0)+IF(Schedule!G1204=0,1,0)+IF(Schedule!G1206=0,1,0)+IF(Schedule!G1207=0,1,0)+IF(Schedule!G1208=0,1,0)+IF(Schedule!G1212=0,1,0)+IF(Schedule!G1215=0,1,0)+IF(Schedule!G1216=0,1,0)+IF(Schedule!G1217=0,1,0)+IF(Schedule!G1218=0,1,0)+IF(Schedule!G1220=0,1,0)+IF(Schedule!G1221=0,1,0)+IF(Schedule!G1224=0,1,0)+IF(Schedule!G1225=0,1,0)+IF(Schedule!G1227=0,1,0)+IF(Schedule!G1228=0,1,0)+IF(Schedule!G1234=0,1,0)+IF(Schedule!G1235=0,1,0)+IF(Schedule!G1238=0,1,0)+IF(Schedule!G1239=0,1,0)+IF(Schedule!G1245=0,1,0)+IF(Schedule!G1247=0,1,0)</f>
        <v>0</v>
      </c>
      <c r="E71" s="281" t="e">
        <f t="shared" si="6"/>
        <v>#DIV/0!</v>
      </c>
      <c r="F71" s="9">
        <f>SUM(Schedule!G1168,Schedule!G1169,Schedule!G1172,Schedule!G1176,Schedule!G1177,Schedule!G1181,Schedule!G1184,Schedule!G1185,Schedule!G1186,Schedule!G1190,Schedule!G1194,Schedule!G1195,Schedule!G1196,Schedule!G1200,Schedule!G1201,Schedule!G1203,Schedule!G1205,Schedule!G1209,Schedule!G1210,Schedule!G1211,Schedule!G1213,Schedule!G1214,Schedule!G1219,Schedule!G1222,Schedule!G1223,Schedule!G1226,Schedule!G1229,Schedule!G1230,Schedule!G1231,Schedule!G1232,Schedule!G1233,Schedule!G1236,Schedule!G1237,Schedule!G1240,Schedule!G1241,Schedule!G1242,Schedule!G1243,Schedule!G1244,Schedule!G1246,Schedule!G1248,Schedule!G1249)</f>
        <v>0</v>
      </c>
      <c r="G71" s="44">
        <f>IF(Schedule!G1168=0,1,0)+IF(Schedule!G1169=0,1,0)+IF(Schedule!G1172=0,1,0)+IF(Schedule!G1176=0,1,0)+IF(Schedule!G1177=0,1,0)+IF(Schedule!G1181=0,1,0)+IF(Schedule!G1184=0,1,0)+IF(Schedule!G1185=0,1,0)+IF(Schedule!G1186=0,1,0)+IF(Schedule!G1190=0,1,0)+IF(Schedule!G1194=0,1,0)+IF(Schedule!G1195=0,1,0)+IF(Schedule!G1196=0,1,0)+IF(Schedule!G1200=0,1,0)+IF(Schedule!G1201=0,1,0)+IF(Schedule!G1203=0,1,0)+IF(Schedule!G1205=0,1,0)+IF(Schedule!G1209=0,1,0)+IF(Schedule!G1210=0,1,0)+IF(Schedule!G1211=0,1,0)+IF(Schedule!G1213=0,1,0)+IF(Schedule!G1214=0,1,0)+IF(Schedule!G1219=0,1,0)+IF(Schedule!G1222=0,1,0)+IF(Schedule!G1223=0,1,0)+IF(Schedule!G1226=0,1,0)+IF(Schedule!G1229=0,1,0)+IF(Schedule!G1230=0,1,0)+IF(Schedule!G1231=0,1,0)+IF(Schedule!G1232=0,1,0)+IF(Schedule!G1233=0,1,0)+IF(Schedule!G1236=0,1,0)+IF(Schedule!G1237=0,1,0)+IF(Schedule!G1240=0,1,0)+IF(Schedule!G1241=0,1,0)+IF(Schedule!G1242=0,1,0)+IF(Schedule!G1243=0,1,0)+IF(Schedule!G1244=0,1,0)+IF(Schedule!G1246=0,1,0)+IF(Schedule!G1248=0,1,0)+IF(Schedule!G1249=0,1,0)</f>
        <v>1</v>
      </c>
      <c r="H71" s="266">
        <f t="shared" si="7"/>
        <v>0</v>
      </c>
      <c r="I71" s="44">
        <f>AVERAGE(Schedule!H1168:H1249)</f>
        <v>99</v>
      </c>
      <c r="J71" s="44">
        <f>AVERAGE(Schedule!I1168:I1249)</f>
        <v>30</v>
      </c>
      <c r="K71" s="44">
        <f>AVERAGE(Schedule!J1168:J1249)</f>
        <v>46</v>
      </c>
      <c r="L71" s="44">
        <f>AVERAGE(Schedule!K1168:K1249)</f>
        <v>72</v>
      </c>
      <c r="M71" s="44">
        <f>AVERAGE(Schedule!L1168:L1249)</f>
        <v>43</v>
      </c>
      <c r="N71" s="44" t="e">
        <f>AVERAGE(PER!H314:H332)</f>
        <v>#DIV/0!</v>
      </c>
      <c r="O71" s="47" t="e">
        <f>AVERAGE(INDEX(PER!H314:H332,MATCH(MAX(PER!I314:I332,1),PER!I314:I332,0)),(INDEX(PER!H314:H332,MATCH(LARGE(PER!I314:I332,2),PER!I314:I332,0))),(INDEX(PER!H314:H332,MATCH(LARGE(PER!I314:I332,3),PER!I314:I332,0))),(INDEX(PER!H314:H332,MATCH(LARGE(PER!I314:I332,4),PER!I314:I332,0))),(INDEX(PER!H314:H332,MATCH(LARGE(PER!I314:I332,5),PER!I314:I332,0))))</f>
        <v>#N/A</v>
      </c>
      <c r="R71">
        <f t="shared" si="8"/>
        <v>0</v>
      </c>
    </row>
    <row r="72" spans="1:18" x14ac:dyDescent="0.3">
      <c r="B72" s="51" t="s">
        <v>31</v>
      </c>
      <c r="C72" s="349" t="s">
        <v>34</v>
      </c>
      <c r="D72" s="350"/>
      <c r="E72" s="281"/>
      <c r="F72" s="349" t="s">
        <v>35</v>
      </c>
      <c r="G72" s="350"/>
      <c r="H72" s="113"/>
      <c r="I72" s="76">
        <f>AVERAGE(I57:I71)</f>
        <v>105.63333333333334</v>
      </c>
      <c r="J72" s="76">
        <f>AVERAGE(J57:J71)</f>
        <v>32.233333333333334</v>
      </c>
      <c r="K72" s="76">
        <f>AVERAGE(K57:K71)</f>
        <v>49.06666666666667</v>
      </c>
      <c r="L72" s="76">
        <f>AVERAGE(L57:L71)</f>
        <v>75.533333333333331</v>
      </c>
      <c r="M72" s="76">
        <f>AVERAGE(M57:M71)</f>
        <v>44.466666666666669</v>
      </c>
      <c r="N72" s="134"/>
      <c r="O72" s="355" t="s">
        <v>635</v>
      </c>
      <c r="P72" s="355"/>
      <c r="Q72" s="355"/>
      <c r="R72">
        <f t="shared" si="8"/>
        <v>100</v>
      </c>
    </row>
    <row r="73" spans="1:18" x14ac:dyDescent="0.3">
      <c r="A73" t="s">
        <v>673</v>
      </c>
      <c r="B73" s="32" t="s">
        <v>29</v>
      </c>
      <c r="C73" s="25" t="s">
        <v>32</v>
      </c>
      <c r="D73" s="31" t="s">
        <v>33</v>
      </c>
      <c r="E73" s="281"/>
      <c r="F73" s="25" t="s">
        <v>32</v>
      </c>
      <c r="G73" s="31" t="s">
        <v>33</v>
      </c>
      <c r="H73" s="113"/>
      <c r="I73" s="24" t="s">
        <v>37</v>
      </c>
      <c r="J73" s="4" t="s">
        <v>38</v>
      </c>
      <c r="K73" s="4" t="s">
        <v>41</v>
      </c>
      <c r="L73" s="4" t="s">
        <v>40</v>
      </c>
      <c r="M73" s="4" t="s">
        <v>39</v>
      </c>
      <c r="N73" s="4" t="s">
        <v>224</v>
      </c>
      <c r="O73" s="4" t="s">
        <v>665</v>
      </c>
      <c r="R73">
        <f t="shared" si="8"/>
        <v>100</v>
      </c>
    </row>
    <row r="74" spans="1:18" x14ac:dyDescent="0.3">
      <c r="A74" s="77"/>
      <c r="B74" s="80" t="s">
        <v>14</v>
      </c>
      <c r="C74" s="82">
        <f>SUM(Schedule!G1252,Schedule!G1255,Schedule!G1256,Schedule!G1261,Schedule!G1264,Schedule!G1266,Schedule!G1267,Schedule!G1269,Schedule!G1270,Schedule!G1271,Schedule!G1272,Schedule!G1274,Schedule!G1275,Schedule!G1277,Schedule!G1282,Schedule!G1285,Schedule!G1286,Schedule!G1287,Schedule!G1290,Schedule!G1293,Schedule!G1294,Schedule!G1295,Schedule!G1298,Schedule!G1299,Schedule!G1302,Schedule!G1303,Schedule!G1304,Schedule!G1305,Schedule!G1308,Schedule!G1309,Schedule!G1313,Schedule!G1314,Schedule!G1315,Schedule!G1320,Schedule!G1321,Schedule!G1322,Schedule!G1323,Schedule!G1329,Schedule!G1331)</f>
        <v>0</v>
      </c>
      <c r="D74" s="22">
        <f>IF(Schedule!G1252=0,1,0)+IF(Schedule!G1255=0,1,0)+IF(Schedule!G1256=0,1,0)+IF(Schedule!G1261=0,1,0)+IF(Schedule!G1264=0,1,0)+IF(Schedule!G1266=0,1,0)+IF(Schedule!G1267=0,1,0)+IF(Schedule!G1269=0,1,0)+IF(Schedule!G1270=0,1,0)+IF(Schedule!G1271=0,1,0)+IF(Schedule!G1272=0,1,0)+IF(Schedule!G1274=0,1,0)+IF(Schedule!G1275=0,1,0)+IF(Schedule!G1277=0,1,0)+IF(Schedule!G1282=0,1,0)+IF(Schedule!G1285=0,1,0)+IF(Schedule!G1286=0,1,0)+IF(Schedule!G1287=0,1,0)+IF(Schedule!G1290=0,1,0)+IF(Schedule!G1293=0,1,0)+IF(Schedule!G1294=0,1,0)+IF(Schedule!G1295=0,1,0)+IF(Schedule!G1298=0,1,0)+IF(Schedule!G1299=0,1,0)+IF(Schedule!G1302=0,1,0)+IF(Schedule!G1303=0,1,0)+IF(Schedule!G1304=0,1,0)+IF(Schedule!G1305=0,1,0)+IF(Schedule!G1308=0,1,0)+IF(Schedule!G1309=0,1,0)+IF(Schedule!G1313=0,1,0)+IF(Schedule!G1313=0,1,0)+IF(Schedule!G1313=0,1,0)+IF(Schedule!G1314=0,1,0)+IF(Schedule!G1315=0,1,0)+IF(Schedule!G1320=0,1,0)+IF(Schedule!G1321=0,1,0)+IF(Schedule!G1322=0,1,0)+IF(Schedule!G1323=0,1,0)+IF(Schedule!G1329=0,1,0)+IF(Schedule!G1331=0,1,0)</f>
        <v>0</v>
      </c>
      <c r="E74" s="281" t="e">
        <f t="shared" si="6"/>
        <v>#DIV/0!</v>
      </c>
      <c r="F74" s="90">
        <f>SUM(Schedule!G1251,Schedule!G1253,Schedule!G1254,Schedule!G1257,Schedule!G1258,Schedule!G1259,Schedule!G1260,Schedule!G1262,Schedule!G1263,Schedule!G1265,Schedule!G1268,Schedule!G1273,Schedule!G1276,Schedule!G1278,Schedule!G1279,Schedule!G1280,Schedule!G1281,Schedule!G1283,Schedule!G1284,Schedule!G1288,Schedule!G1289,Schedule!G1291,Schedule!G1292,Schedule!G1296,Schedule!G1297,Schedule!G1300,Schedule!G1301,Schedule!G1306,Schedule!G1307,Schedule!G1310,Schedule!G1316,Schedule!G1317,Schedule!G1318,Schedule!G1319,Schedule!G1324,Schedule!G1325,Schedule!G1326,Schedule!G1327,Schedule!G1328,Schedule!G1330,Schedule!G1332)</f>
        <v>0</v>
      </c>
      <c r="G74" s="81">
        <f>IF(Schedule!G1251=0,1,0)+IF(Schedule!G1253=0,1,0)+IF(Schedule!G1254=0,1,0)+IF(Schedule!G1257=0,1,0)+IF(Schedule!G1258=0,1,0)+IF(Schedule!G1259=0,1,0)+IF(Schedule!G1260=0,1,0)+IF(Schedule!G1262=0,1,0)+IF(Schedule!G1263=0,1,0)+IF(Schedule!G1265=0,1,0)+IF(Schedule!G1268=0,1,0)+IF(Schedule!G1273=0,1,0)+IF(Schedule!G1276=0,1,0)+IF(Schedule!G1278=0,1,0)+IF(Schedule!G1279=0,1,0)+IF(Schedule!G1280=0,1,0)+IF(Schedule!G1281=0,1,0)+IF(Schedule!G1283=0,1,0)+IF(Schedule!G1284=0,1,0)+IF(Schedule!G1288=0,1,0)+IF(Schedule!G1289=0,1,0)+IF(Schedule!G1291=0,1,0)+IF(Schedule!G1292=0,1,0)+IF(Schedule!G1296=0,1,0)+IF(Schedule!G1297=0,1,0)+IF(Schedule!G1300=0,1,0)+IF(Schedule!G1301=0,1,0)+IF(Schedule!G1306=0,1,0)+IF(Schedule!G1307=0,1,0)+IF(Schedule!G1310=0,1,0)+IF(Schedule!G1316=0,1,0)+IF(Schedule!G1317=0,1,0)+IF(Schedule!G1318=0,1,0)+IF(Schedule!G1319=0,1,0)+IF(Schedule!G1324=0,1,0)+IF(Schedule!G1325=0,1,0)+IF(Schedule!G1326=0,1,0)+IF(Schedule!G1327=0,1,0)+IF(Schedule!G1328=0,1,0)+IF(Schedule!G1330=0,1,0)+IF(Schedule!G1332=0,1,0)</f>
        <v>1</v>
      </c>
      <c r="H74" s="266">
        <f t="shared" si="7"/>
        <v>0</v>
      </c>
      <c r="I74" s="22">
        <f>AVERAGE(Schedule!H1251:H1332)</f>
        <v>121</v>
      </c>
      <c r="J74" s="22">
        <f>AVERAGE(Schedule!I1251:I1332)</f>
        <v>38</v>
      </c>
      <c r="K74" s="22">
        <f>AVERAGE(Schedule!J1251:J1332)</f>
        <v>48</v>
      </c>
      <c r="L74" s="22">
        <f>AVERAGE(Schedule!K1251:K1332)</f>
        <v>72</v>
      </c>
      <c r="M74" s="22">
        <f>AVERAGE(Schedule!L1251:L1332)</f>
        <v>43</v>
      </c>
      <c r="N74" s="135">
        <f>AVERAGE(PER!H334:H352)</f>
        <v>11.866666666666667</v>
      </c>
      <c r="O74" s="22">
        <f>AVERAGE(INDEX(PER!H334:H352,MATCH(MAX(PER!I334:I352,1),PER!I334:I352,0)),(INDEX(PER!H334:H352,MATCH(LARGE(PER!I334:I352,2),PER!I334:I352,0))),(INDEX(PER!H334:H352,MATCH(LARGE(PER!I334:I352,3),PER!I334:I352,0))),(INDEX(PER!H334:H352,MATCH(LARGE(PER!I334:I352,4),PER!I334:I352,0))),(INDEX(PER!H334:H352,MATCH(LARGE(PER!I334:I352,5),PER!I334:I352,0))))</f>
        <v>18.3</v>
      </c>
      <c r="R74">
        <f t="shared" si="8"/>
        <v>100</v>
      </c>
    </row>
    <row r="75" spans="1:18" x14ac:dyDescent="0.3">
      <c r="A75" s="77"/>
      <c r="B75" s="79" t="s">
        <v>15</v>
      </c>
      <c r="C75" s="83">
        <f>SUM(Schedule!G1335,Schedule!G1341,Schedule!G1342,Schedule!G1344,Schedule!G1345,Schedule!G1346,Schedule!G1347,Schedule!G1349,Schedule!G1351,Schedule!G1352,Schedule!G1359,Schedule!G1360,Schedule!G1361,Schedule!G1363,Schedule!G1365,Schedule!G1366,Schedule!G1368,Schedule!G1369,Schedule!G1371,Schedule!G1372,Schedule!G1375,Schedule!G1377,Schedule!G1378,Schedule!G1381,Schedule!G1382,Schedule!G1384,Schedule!G1388,Schedule!G1389,Schedule!G1391,Schedule!G1392,Schedule!G1395,Schedule!G1396,Schedule!G1397,Schedule!G1398,Schedule!G1400,Schedule!G1401,Schedule!G1402,Schedule!G1404,Schedule!G1406,Schedule!G1412,Schedule!G1413)</f>
        <v>0</v>
      </c>
      <c r="D75" s="10">
        <f>IF(Schedule!G1335=0,1,0)+IF(Schedule!G1341=0,1,0)+IF(Schedule!G1342=0,1,0)+IF(Schedule!G1344=0,1,0)+IF(Schedule!G1345=0,1,0)+IF(Schedule!G1346=0,1,0)+IF(Schedule!G1347=0,1,0)+IF(Schedule!G1349=0,1,0)+IF(Schedule!G1351=0,1,0)+IF(Schedule!G1352=0,1,0)+IF(Schedule!G1359=0,1,0)+IF(Schedule!G1360=0,1,0)+IF(Schedule!G1361=0,1,0)+IF(Schedule!G1363=0,1,0)+IF(Schedule!G1365=0,1,0)+IF(Schedule!G1366=0,1,0)+IF(Schedule!G1368=0,1,0)+IF(Schedule!G1369=0,1,0)+IF(Schedule!G1371=0,1,0)+IF(Schedule!G1372=0,1,0)+IF(Schedule!G1375=0,1,0)+IF(Schedule!G1377=0,1,0)+IF(Schedule!G1378=0,1,0)+IF(Schedule!G1381=0,1,0)+IF(Schedule!G1382=0,1,0)+IF(Schedule!G1384=0,1,0)+IF(Schedule!G1388=0,1,0)+IF(Schedule!G1389=0,1,0)+IF(Schedule!G1391=0,1,0)+IF(Schedule!G1392=0,1,0)+IF(Schedule!G1395=0,1,0)+IF(Schedule!G1396=0,1,0)+IF(Schedule!G1397=0,1,0)+IF(Schedule!G1398=0,1,0)+IF(Schedule!G1400=0,1,0)+IF(Schedule!G1401=0,1,0)+IF(Schedule!G1402=0,1,0)+IF(Schedule!G1404=0,1,0)+IF(Schedule!G1406=0,1,0)+IF(Schedule!G1412=0,1,0)+IF(Schedule!G1413=0,1,0)</f>
        <v>0</v>
      </c>
      <c r="E75" s="281" t="e">
        <f t="shared" si="6"/>
        <v>#DIV/0!</v>
      </c>
      <c r="F75" s="88">
        <f>SUM(Schedule!G1334,Schedule!G1336,Schedule!G1337,Schedule!G1338,Schedule!G1339,Schedule!G1340,Schedule!G1343,Schedule!G1348,Schedule!G1350,Schedule!G1353,Schedule!G1354,Schedule!G1355,Schedule!G1356,Schedule!G1357,Schedule!G1358,Schedule!G1362,Schedule!G1364,Schedule!G1367,Schedule!G1370,Schedule!G1373,Schedule!G1374,Schedule!G1376,Schedule!G1379,Schedule!G1380,Schedule!G1383,Schedule!G1385,Schedule!G1386,Schedule!G1387,Schedule!G1390,Schedule!G1393,Schedule!G1394,Schedule!G1399,Schedule!G1403,Schedule!G1405,Schedule!G1407,Schedule!G1408,Schedule!G1409,Schedule!G1410,Schedule!G1411,Schedule!G1414,Schedule!G1415)</f>
        <v>1</v>
      </c>
      <c r="G75" s="30">
        <f>IF(Schedule!G1334=0,1,0)+IF(Schedule!G1336=0,1,0)+IF(Schedule!G1337=0,1,0)+IF(Schedule!G1338=0,1,0)+IF(Schedule!G1339=0,1,0)+IF(Schedule!G1340=0,1,0)+IF(Schedule!G1343=0,1,0)+IF(Schedule!G1348=0,1,0)+IF(Schedule!G1350=0,1,0)+IF(Schedule!G1353=0,1,0)+IF(Schedule!G1354=0,1,0)+IF(Schedule!G1355=0,1,0)+IF(Schedule!G1356=0,1,0)+IF(Schedule!G1357=0,1,0)+IF(Schedule!G1358=0,1,0)+IF(Schedule!G1362=0,1,0)+IF(Schedule!G1364=0,1,0)+IF(Schedule!G1367=0,1,0)+IF(Schedule!G1370=0,1,0)+IF(Schedule!G1373=0,1,0)+IF(Schedule!G1374=0,1,0)+IF(Schedule!G1376=0,1,0)+IF(Schedule!G1379=0,1,0)+IF(Schedule!G1380=0,1,0)+IF(Schedule!G1383=0,1,0)+IF(Schedule!G1385=0,1,0)+IF(Schedule!G1386=0,1,0)+IF(Schedule!G1387=0,1,0)+IF(Schedule!G1390=0,1,0)+IF(Schedule!G1393=0,1,0)+IF(Schedule!G1394=0,1,0)+IF(Schedule!G1399=0,1,0)+IF(Schedule!G1403=0,1,0)+IF(Schedule!G1405=0,1,0)+IF(Schedule!G1407=0,1,0)+IF(Schedule!G1408=0,1,0)+IF(Schedule!G1409=0,1,0)+IF(Schedule!G1410=0,1,0)+IF(Schedule!G1411=0,1,0)+IF(Schedule!G1414=0,1,0)+IF(Schedule!G1415=0,1,0)</f>
        <v>0</v>
      </c>
      <c r="H75" s="266">
        <f t="shared" si="7"/>
        <v>100</v>
      </c>
      <c r="I75" s="22">
        <f>AVERAGE(Schedule!H1334:H1415)</f>
        <v>107</v>
      </c>
      <c r="J75" s="22">
        <f>AVERAGE(Schedule!I1334:I1415)</f>
        <v>33</v>
      </c>
      <c r="K75" s="22">
        <f>AVERAGE(Schedule!J1334:J1415)</f>
        <v>49</v>
      </c>
      <c r="L75" s="22">
        <f>AVERAGE(Schedule!K1334:K1415)</f>
        <v>76</v>
      </c>
      <c r="M75" s="22">
        <f>AVERAGE(Schedule!L1334:L1415)</f>
        <v>45</v>
      </c>
      <c r="N75" s="10">
        <f>AVERAGE(PER!H354:H373)</f>
        <v>9.41</v>
      </c>
      <c r="O75" s="10">
        <f>AVERAGE(INDEX(PER!H354:H373,MATCH(MAX(PER!I355:I373,1),PER!I355:I373,0)),(INDEX(PER!H354:H373,MATCH(LARGE(PER!I355:I373,2),PER!I355:I373,0))),(INDEX(PER!H354:H373,MATCH(LARGE(PER!I355:I373,3),PER!I355:I373,0))),(INDEX(PER!H354:H373,MATCH(LARGE(PER!I355:I373,4),PER!I355:I373,0))),(INDEX(PER!H354:H373,MATCH(LARGE(PER!I355:I373,5),PER!I355:I373,0))))</f>
        <v>30.839999999999996</v>
      </c>
      <c r="R75">
        <f t="shared" si="8"/>
        <v>0</v>
      </c>
    </row>
    <row r="76" spans="1:18" x14ac:dyDescent="0.3">
      <c r="A76" s="77"/>
      <c r="B76" s="80" t="s">
        <v>16</v>
      </c>
      <c r="C76" s="82">
        <f>SUM(Schedule!G1417,Schedule!G1421,Schedule!G1423,Schedule!G1424,Schedule!G1426,Schedule!G1431,Schedule!G1433,Schedule!G1434,Schedule!G1435,Schedule!G1436,Schedule!G1437,Schedule!G1443,Schedule!G1444,Schedule!G1445,Schedule!G1449,Schedule!G1450,Schedule!G1451,Schedule!G1452,Schedule!G1453,Schedule!G1455,Schedule!G1456,Schedule!G1457,Schedule!G1458,Schedule!G1463,Schedule!G1465,Schedule!G1468,Schedule!G1472,Schedule!G1473,Schedule!G1474,Schedule!G1480,Schedule!G1483,Schedule!G1484,Schedule!G1485,Schedule!G1488,Schedule!G1489,Schedule!G1492,Schedule!G1493,Schedule!G1494,Schedule!G1496,Schedule!G1497,Schedule!G1498)</f>
        <v>0</v>
      </c>
      <c r="D76" s="85">
        <f>IF(Schedule!G1417=0,1,0)+IF(Schedule!G1421=0,1,0)+IF(Schedule!G1423=0,1,0)+IF(Schedule!G1424=0,1,0)+IF(Schedule!G1426=0,1,0)+IF(Schedule!G1431=0,1,0)+IF(Schedule!G1433=0,1,0)+IF(Schedule!G1434=0,1,0)+IF(Schedule!G1435=0,1,0)+IF(Schedule!G1436=0,1,0)+IF(Schedule!G1437=0,1,0)+IF(Schedule!G1443=0,1,0)+IF(Schedule!G1444=0,1,0)+IF(Schedule!G1445=0,1,0)+IF(Schedule!G1449=0,1,0)+IF(Schedule!G1450=0,1,0)+IF(Schedule!G1451=0,1,0)+IF(Schedule!G1452=0,1,0)+IF(Schedule!G1453=0,1,0)+IF(Schedule!G1455=0,1,0)+IF(Schedule!G1456=0,1,0)+IF(Schedule!G1457=0,1,0)+IF(Schedule!G1458=0,1,0)+IF(Schedule!G1463=0,1,0)+IF(Schedule!G1465=0,1,0)+IF(Schedule!G1468=0,1,0)+IF(Schedule!G1472=0,1,0)+IF(Schedule!G1473=0,1,0)+IF(Schedule!G1474=0,1,0)+IF(Schedule!G1480=0,1,0)+IF(Schedule!G1483=0,1,0)+IF(Schedule!G1484=0,1,0)+IF(Schedule!G1485=0,1,0)+IF(Schedule!G1488=0,1,0)+IF(Schedule!G1489=0,1,0)+IF(Schedule!G1492=0,1,0)+IF(Schedule!G1493=0,1,0)+IF(Schedule!G1494=0,1,0)+IF(Schedule!G1496=0,1,0)+IF(Schedule!G1497=0,1,0)+IF(Schedule!G1498=0,1,0)</f>
        <v>1</v>
      </c>
      <c r="E76" s="281">
        <f t="shared" si="6"/>
        <v>0</v>
      </c>
      <c r="F76" s="89">
        <f>SUM(Schedule!G1418,Schedule!G1419,Schedule!G1420,Schedule!G1422,Schedule!G1425,Schedule!G1427,Schedule!G1428,Schedule!G1429,Schedule!G1430,Schedule!G1432,Schedule!G1438,Schedule!G1439,Schedule!G1440,Schedule!G1441,Schedule!G1442,Schedule!G1446,Schedule!G1447,Schedule!G1448,Schedule!G1454,Schedule!G1459,Schedule!G1460,Schedule!G1461,Schedule!G1462,Schedule!G1464,Schedule!G1466,Schedule!G1467,Schedule!G1469,Schedule!G1470,Schedule!G1471,Schedule!G1475,Schedule!G1476,Schedule!G1477,Schedule!G1478,Schedule!G1479,Schedule!G1481,Schedule!G1482,Schedule!G1486,Schedule!G1487,Schedule!G1490,Schedule!G1491,Schedule!G1495)</f>
        <v>0</v>
      </c>
      <c r="G76" s="22">
        <f>IF(Schedule!G1418=0,1,0)+IF(Schedule!G1419=0,1,0)+IF(Schedule!G1420=0,1,0)+IF(Schedule!G1422=0,1,0)+IF(Schedule!G1425=0,1,0)+IF(Schedule!G1427=0,1,0)+IF(Schedule!G1428=0,1,0)+IF(Schedule!G1429=0,1,0)+IF(Schedule!G1430=0,1,0)+IF(Schedule!G1432=0,1,0)+IF(Schedule!G1438=0,1,0)+IF(Schedule!G1439=0,1,0)+IF(Schedule!G1440=0,1,0)+IF(Schedule!G1441=0,1,0)+IF(Schedule!G1442=0,1,0)+IF(Schedule!G1446=0,1,0)+IF(Schedule!G1447=0,1,0)+IF(Schedule!G1448=0,1,0)+IF(Schedule!G1454=0,1,0)+IF(Schedule!G1459=0,1,0)+IF(Schedule!G1460=0,1,0)+IF(Schedule!G1461=0,1,0)+IF(Schedule!G1462=0,1,0)+IF(Schedule!G1464=0,1,0)+IF(Schedule!G1466=0,1,0)+IF(Schedule!G1467=0,1,0)+IF(Schedule!G1469=0,1,0)+IF(Schedule!G1470=0,1,0)+IF(Schedule!G1471=0,1,0)+IF(Schedule!G1475=0,1,0)+IF(Schedule!G1476=0,1,0)+IF(Schedule!G1477=0,1,0)+IF(Schedule!G1478=0,1,0)+IF(Schedule!G1479=0,1,0)+IF(Schedule!G1481=0,1,0)+IF(Schedule!G1482=0,1,0)+IF(Schedule!G1486=0,1,0)+IF(Schedule!G1487=0,1,0)+IF(Schedule!G1490=0,1,0)+IF(Schedule!G1491=0,1,0)+IF(Schedule!G1495=0,1,0)</f>
        <v>0</v>
      </c>
      <c r="H76" s="266" t="e">
        <f t="shared" si="7"/>
        <v>#DIV/0!</v>
      </c>
      <c r="I76" s="22">
        <f>AVERAGE(Schedule!H1417:H1498)</f>
        <v>100</v>
      </c>
      <c r="J76" s="22">
        <f>AVERAGE(Schedule!I1417:I1498)</f>
        <v>21</v>
      </c>
      <c r="K76" s="22">
        <f>AVERAGE(Schedule!J1417:J1498)</f>
        <v>62</v>
      </c>
      <c r="L76" s="22">
        <f>AVERAGE(Schedule!K1417:K1498)</f>
        <v>72</v>
      </c>
      <c r="M76" s="22">
        <f>AVERAGE(Schedule!L1417:L1498)</f>
        <v>47</v>
      </c>
      <c r="N76" s="22">
        <f>AVERAGE(PER!H375:H392)</f>
        <v>7.4</v>
      </c>
      <c r="O76" s="22">
        <f>AVERAGE(INDEX(PER!H375:H392,MATCH(MAX(PER!I375:I392,1),PER!I375:I392,0)),(INDEX(PER!H375:H392,MATCH(LARGE(PER!I375:I392,2),PER!I375:I392,0))),(INDEX(PER!H375:H392,MATCH(LARGE(PER!I375:I392,3),PER!I375:I392,0))),(INDEX(PER!H375:H392,MATCH(LARGE(PER!I375:I392,4),PER!I375:I392,0))),(INDEX(PER!H375:H392,MATCH(LARGE(PER!I375:I392,5),PER!I375:I392,0))))</f>
        <v>30.8</v>
      </c>
      <c r="R76">
        <f t="shared" si="8"/>
        <v>0</v>
      </c>
    </row>
    <row r="77" spans="1:18" x14ac:dyDescent="0.3">
      <c r="A77" s="77"/>
      <c r="B77" s="79" t="s">
        <v>17</v>
      </c>
      <c r="C77" s="83">
        <f>SUM(Schedule!G1502,Schedule!G1508,Schedule!G1509,Schedule!G1511,Schedule!G1512,Schedule!G1514,Schedule!G1520,Schedule!G1521,Schedule!G1523,Schedule!G1524,Schedule!G1525,Schedule!G1526,Schedule!G1528,Schedule!G1531,Schedule!G1533,Schedule!G1534,Schedule!G1535,Schedule!G1536,Schedule!G1539,Schedule!G1541,Schedule!G1544,Schedule!G1545,Schedule!G1551,Schedule!G1552,Schedule!G1553,Schedule!G1554,Schedule!G1556,Schedule!G1557,Schedule!G1559,Schedule!G1560,Schedule!G1562,Schedule!G1564,Schedule!G1566,Schedule!G1567,Schedule!G1570,Schedule!G1571,Schedule!G1572,Schedule!G1573,Schedule!G1577,Schedule!G1578,Schedule!G1581)</f>
        <v>0</v>
      </c>
      <c r="D77" s="45">
        <f>IF(Schedule!G1502=0,1,0)+IF(Schedule!G1508=0,1,0)+IF(Schedule!G1509=0,1,0)+IF(Schedule!G1511=0,1,0)+IF(Schedule!G1512=0,1,0)+IF(Schedule!G1514=0,1,0)+IF(Schedule!G1520=0,1,0)+IF(Schedule!G1521=0,1,0)+IF(Schedule!G1523=0,1,0)+IF(Schedule!G1524=0,1,0)+IF(Schedule!G1525=0,1,0)+IF(Schedule!G1526=0,1,0)+IF(Schedule!G1528=0,1,0)+IF(Schedule!G1531=0,1,0)+IF(Schedule!G1533=0,1,0)+IF(Schedule!G1534=0,1,0)+IF(Schedule!G1535=0,1,0)+IF(Schedule!G1536=0,1,0)+IF(Schedule!G1539=0,1,0)+IF(Schedule!G1541=0,1,0)+IF(Schedule!G1544=0,1,0)+IF(Schedule!G1545=0,1,0)+IF(Schedule!G1551=0,1,0)+IF(Schedule!G1552=0,1,0)+IF(Schedule!G1553=0,1,0)+IF(Schedule!G1554=0,1,0)+IF(Schedule!G1556=0,1,0)+IF(Schedule!G1557=0,1,0)+IF(Schedule!G1559=0,1,0)+IF(Schedule!G1560=0,1,0)+IF(Schedule!G1562=0,1,0)+IF(Schedule!G1564=0,1,0)+IF(Schedule!G1566=0,1,0)+IF(Schedule!G1567=0,1,0)+IF(Schedule!G1570=0,1,0)+IF(Schedule!G1571=0,1,0)+IF(Schedule!G1572=0,1,0)+IF(Schedule!G1573=0,1,0)+IF(Schedule!G1577=0,1,0)+IF(Schedule!G1578=0,1,0)+IF(Schedule!G1581=0,1,0)</f>
        <v>0</v>
      </c>
      <c r="E77" s="281" t="e">
        <f t="shared" si="6"/>
        <v>#DIV/0!</v>
      </c>
      <c r="F77" s="88">
        <f>SUM(Schedule!G1500,Schedule!G1501,Schedule!G1503,Schedule!G1504,Schedule!G1505,Schedule!G1506,Schedule!G1507,Schedule!G1510,Schedule!G1513,Schedule!G1515,Schedule!G1516,Schedule!G1517,Schedule!G1518,Schedule!G1519,Schedule!G1522,Schedule!G1527,Schedule!G1529,Schedule!G1530,Schedule!G1532,Schedule!G1537,Schedule!G1538,Schedule!G1540,Schedule!G1542,Schedule!G1543,Schedule!G1546,Schedule!G1547,Schedule!G1548,Schedule!G1549,Schedule!G1550,Schedule!G1555,Schedule!G1558,Schedule!G1561,Schedule!G1563,Schedule!G1565,Schedule!G1568,Schedule!G1569,Schedule!G1574,Schedule!G1575,Schedule!G1576,Schedule!G1579,Schedule!G1580)</f>
        <v>0</v>
      </c>
      <c r="G77" s="10">
        <f>IF(Schedule!G1500=0,1,0)+IF(Schedule!G1501=0,1,0)+IF(Schedule!G1503=0,1,0)+IF(Schedule!G1504=0,1,0)+IF(Schedule!G1505=0,1,0)+IF(Schedule!G1506=0,1,0)+IF(Schedule!G1507=0,1,0)+IF(Schedule!G1510=0,1,0)+IF(Schedule!G1513=0,1,0)+IF(Schedule!G1515=0,1,0)+IF(Schedule!G1516=0,1,0)+IF(Schedule!G1517=0,1,0)+IF(Schedule!G1518=0,1,0)+IF(Schedule!G1519=0,1,0)+IF(Schedule!G1522=0,1,0)+IF(Schedule!G1527=0,1,0)+IF(Schedule!G1529=0,1,0)+IF(Schedule!G1530=0,1,0)+IF(Schedule!G1532=0,1,0)+IF(Schedule!G1537=0,1,0)+IF(Schedule!G1538=0,1,0)+IF(Schedule!G1540=0,1,0)+IF(Schedule!G1542=0,1,0)+IF(Schedule!G1543=0,1,0)+IF(Schedule!G1546=0,1,0)+IF(Schedule!G1547=0,1,0)+IF(Schedule!G1548=0,1,0)+IF(Schedule!G1549=0,1,0)+IF(Schedule!G1550=0,1,0)+IF(Schedule!G1555=0,1,0)+IF(Schedule!G1558=0,1,0)+IF(Schedule!G1561=0,1,0)+IF(Schedule!G1563=0,1,0)+IF(Schedule!G1565=0,1,0)+IF(Schedule!G1568=0,1,0)+IF(Schedule!G1569=0,1,0)+IF(Schedule!G1574=0,1,0)+IF(Schedule!G1575=0,1,0)+IF(Schedule!G1576=0,1,0)+IF(Schedule!G1579=0,1,0)+IF(Schedule!G1580=0,1,0)</f>
        <v>1</v>
      </c>
      <c r="H77" s="266">
        <f t="shared" si="7"/>
        <v>0</v>
      </c>
      <c r="I77" s="22">
        <f>AVERAGE(Schedule!H1500:H1581)</f>
        <v>114</v>
      </c>
      <c r="J77" s="22">
        <f>AVERAGE(Schedule!I1500:I1581)</f>
        <v>24</v>
      </c>
      <c r="K77" s="22">
        <f>AVERAGE(Schedule!J1500:J1581)</f>
        <v>65</v>
      </c>
      <c r="L77" s="22">
        <f>AVERAGE(Schedule!K1500:K1581)</f>
        <v>70</v>
      </c>
      <c r="M77" s="22">
        <f>AVERAGE(Schedule!L1500:L1581)</f>
        <v>51</v>
      </c>
      <c r="N77" s="10">
        <f>AVERAGE(PER!H394:H413)</f>
        <v>15.040000000000001</v>
      </c>
      <c r="O77" s="10">
        <f>AVERAGE(INDEX(PER!H394:H413,MATCH(MAX(PER!I394:I413,1),PER!I394:I413,0)),(INDEX(PER!H394:H413,MATCH(LARGE(PER!I394:I413,2),PER!I394:I413,0))),(INDEX(PER!H394:H413,MATCH(LARGE(PER!I394:I413,3),PER!I394:I413,0))),(INDEX(PER!H394:H413,MATCH(LARGE(PER!I394:I413,4),PER!I394:I413,0))),(INDEX(PER!H394:H413,MATCH(LARGE(PER!I394:I413,5),PER!I394:I413,0))))</f>
        <v>35.200000000000003</v>
      </c>
      <c r="R77">
        <f t="shared" si="8"/>
        <v>100</v>
      </c>
    </row>
    <row r="78" spans="1:18" x14ac:dyDescent="0.3">
      <c r="A78" s="77"/>
      <c r="B78" s="80" t="s">
        <v>18</v>
      </c>
      <c r="C78" s="82">
        <f>SUM(Schedule!G1584,Schedule!G1585,Schedule!G1586,Schedule!G1589,Schedule!G1590,Schedule!G1593,Schedule!G1594,Schedule!G1596,Schedule!G1597,Schedule!G1604,Schedule!G1605,Schedule!G1606,Schedule!G1607,Schedule!G1612,Schedule!G1611,Schedule!G1613,Schedule!G1615,Schedule!G1619,Schedule!G1620,Schedule!G1622,Schedule!G1623,Schedule!G1624,Schedule!G1625,Schedule!G1626,Schedule!G1632,Schedule!G1638,Schedule!G1640,Schedule!G1641,Schedule!G1642,Schedule!G1645,Schedule!G1648,Schedule!G1650,Schedule!G1652,Schedule!G1653,Schedule!G1656,Schedule!G1657,Schedule!G1658,Schedule!G1660,Schedule!G1661,Schedule!G1663,Schedule!G1664)</f>
        <v>0</v>
      </c>
      <c r="D78" s="86">
        <f>IF(Schedule!G1584=0,1,0)+IF(Schedule!G1585=0,1,0)+IF(Schedule!G1586=0,1,0)+IF(Schedule!G1589=0,1,0)+IF(Schedule!G1590=0,1,0)+IF(Schedule!G1593=0,1,0)+IF(Schedule!G1594=0,1,0)+IF(Schedule!G1596=0,1,0)+IF(Schedule!G1597=0,1,0)+IF(Schedule!G1604=0,1,0)+IF(Schedule!G1605=0,1,0)+IF(Schedule!G1606=0,1,0)+IF(Schedule!G1607=0,1,0)+IF(Schedule!G1612=0,1,0)+IF(Schedule!G1611=0,1,0)+IF(Schedule!G1613=0,1,0)+IF(Schedule!G1615=0,1,0)+IF(Schedule!G1619=0,1,0)+IF(Schedule!G1620=0,1,0)+IF(Schedule!G1622=0,1,0)+IF(Schedule!G1623=0,1,0)+IF(Schedule!G1624=0,1,0)+IF(Schedule!G1625=0,1,0)+IF(Schedule!G1626=0,1,0)+IF(Schedule!G1632=0,1,0)+IF(Schedule!G1638=0,1,0)+IF(Schedule!G1640=0,1,0)+IF(Schedule!G1641=0,1,0)+IF(Schedule!G1642=0,1,0)+IF(Schedule!G1645=0,1,0)+IF(Schedule!G1648=0,1,0)+IF(Schedule!G1650=0,1,0)+IF(Schedule!G1652=0,1,0)+IF(Schedule!G1653=0,1,0)+IF(Schedule!G1656=0,1,0)+IF(Schedule!G1657=0,1,0)+IF(Schedule!G1658=0,1,0)+IF(Schedule!G1660=0,1,0)+IF(Schedule!G1661=0,1,0)+IF(Schedule!G1663=0,1,0)+IF(Schedule!G1664=0,1,0)</f>
        <v>0</v>
      </c>
      <c r="E78" s="281" t="e">
        <f t="shared" si="6"/>
        <v>#DIV/0!</v>
      </c>
      <c r="F78" s="89">
        <f>SUM(Schedule!G1583,Schedule!G1587,Schedule!G1588,Schedule!G1591,Schedule!G1592,Schedule!G1595,Schedule!G1598,Schedule!G1599,Schedule!G1600,Schedule!G1601,Schedule!G1602,Schedule!G1603,Schedule!G1608,Schedule!G1609,Schedule!G1610,Schedule!G1614,Schedule!G1616,Schedule!G1617,Schedule!G1618,Schedule!G1621,Schedule!G1627,Schedule!G1628,Schedule!G1629,Schedule!G1630,Schedule!G1631,Schedule!G1633,Schedule!G1634,Schedule!G1635,Schedule!G1636,Schedule!G1637,Schedule!G1639,Schedule!G1643,Schedule!G1644,Schedule!G1646,Schedule!G1647,Schedule!G1649,Schedule!G1651,Schedule!G1654,Schedule!G1655,Schedule!G1659,Schedule!G1662)</f>
        <v>1</v>
      </c>
      <c r="G78" s="87">
        <f>IF(Schedule!G1583=0,1,0)+IF(Schedule!G1587=0,1,0)+IF(Schedule!G1588=0,1,0)+IF(Schedule!G1591=0,1,0)+IF(Schedule!G1592=0,1,0)+IF(Schedule!G1595=0,1,0)+IF(Schedule!G1598=0,1,0)+IF(Schedule!G1599=0,1,0)+IF(Schedule!G1600=0,1,0)+IF(Schedule!G1601=0,1,0)+IF(Schedule!G1602=0,1,0)+IF(Schedule!G1603=0,1,0)+IF(Schedule!G1608=0,1,0)+IF(Schedule!G1609=0,1,0)+IF(Schedule!G1610=0,1,0)+IF(Schedule!G1614=0,1,0)+IF(Schedule!G1616=0,1,0)+IF(Schedule!G1617=0,1,0)+IF(Schedule!G1618=0,1,0)+IF(Schedule!G1621=0,1,0)+IF(Schedule!G1627=0,1,0)+IF(Schedule!G1628=0,1,0)+IF(Schedule!G1629=0,1,0)+IF(Schedule!G1630=0,1,0)+IF(Schedule!G1631=0,1,0)+IF(Schedule!G1633=0,1,0)+IF(Schedule!G1634=0,1,0)+IF(Schedule!G1635=0,1,0)+IF(Schedule!G1636=0,1,0)+IF(Schedule!G1637=0,1,0)+IF(Schedule!G1639=0,1,0)+IF(Schedule!G1643=0,1,0)+IF(Schedule!G1644=0,1,0)+IF(Schedule!G1646=0,1,0)+IF(Schedule!G1647=0,1,0)+IF(Schedule!G1649=0,1,0)+IF(Schedule!G1651=0,1,0)+IF(Schedule!G1654=0,1,0)+IF(Schedule!G1655=0,1,0)+IF(Schedule!G1659=0,1,0)+IF(Schedule!G1662=0,1,0)</f>
        <v>0</v>
      </c>
      <c r="H78" s="266">
        <f t="shared" si="7"/>
        <v>100</v>
      </c>
      <c r="I78" s="22">
        <f>AVERAGE(Schedule!H1583:H1664)</f>
        <v>114</v>
      </c>
      <c r="J78" s="22">
        <f>AVERAGE(Schedule!I1583:I1664)</f>
        <v>28</v>
      </c>
      <c r="K78" s="22">
        <f>AVERAGE(Schedule!J1583:J1664)</f>
        <v>47</v>
      </c>
      <c r="L78" s="22">
        <f>AVERAGE(Schedule!K1583:K1664)</f>
        <v>70</v>
      </c>
      <c r="M78" s="22">
        <f>AVERAGE(Schedule!L1583:L1664)</f>
        <v>41</v>
      </c>
      <c r="N78" s="22" t="e">
        <f>AVERAGE(PER!H415:H432)</f>
        <v>#DIV/0!</v>
      </c>
      <c r="O78" s="22" t="e">
        <f>AVERAGE(INDEX(PER!H415:H432,MATCH(MAX(PER!I415:I432,1),PER!I415:I432,0)),(INDEX(PER!H415:H432,MATCH(LARGE(PER!I415:I432,2),PER!I415:I432,0))),(INDEX(PER!H415:H432,MATCH(LARGE(PER!I415:I432,3),PER!I415:I432,0))),(INDEX(PER!H415:H432,MATCH(LARGE(PER!I415:I432,4),PER!I415:I432,0))),(INDEX(PER!H415:H432,MATCH(LARGE(PER!I415:I432,5),PER!I415:I432,0))))</f>
        <v>#N/A</v>
      </c>
      <c r="R78">
        <f t="shared" si="8"/>
        <v>0</v>
      </c>
    </row>
    <row r="79" spans="1:18" x14ac:dyDescent="0.3">
      <c r="A79" s="77"/>
      <c r="B79" s="79" t="s">
        <v>19</v>
      </c>
      <c r="C79" s="83">
        <f>SUM(Schedule!G1666,Schedule!G1671,Schedule!G1672,Schedule!G1673,Schedule!G1677,Schedule!G1678,Schedule!G1679,Schedule!G1680,Schedule!G1682,Schedule!G1683,Schedule!G1688,Schedule!G1690,Schedule!G1691,Schedule!G1699,Schedule!G1700,Schedule!G1701,Schedule!G1702,Schedule!G1703,Schedule!G1705,Schedule!G1706,Schedule!G1707,Schedule!G1710,Schedule!G1711,Schedule!G1712,Schedule!G1716,Schedule!G1722,Schedule!G1725,Schedule!G1726,Schedule!G1727,Schedule!G1728,Schedule!G1731,Schedule!G1734,Schedule!G1735,Schedule!G1736,Schedule!G1737,Schedule!G1738,Schedule!G1739,Schedule!G1742,Schedule!G1744,Schedule!G1745,Schedule!G1746)</f>
        <v>1</v>
      </c>
      <c r="D79" s="45">
        <f>IF(Schedule!G1666=0,1,0)+IF(Schedule!G1671=0,1,0)+IF(Schedule!G1672=0,1,0)+IF(Schedule!G1673=0,1,0)+IF(Schedule!G1677=0,1,0)+IF(Schedule!G1678=0,1,0)+IF(Schedule!G1679=0,1,0)+IF(Schedule!G1680=0,1,0)+IF(Schedule!G1682=0,1,0)+IF(Schedule!G1683=0,1,0)+IF(Schedule!G1688=0,1,0)+IF(Schedule!G1690=0,1,0)+IF(Schedule!G1691=0,1,0)+IF(Schedule!G1699=0,1,0)+IF(Schedule!G1700=0,1,0)+IF(Schedule!G1701=0,1,0)+IF(Schedule!G1702=0,1,0)+IF(Schedule!G1703=0,1,0)+IF(Schedule!G1705=0,1,0)+IF(Schedule!G1706=0,1,0)+IF(Schedule!G1707=0,1,0)+IF(Schedule!G1710=0,1,0)+IF(Schedule!G1711=0,1,0)+IF(Schedule!G1712=0,1,0)+IF(Schedule!G1716=0,1,0)+IF(Schedule!G1722=0,1,0)+IF(Schedule!G1725=0,1,0)+IF(Schedule!G1726=0,1,0)+IF(Schedule!G1727=0,1,0)+IF(Schedule!G1728=0,1,0)+IF(Schedule!G1731=0,1,0)+IF(Schedule!G1734=0,1,0)+IF(Schedule!G1735=0,1,0)+IF(Schedule!G1736=0,1,0)+IF(Schedule!G1737=0,1,0)+IF(Schedule!G1738=0,1,0)+IF(Schedule!G1739=0,1,0)+IF(Schedule!G1742=0,1,0)+IF(Schedule!G1744=0,1,0)+IF(Schedule!G1745=0,1,0)+IF(Schedule!G1746=0,1,0)</f>
        <v>0</v>
      </c>
      <c r="E79" s="281">
        <f t="shared" si="6"/>
        <v>100</v>
      </c>
      <c r="F79" s="88">
        <f>SUM(Schedule!G1667,Schedule!G1668,Schedule!G1669,Schedule!G1670,Schedule!G1674,Schedule!G1675,Schedule!G1676,Schedule!G1681,Schedule!G1684,Schedule!G1685,Schedule!G1686,Schedule!G1687,Schedule!G1689,Schedule!G1692,Schedule!G1693,Schedule!G1694,Schedule!G1695,Schedule!G1696,Schedule!G1697,Schedule!G1698,Schedule!G1704,Schedule!G1708,Schedule!G1709,Schedule!G1713,Schedule!G1714,Schedule!G1715,Schedule!G1717,Schedule!G1718,Schedule!G1719,Schedule!G1720,Schedule!G1721,Schedule!G1723,Schedule!G1724,Schedule!G1729,Schedule!G1730,Schedule!G1732,Schedule!G1733,Schedule!G1740,Schedule!G1741,Schedule!G1743,Schedule!G1747)</f>
        <v>0</v>
      </c>
      <c r="G79" s="10">
        <f>IF(Schedule!G1667=0,1,0)+IF(Schedule!G1668=0,1,0)+IF(Schedule!G1669=0,1,0)+IF(Schedule!G1670=0,1,0)+IF(Schedule!G1674=0,1,0)+IF(Schedule!G1675=0,1,0)+IF(Schedule!G1676=0,1,0)+IF(Schedule!G1681=0,1,0)+IF(Schedule!G1684=0,1,0)+IF(Schedule!G1685=0,1,0)+IF(Schedule!G1686=0,1,0)+IF(Schedule!G1687=0,1,0)+IF(Schedule!G1689=0,1,0)+IF(Schedule!G1692=0,1,0)+IF(Schedule!G1693=0,1,0)+IF(Schedule!G1694=0,1,0)+IF(Schedule!G1695=0,1,0)+IF(Schedule!G1696=0,1,0)+IF(Schedule!G1697=0,1,0)+IF(Schedule!G1698=0,1,0)+IF(Schedule!G1704=0,1,0)+IF(Schedule!G1708=0,1,0)+IF(Schedule!G1709=0,1,0)+IF(Schedule!G1713=0,1,0)+IF(Schedule!G1714=0,1,0)+IF(Schedule!G1715=0,1,0)+IF(Schedule!G1717=0,1,0)+IF(Schedule!G1718=0,1,0)+IF(Schedule!G1719=0,1,0)+IF(Schedule!G1720=0,1,0)+IF(Schedule!G1721=0,1,0)+IF(Schedule!G1723=0,1,0)+IF(Schedule!G1724=0,1,0)+IF(Schedule!G1729=0,1,0)+IF(Schedule!G1730=0,1,0)+IF(Schedule!G1732=0,1,0)+IF(Schedule!G1733=0,1,0)+IF(Schedule!G1740=0,1,0)+IF(Schedule!G1741=0,1,0)+IF(Schedule!G1743=0,1,0)+IF(Schedule!G1747=0,1,0)</f>
        <v>0</v>
      </c>
      <c r="H79" s="266" t="e">
        <f t="shared" si="7"/>
        <v>#DIV/0!</v>
      </c>
      <c r="I79" s="22">
        <f>AVERAGE(Schedule!H1666:H1747)</f>
        <v>120</v>
      </c>
      <c r="J79" s="22">
        <f>AVERAGE(Schedule!I1666:I1747)</f>
        <v>34</v>
      </c>
      <c r="K79" s="22">
        <f>AVERAGE(Schedule!J1666:J1747)</f>
        <v>61</v>
      </c>
      <c r="L79" s="22">
        <f>AVERAGE(Schedule!K1666:K1747)</f>
        <v>82</v>
      </c>
      <c r="M79" s="22">
        <f>AVERAGE(Schedule!L1666:L1747)</f>
        <v>51</v>
      </c>
      <c r="N79" s="136">
        <f>AVERAGE(PER!H434:H450)</f>
        <v>15.216666666666667</v>
      </c>
      <c r="O79" s="10">
        <f>AVERAGE(INDEX(PER!H434:H450,MATCH(MAX(PER!I434:I450,1),PER!I434:I450,0)),(INDEX(PER!H434:H450,MATCH(LARGE(PER!I434:I450,2),PER!I434:I450,0))),(INDEX(PER!H434:H450,MATCH(LARGE(PER!I434:I450,3),PER!I434:I450,0))),(INDEX(PER!H434:H450,MATCH(LARGE(PER!I434:I450,4),PER!I434:I450,0))),(INDEX(PER!H434:H450,MATCH(LARGE(PER!I434:I450,5),PER!I434:I450,0))))</f>
        <v>27.3</v>
      </c>
      <c r="R79">
        <f t="shared" si="8"/>
        <v>50</v>
      </c>
    </row>
    <row r="80" spans="1:18" x14ac:dyDescent="0.3">
      <c r="A80" s="77"/>
      <c r="B80" s="80" t="s">
        <v>20</v>
      </c>
      <c r="C80" s="82">
        <f>SUM(Schedule!G1749,Schedule!G1751,Schedule!G1753,Schedule!G1754,Schedule!G1755,Schedule!G1756,Schedule!G1761,Schedule!G1764,Schedule!G1766,Schedule!G1768,Schedule!G1769,Schedule!G1771,Schedule!G1772,Schedule!G1773,Schedule!G1775,Schedule!G1776,Schedule!G1777,Schedule!G1778,Schedule!G1780,Schedule!G1783,Schedule!G1788,Schedule!G1791,Schedule!G1793,Schedule!G1794,Schedule!G1795,Schedule!G1802,Schedule!G1803,Schedule!G1804,Schedule!G1806,Schedule!G1809,Schedule!G1812,Schedule!G1813,Schedule!G1814,Schedule!G1815,Schedule!G1818,Schedule!G1823,Schedule!G1824,Schedule!G1827,Schedule!G1828,Schedule!G1829,Schedule!G1830)</f>
        <v>1</v>
      </c>
      <c r="D80" s="86">
        <f>IF(Schedule!G1749=0,1,0)+IF(Schedule!G1751=0,1,0)+IF(Schedule!G1753=0,1,0)+IF(Schedule!G1754=0,1,0)+IF(Schedule!G1755=0,1,0)+IF(Schedule!G1756=0,1,0)+IF(Schedule!G1761=0,1,0)+IF(Schedule!G1764=0,1,0)+IF(Schedule!G1766=0,1,0)+IF(Schedule!G1768=0,1,0)+IF(Schedule!G1769=0,1,0)+IF(Schedule!G1771=0,1,0)+IF(Schedule!G1772=0,1,0)+IF(Schedule!G1773=0,1,0)+IF(Schedule!G1775=0,1,0)+IF(Schedule!G1776=0,1,0)+IF(Schedule!G1777=0,1,0)+IF(Schedule!G1778=0,1,0)+IF(Schedule!G1780=0,1,0)+IF(Schedule!G1783=0,1,0)+IF(Schedule!G1788=0,1,0)+IF(Schedule!G1791=0,1,0)+IF(Schedule!G1793=0,1,0)+IF(Schedule!G1794=0,1,0)+IF(Schedule!G1795=0,1,0)+IF(Schedule!G1802=0,1,0)+IF(Schedule!G1803=0,1,0)+IF(Schedule!G1804=0,1,0)+IF(Schedule!G1806=0,1,0)+IF(Schedule!G1809=0,1,0)+IF(Schedule!G1812=0,1,0)+IF(Schedule!G1813=0,1,0)+IF(Schedule!G1814=0,1,0)+IF(Schedule!G1815=0,1,0)+IF(Schedule!G1818=0,1,0)+IF(Schedule!G1823=0,1,0)+IF(Schedule!G1824=0,1,0)+IF(Schedule!G1827=0,1,0)+IF(Schedule!G1828=0,1,0)+IF(Schedule!G1829=0,1,0)+IF(Schedule!G1830=0,1,0)</f>
        <v>0</v>
      </c>
      <c r="E80" s="281">
        <f t="shared" si="6"/>
        <v>100</v>
      </c>
      <c r="F80" s="89">
        <f>SUM(Schedule!G1750,Schedule!G1752,Schedule!G1757,Schedule!G1758,Schedule!G1759,Schedule!G1760,Schedule!G1762,Schedule!G1763,Schedule!G1765,Schedule!G1767,Schedule!G1770,Schedule!G1774,Schedule!G1779,Schedule!G1781,Schedule!G1782,Schedule!G1784,Schedule!G1785,Schedule!G1786,Schedule!G1787,Schedule!G1789,Schedule!G1790,Schedule!G1792,Schedule!G1796,Schedule!G1797,Schedule!G1798,Schedule!G1799,Schedule!G1800,Schedule!G1801,Schedule!G1805,Schedule!G1807,Schedule!G1808,Schedule!G1810,Schedule!G1811,Schedule!G1816,Schedule!G1817,Schedule!G1819,Schedule!G1820,Schedule!G1821,Schedule!G1822,Schedule!G1825,Schedule!G1826)</f>
        <v>0</v>
      </c>
      <c r="G80" s="22">
        <f>IF(Schedule!G1750=0,1,0)+IF(Schedule!G1752=0,1,0)+IF(Schedule!G1757=0,1,0)+IF(Schedule!G1758=0,1,0)+IF(Schedule!G1759=0,1,0)+IF(Schedule!G1760=0,1,0)+IF(Schedule!G1762=0,1,0)+IF(Schedule!G1763=0,1,0)+IF(Schedule!G1765=0,1,0)+IF(Schedule!G1767=0,1,0)+IF(Schedule!G1770=0,1,0)+IF(Schedule!G1774=0,1,0)+IF(Schedule!G1779=0,1,0)+IF(Schedule!G1781=0,1,0)+IF(Schedule!G1782=0,1,0)+IF(Schedule!G1784=0,1,0)+IF(Schedule!G1785=0,1,0)+IF(Schedule!G1786=0,1,0)+IF(Schedule!G1787=0,1,0)+IF(Schedule!G1789=0,1,0)+IF(Schedule!G1790=0,1,0)+IF(Schedule!G1792=0,1,0)+IF(Schedule!G1796=0,1,0)+IF(Schedule!G1797=0,1,0)+IF(Schedule!G1798=0,1,0)+IF(Schedule!G1799=0,1,0)+IF(Schedule!G1800=0,1,0)+IF(Schedule!G1801=0,1,0)+IF(Schedule!G1805=0,1,0)+IF(Schedule!G1807=0,1,0)+IF(Schedule!G1808=0,1,0)+IF(Schedule!G1810=0,1,0)+IF(Schedule!G1811=0,1,0)+IF(Schedule!G1816=0,1,0)+IF(Schedule!G1817=0,1,0)+IF(Schedule!G1819=0,1,0)+IF(Schedule!G1820=0,1,0)+IF(Schedule!G1821=0,1,0)+IF(Schedule!G1822=0,1,0)+IF(Schedule!G1825=0,1,0)+IF(Schedule!G1826=0,1,0)</f>
        <v>0</v>
      </c>
      <c r="H80" s="266" t="e">
        <f t="shared" si="7"/>
        <v>#DIV/0!</v>
      </c>
      <c r="I80" s="22">
        <f>AVERAGE(Schedule!H1749:H1830)</f>
        <v>102</v>
      </c>
      <c r="J80" s="22">
        <f>AVERAGE(Schedule!I1749:I1830)</f>
        <v>48</v>
      </c>
      <c r="K80" s="22">
        <f>AVERAGE(Schedule!J1749:J1830)</f>
        <v>45</v>
      </c>
      <c r="L80" s="22">
        <f>AVERAGE(Schedule!K1749:K1830)</f>
        <v>70</v>
      </c>
      <c r="M80" s="22">
        <f>AVERAGE(Schedule!L1749:L1830)</f>
        <v>46</v>
      </c>
      <c r="N80" s="135">
        <f>AVERAGE(PER!H452:H479)</f>
        <v>15.944444444444445</v>
      </c>
      <c r="O80" s="22">
        <f>AVERAGE(INDEX(PER!H452:H479,MATCH(MAX(PER!I452:I479,1),PER!I452:I479,0)),(INDEX(PER!H452:H479,MATCH(LARGE(PER!I452:I479,2),PER!I452:I479,0))),(INDEX(PER!H452:H479,MATCH(LARGE(PER!I452:I479,3),PER!I452:I479,0))),(INDEX(PER!H452:H479,MATCH(LARGE(PER!I452:I479,4),PER!I452:I479,0))),(INDEX(PER!H452:H479,MATCH(LARGE(PER!I452:I479,5),PER!I452:I479,0))))</f>
        <v>27.5</v>
      </c>
      <c r="R80">
        <f t="shared" si="8"/>
        <v>50</v>
      </c>
    </row>
    <row r="81" spans="1:18" x14ac:dyDescent="0.3">
      <c r="A81" s="77"/>
      <c r="B81" s="79" t="s">
        <v>21</v>
      </c>
      <c r="C81" s="83">
        <f>SUM(Schedule!G1834,Schedule!G1835,Schedule!G1839,Schedule!G1840,Schedule!G1841,Schedule!G1842,Schedule!G1844,Schedule!G1848,Schedule!G1849,Schedule!G1852,Schedule!G1854,Schedule!G1855,Schedule!G1857,Schedule!G1858,Schedule!G1860,Schedule!G1862,Schedule!G1864,Schedule!G1865,Schedule!G1868,Schedule!G1869,Schedule!G1870,Schedule!G1871,Schedule!G1875,Schedule!G1877,Schedule!G1878,Schedule!G1879,Schedule!G1882,Schedule!G1883,Schedule!G1884,Schedule!G1885,Schedule!G1886,Schedule!G1887,Schedule!G1889,Schedule!G1894,Schedule!G1895,Schedule!G1896,Schedule!G1898,Schedule!G1902,Schedule!G1906,Schedule!G1907,Schedule!G1912)</f>
        <v>0</v>
      </c>
      <c r="D81" s="27">
        <f>IF(Schedule!G1834=0,1,0)+IF(Schedule!G1835=0,1,0)+IF(Schedule!G1839=0,1,0)+IF(Schedule!G1840=0,1,0)+IF(Schedule!G1841=0,1,0)+IF(Schedule!G1842=0,1,0)+IF(Schedule!G1844=0,1,0)+IF(Schedule!G1848=0,1,0)+IF(Schedule!G1849=0,1,0)+IF(Schedule!G1852=0,1,0)+IF(Schedule!G1854=0,1,0)+IF(Schedule!G1855=0,1,0)+IF(Schedule!G1857=0,1,0)+IF(Schedule!G1858=0,1,0)+IF(Schedule!G1860=0,1,0)+IF(Schedule!G1862=0,1,0)+IF(Schedule!G1864=0,1,0)+IF(Schedule!G1865=0,1,0)+IF(Schedule!G1868=0,1,0)+IF(Schedule!G1869=0,1,0)+IF(Schedule!G1870=0,1,0)+IF(Schedule!G1871=0,1,0)+IF(Schedule!G1875=0,1,0)+IF(Schedule!G1877=0,1,0)+IF(Schedule!G1878=0,1,0)+IF(Schedule!G1879=0,1,0)+IF(Schedule!G1882=0,1,0)+IF(Schedule!G1883=0,1,0)+IF(Schedule!G1884=0,1,0)+IF(Schedule!G1885=0,1,0)+IF(Schedule!G1886=0,1,0)+IF(Schedule!G1887=0,1,0)+IF(Schedule!G1889=0,1,0)+IF(Schedule!G1894=0,1,0)+IF(Schedule!G1895=0,1,0)+IF(Schedule!G1896=0,1,0)+IF(Schedule!G1898=0,1,0)+IF(Schedule!G1902=0,1,0)+IF(Schedule!G1906=0,1,0)+IF(Schedule!G1907=0,1,0)+IF(Schedule!G1912=0,1,0)</f>
        <v>0</v>
      </c>
      <c r="E81" s="281" t="e">
        <f t="shared" si="6"/>
        <v>#DIV/0!</v>
      </c>
      <c r="F81" s="27">
        <f>SUM(Schedule!G1832,Schedule!G1833,Schedule!G1836,Schedule!G1837,Schedule!G1838,Schedule!G1843,Schedule!G1845,Schedule!G1846,Schedule!G1847,Schedule!G1850,Schedule!G1851,Schedule!G1853,Schedule!G1856,Schedule!G1859,Schedule!G1861,Schedule!G1863,Schedule!G1866,Schedule!G1867,Schedule!G1872,Schedule!G1873,Schedule!G1874,Schedule!G1876,Schedule!G1880,Schedule!G1881,Schedule!G1888,Schedule!G1890,Schedule!G1891,Schedule!G1892,Schedule!G1893,Schedule!G1897,Schedule!G1899,Schedule!G1900,Schedule!G1901,Schedule!G1903,Schedule!G1904,Schedule!G1905,Schedule!G1908,Schedule!G1909,Schedule!G1910,Schedule!G1911,Schedule!G1913)</f>
        <v>0</v>
      </c>
      <c r="G81" s="10">
        <f>IF(Schedule!G1832=0,1,0)+IF(Schedule!G1833=0,1,0)+IF(Schedule!G1836=0,1,0)+IF(Schedule!G1837=0,1,0)+IF(Schedule!G1838=0,1,0)+IF(Schedule!G1843=0,1,0)+IF(Schedule!G1845=0,1,0)+IF(Schedule!G1846=0,1,0)+IF(Schedule!G1847=0,1,0)+IF(Schedule!G1850=0,1,0)+IF(Schedule!G1851=0,1,0)+IF(Schedule!G1853=0,1,0)+IF(Schedule!G1856=0,1,0)+IF(Schedule!G1859=0,1,0)+IF(Schedule!G1861=0,1,0)+IF(Schedule!G1863=0,1,0)+IF(Schedule!G1866=0,1,0)+IF(Schedule!G1867=0,1,0)+IF(Schedule!G1872=0,1,0)+IF(Schedule!G1873=0,1,0)+IF(Schedule!G1874=0,1,0)+IF(Schedule!G1876=0,1,0)+IF(Schedule!G1880=0,1,0)+IF(Schedule!G1881=0,1,0)+IF(Schedule!G1888=0,1,0)+IF(Schedule!G1890=0,1,0)+IF(Schedule!G1891=0,1,0)+IF(Schedule!G1892=0,1,0)+IF(Schedule!G1893=0,1,0)+IF(Schedule!G1897=0,1,0)+IF(Schedule!G1899=0,1,0)+IF(Schedule!G1900=0,1,0)+IF(Schedule!G1901=0,1,0)+IF(Schedule!G1903=0,1,0)+IF(Schedule!G1904=0,1,0)+IF(Schedule!G1905=0,1,0)+IF(Schedule!G1908=0,1,0)+IF(Schedule!G1909=0,1,0)+IF(Schedule!G1910=0,1,0)+IF(Schedule!G1911=0,1,0)+IF(Schedule!G1913=0,1,0)</f>
        <v>1</v>
      </c>
      <c r="H81" s="266">
        <f t="shared" si="7"/>
        <v>0</v>
      </c>
      <c r="I81" s="22">
        <f>AVERAGE(Schedule!H1832:H1913)</f>
        <v>98</v>
      </c>
      <c r="J81" s="22">
        <f>AVERAGE(Schedule!I1832:I1913)</f>
        <v>33</v>
      </c>
      <c r="K81" s="22">
        <f>AVERAGE(Schedule!J1832:J1913)</f>
        <v>44</v>
      </c>
      <c r="L81" s="22">
        <f>AVERAGE(Schedule!K1832:K1913)</f>
        <v>69</v>
      </c>
      <c r="M81" s="22">
        <f>AVERAGE(Schedule!L1832:L1913)</f>
        <v>42</v>
      </c>
      <c r="N81" s="10">
        <f>AVERAGE(PER!H481:H497)</f>
        <v>11.8</v>
      </c>
      <c r="O81" s="10">
        <f>AVERAGE(INDEX(PER!H481:H497,MATCH(MAX(PER!I481:I497,1),PER!I481:I497,0)),(INDEX(PER!H481:H497,MATCH(LARGE(PER!I481:I497,2),PER!I481:I497,0))),(INDEX(PER!H481:H497,MATCH(LARGE(PER!I481:I497,3),PER!I481:I497,0))),(INDEX(PER!H481:H497,MATCH(LARGE(PER!I481:I497,4),PER!I481:I497,0))),(INDEX(PER!H481:H497,MATCH(LARGE(PER!I481:I497,5),PER!I481:I497,0))))</f>
        <v>25.8</v>
      </c>
      <c r="R81">
        <f t="shared" si="8"/>
        <v>100</v>
      </c>
    </row>
    <row r="82" spans="1:18" x14ac:dyDescent="0.3">
      <c r="A82" s="77"/>
      <c r="B82" s="80" t="s">
        <v>22</v>
      </c>
      <c r="C82" s="82">
        <f>SUM(Schedule!G1915,Schedule!G1916,Schedule!G1918,Schedule!G1920,Schedule!G1924,Schedule!G1925,Schedule!G1927,Schedule!G1928,Schedule!G1930,Schedule!G1933,Schedule!G1934,Schedule!G1937,Schedule!G1936,Schedule!G1940,Schedule!G1941,Schedule!G1945,Schedule!G1946,Schedule!G1947,Schedule!G1948,Schedule!G1949,Schedule!G1951,Schedule!G1957,Schedule!G1958,Schedule!G1959,Schedule!G1960,Schedule!G1961,Schedule!G1962,Schedule!G1966,Schedule!G1967,Schedule!G1972,Schedule!G1975,Schedule!G1976,Schedule!G1979,Schedule!G1981,Schedule!G1983,Schedule!G1984,Schedule!G1985,Schedule!G1989,Schedule!G1990,Schedule!G1991,Schedule!G1992)</f>
        <v>0</v>
      </c>
      <c r="D82" s="85">
        <f>IF(Schedule!G1915=0,1,0)+IF(Schedule!G1916=0,1,0)+IF(Schedule!G1918=0,1,0)+IF(Schedule!G1920=0,1,0)+IF(Schedule!G1924=0,1,0)+IF(Schedule!G1925=0,1,0)+IF(Schedule!G1927=0,1,0)+IF(Schedule!G1928=0,1,0)+IF(Schedule!G1930=0,1,0)+IF(Schedule!G1933=0,1,0)+IF(Schedule!G1934=0,1,0)+IF(Schedule!G1937=0,1,0)+IF(Schedule!G1936=0,1,0)+IF(Schedule!G1940=0,1,0)+IF(Schedule!G1941=0,1,0)+IF(Schedule!G1945=0,1,0)+IF(Schedule!G1946=0,1,0)+IF(Schedule!G1947=0,1,0)+IF(Schedule!G1948=0,1,0)+IF(Schedule!G1949=0,1,0)+IF(Schedule!G1951=0,1,0)+IF(Schedule!G1957=0,1,0)+IF(Schedule!G1958=0,1,0)+IF(Schedule!G1959=0,1,0)+IF(Schedule!G1960=0,1,0)+IF(Schedule!G1961=0,1,0)+IF(Schedule!G1962=0,1,0)+IF(Schedule!G1966=0,1,0)+IF(Schedule!G1967=0,1,0)+IF(Schedule!G1972=0,1,0)+IF(Schedule!G1975=0,1,0)+IF(Schedule!G1976=0,1,0)+IF(Schedule!G1979=0,1,0)+IF(Schedule!G1981=0,1,0)+IF(Schedule!G1983=0,1,0)+IF(Schedule!G1984=0,1,0)+IF(Schedule!G1985=0,1,0)+IF(Schedule!G1989=0,1,0)+IF(Schedule!G1990=0,1,0)+IF(Schedule!G1991=0,1,0)+IF(Schedule!G1992=0,1,0)</f>
        <v>1</v>
      </c>
      <c r="E82" s="281">
        <f t="shared" si="6"/>
        <v>0</v>
      </c>
      <c r="F82" s="85">
        <f>SUM(Schedule!G1917,Schedule!G1919,Schedule!G1921,Schedule!G1922,Schedule!G1923,Schedule!G1926,Schedule!G1929,Schedule!G1931,Schedule!G1932,Schedule!G1935,Schedule!G1938,Schedule!G1939,Schedule!G1942,Schedule!G1943,Schedule!G1944,Schedule!G1950,Schedule!G1952,Schedule!G1953,Schedule!G1954,Schedule!G1955,Schedule!G1956,Schedule!G1963,Schedule!G1964,Schedule!G1965,Schedule!G1968,Schedule!G1969,Schedule!G1970,Schedule!G1971,Schedule!G1973,Schedule!G1974,Schedule!G1977,Schedule!G1978,Schedule!G1980,Schedule!G1982,Schedule!G1986,Schedule!G1987,Schedule!G1988,Schedule!G1993,Schedule!G1994,Schedule!G1995,Schedule!G1996)</f>
        <v>0</v>
      </c>
      <c r="G82" s="22">
        <f>IF(Schedule!G1917=0,1,0)+IF(Schedule!G1919=0,1,0)+IF(Schedule!G1921=0,1,0)+IF(Schedule!G1922=0,1,0)+IF(Schedule!G1923=0,1,0)+IF(Schedule!G1926=0,1,0)+IF(Schedule!G1929=0,1,0)+IF(Schedule!G1931=0,1,0)+IF(Schedule!G1932=0,1,0)+IF(Schedule!G1935=0,1,0)+IF(Schedule!G1938=0,1,0)+IF(Schedule!G1939=0,1,0)+IF(Schedule!G1942=0,1,0)+IF(Schedule!G1943=0,1,0)+IF(Schedule!G1944=0,1,0)+IF(Schedule!G1950=0,1,0)+IF(Schedule!G1952=0,1,0)+IF(Schedule!G1953=0,1,0)+IF(Schedule!G1954=0,1,0)+IF(Schedule!G1955=0,1,0)+IF(Schedule!G1956=0,1,0)+IF(Schedule!G1963=0,1,0)+IF(Schedule!G1964=0,1,0)+IF(Schedule!G1965=0,1,0)+IF(Schedule!G1968=0,1,0)+IF(Schedule!G1969=0,1,0)+IF(Schedule!G1970=0,1,0)+IF(Schedule!G1971=0,1,0)+IF(Schedule!G1973=0,1,0)+IF(Schedule!G1974=0,1,0)+IF(Schedule!G1977=0,1,0)+IF(Schedule!G1978=0,1,0)+IF(Schedule!G1980=0,1,0)+IF(Schedule!G1982=0,1,0)+IF(Schedule!G1986=0,1,0)+IF(Schedule!G1987=0,1,0)+IF(Schedule!G1988=0,1,0)+IF(Schedule!G1993=0,1,0)+IF(Schedule!G1994=0,1,0)+IF(Schedule!G1995=0,1,0)+IF(Schedule!G1996=0,1,0)</f>
        <v>0</v>
      </c>
      <c r="H82" s="266" t="e">
        <f t="shared" si="7"/>
        <v>#DIV/0!</v>
      </c>
      <c r="I82" s="22">
        <f>AVERAGE(Schedule!H1915:H1996)</f>
        <v>102</v>
      </c>
      <c r="J82" s="22">
        <f>AVERAGE(Schedule!I1915:I1996)</f>
        <v>16</v>
      </c>
      <c r="K82" s="22">
        <f>AVERAGE(Schedule!J1915:J1996)</f>
        <v>48</v>
      </c>
      <c r="L82" s="22">
        <f>AVERAGE(Schedule!K1915:K1996)</f>
        <v>88</v>
      </c>
      <c r="M82" s="22">
        <f>AVERAGE(Schedule!L1915:L1996)</f>
        <v>41</v>
      </c>
      <c r="N82" s="137">
        <f>AVERAGE(PER!H499:H518)</f>
        <v>7.6818181818181817</v>
      </c>
      <c r="O82" s="87">
        <f>AVERAGE(INDEX(PER!H499:H518,MATCH(MAX(PER!I499:I518,1),PER!I499:I518,0)),(INDEX(PER!H499:H518,MATCH(LARGE(PER!I499:I518,2),PER!I499:I518,0))),(INDEX(PER!H499:H518,MATCH(LARGE(PER!I499:I518,3),PER!I499:I518,0))),(INDEX(PER!H499:H518,MATCH(LARGE(PER!I499:I518,4),PER!I499:I518,0))),(INDEX(PER!H499:H518,MATCH(LARGE(PER!I499:I518,5),PER!I499:I518,0))))</f>
        <v>43</v>
      </c>
      <c r="R82">
        <f t="shared" si="8"/>
        <v>0</v>
      </c>
    </row>
    <row r="83" spans="1:18" x14ac:dyDescent="0.3">
      <c r="A83" s="77"/>
      <c r="B83" s="79" t="s">
        <v>23</v>
      </c>
      <c r="C83" s="83">
        <f>SUM(Schedule!G1999,Schedule!G2000,Schedule!G2003,Schedule!G2004,Schedule!G2005,Schedule!G2006,Schedule!G2007,Schedule!G2009,Schedule!G2010,Schedule!G2011,Schedule!G2015,Schedule!G2017,Schedule!G2018,Schedule!G2021,Schedule!G2020,Schedule!G2024,Schedule!G2025,Schedule!G2028,Schedule!G2031,Schedule!G2035,Schedule!G2037,Schedule!G2044,Schedule!G2047,Schedule!G2048,Schedule!G2049,Schedule!G2051,Schedule!G2052,Schedule!G2054,Schedule!G2055,Schedule!G2056,Schedule!G2057,Schedule!G2061,Schedule!G2062,Schedule!G2063,Schedule!G2066,Schedule!G2067,Schedule!G2068,Schedule!G2072,Schedule!G2073,Schedule!G2074,Schedule!G2079)</f>
        <v>0</v>
      </c>
      <c r="D83" s="10">
        <f>IF(Schedule!G1999=0,1,0)+IF(Schedule!G2000=0,1,0)+IF(Schedule!G2003=0,1,0)+IF(Schedule!G2004=0,1,0)+IF(Schedule!G2005=0,1,0)+IF(Schedule!G2006=0,1,0)+IF(Schedule!G2007=0,1,0)+IF(Schedule!G2009=0,1,0)+IF(Schedule!G2010=0,1,0)+IF(Schedule!G2011=0,1,0)+IF(Schedule!G2015=0,1,0)+IF(Schedule!G2017=0,1,0)+IF(Schedule!G2018=0,1,0)+IF(Schedule!G2021=0,1,0)+IF(Schedule!G2020=0,1,0)+IF(Schedule!G2024=0,1,0)+IF(Schedule!G2025=0,1,0)+IF(Schedule!G2028=0,1,0)+IF(Schedule!G2031=0,1,0)+IF(Schedule!G2035=0,1,0)+IF(Schedule!G2037=0,1,0)+IF(Schedule!G2044=0,1,0)+IF(Schedule!G2047=0,1,0)+IF(Schedule!G2048=0,1,0)+IF(Schedule!G2049=0,1,0)+IF(Schedule!G2051=0,1,0)+IF(Schedule!G2052=0,1,0)+IF(Schedule!G2054=0,1,0)+IF(Schedule!G2055=0,1,0)+IF(Schedule!G2056=0,1,0)+IF(Schedule!G2057=0,1,0)+IF(Schedule!G2061=0,1,0)+IF(Schedule!G2062=0,1,0)+IF(Schedule!G2063=0,1,0)+IF(Schedule!G2066=0,1,0)+IF(Schedule!G2067=0,1,0)+IF(Schedule!G2068=0,1,0)+IF(Schedule!G2072=0,1,0)+IF(Schedule!G2073=0,1,0)+IF(Schedule!G2074=0,1,0)+IF(Schedule!G2079=0,1,0)</f>
        <v>0</v>
      </c>
      <c r="E83" s="281" t="e">
        <f t="shared" si="6"/>
        <v>#DIV/0!</v>
      </c>
      <c r="F83" s="88">
        <f>SUM(Schedule!G1998,Schedule!G2001,Schedule!G2002,Schedule!G2008,Schedule!G2012,Schedule!G2013,Schedule!G2014,Schedule!G2016,Schedule!G2019,Schedule!G2022,Schedule!G2023,Schedule!G2026,Schedule!G2027,Schedule!G2029,Schedule!G2030,Schedule!G2033,Schedule!G2034,Schedule!G2032,Schedule!G2036,Schedule!G2038,Schedule!G2039,Schedule!G2040,Schedule!G2041,Schedule!G2042,Schedule!G2043,Schedule!G2045,Schedule!G2046,Schedule!G2050,Schedule!G2053,Schedule!G2058,Schedule!G2059,Schedule!G2060,Schedule!G2064,Schedule!G2065,Schedule!G2069,Schedule!G2070,Schedule!G2071,Schedule!G2075,Schedule!G2076,Schedule!G2077,Schedule!G2078)</f>
        <v>1</v>
      </c>
      <c r="G83" s="10">
        <f>IF(Schedule!G1998=0,1,0)+IF(Schedule!G2001=0,1,0)+IF(Schedule!G2002=0,1,0)+IF(Schedule!G2008=0,1,0)+IF(Schedule!G2012=0,1,0)+IF(Schedule!G2013=0,1,0)+IF(Schedule!G2014=0,1,0)+IF(Schedule!G2016=0,1,0)+IF(Schedule!G2019=0,1,0)+IF(Schedule!G2022=0,1,0)+IF(Schedule!G2023=0,1,0)+IF(Schedule!G2026=0,1,0)+IF(Schedule!G2027=0,1,0)+IF(Schedule!G2029=0,1,0)+IF(Schedule!G2030=0,1,0)+IF(Schedule!G2033=0,1,0)+IF(Schedule!G2034=0,1,0)+IF(Schedule!G2032=0,1,0)+IF(Schedule!G2036=0,1,0)+IF(Schedule!G2038=0,1,0)+IF(Schedule!G2039=0,1,0)+IF(Schedule!G2040=0,1,0)+IF(Schedule!G2041=0,1,0)+IF(Schedule!G2042=0,1,0)+IF(Schedule!G2043=0,1,0)+IF(Schedule!G2045=0,1,0)+IF(Schedule!G2046=0,1,0)+IF(Schedule!G2050=0,1,0)+IF(Schedule!G2053=0,1,0)+IF(Schedule!G2058=0,1,0)+IF(Schedule!G2059=0,1,0)+IF(Schedule!G2060=0,1,0)+IF(Schedule!G2064=0,1,0)+IF(Schedule!G2065=0,1,0)+IF(Schedule!G2069=0,1,0)+IF(Schedule!G2070=0,1,0)+IF(Schedule!G2071=0,1,0)+IF(Schedule!G2075=0,1,0)+IF(Schedule!G2076=0,1,0)+IF(Schedule!G2077=0,1,0)+IF(Schedule!G2078=0,1,0)</f>
        <v>0</v>
      </c>
      <c r="H83" s="266">
        <f t="shared" si="7"/>
        <v>100</v>
      </c>
      <c r="I83" s="22">
        <f>AVERAGE(Schedule!H1998:H2079)</f>
        <v>103</v>
      </c>
      <c r="J83" s="22">
        <f>AVERAGE(Schedule!I1998:I2079)</f>
        <v>27</v>
      </c>
      <c r="K83" s="22">
        <f>AVERAGE(Schedule!J1998:J2079)</f>
        <v>46</v>
      </c>
      <c r="L83" s="22">
        <f>AVERAGE(Schedule!K1998:K2079)</f>
        <v>73</v>
      </c>
      <c r="M83" s="22">
        <f>AVERAGE(Schedule!L1998:L2079)</f>
        <v>41</v>
      </c>
      <c r="N83" s="10">
        <f>AVERAGE(PER!H520:H540)</f>
        <v>11.85</v>
      </c>
      <c r="O83" s="10">
        <f>AVERAGE(INDEX(PER!H520:H540,MATCH(MAX(PER!I520:I540,1),PER!I520:I540,0)),(INDEX(PER!H520:H540,MATCH(LARGE(PER!I520:I540,2),PER!I520:I540,0))),(INDEX(PER!H520:H540,MATCH(LARGE(PER!I520:I540,3),PER!I520:I540,0))),(INDEX(PER!H520:H540,MATCH(LARGE(PER!I520:I540,4),PER!I520:I540,0))),(INDEX(PER!H520:H540,MATCH(LARGE(PER!I520:I540,5),PER!I520:I540,0))))</f>
        <v>34.5</v>
      </c>
    </row>
    <row r="84" spans="1:18" ht="18.95" customHeight="1" x14ac:dyDescent="0.3">
      <c r="A84" s="77"/>
      <c r="B84" s="80" t="s">
        <v>25</v>
      </c>
      <c r="C84" s="82">
        <f>SUM(Schedule!G2081,Schedule!G2083,Schedule!G2085,Schedule!G2089,Schedule!G2090,Schedule!G2097,Schedule!G2098,Schedule!G2099,Schedule!G2102,Schedule!G2104,Schedule!G2105,Schedule!G2106,Schedule!G2109,Schedule!G2110,Schedule!G2113,Schedule!G2116,Schedule!G2118,Schedule!G2119,Schedule!G2120,Schedule!G2121,Schedule!G2125,Schedule!G2127,Schedule!G2128,Schedule!G2129,Schedule!G2131,Schedule!G2134,Schedule!G2136,Schedule!G2137,Schedule!G2141,Schedule!G2142,Schedule!G2143,Schedule!G2144,Schedule!G2145,Schedule!G2147,Schedule!G2148,Schedule!G2149,Schedule!G2156,Schedule!G2158,Schedule!G2159,Schedule!G2160,Schedule!G2161)</f>
        <v>0</v>
      </c>
      <c r="D84" s="22">
        <f>IF(Schedule!G2081=0,1,0)+IF(Schedule!G2083=0,1,0)+IF(Schedule!G2085=0,1,0)+IF(Schedule!G2089=0,1,0)+IF(Schedule!G2090=0,1,0)+IF(Schedule!G2097=0,1,0)+IF(Schedule!G2098=0,1,0)+IF(Schedule!G2099=0,1,0)+IF(Schedule!G2102=0,1,0)+IF(Schedule!G2104=0,1,0)+IF(Schedule!G2105=0,1,0)+IF(Schedule!G2106=0,1,0)+IF(Schedule!G2109=0,1,0)+IF(Schedule!G2110=0,1,0)+IF(Schedule!G2113=0,1,0)+IF(Schedule!G2116=0,1,0)+IF(Schedule!G2118=0,1,0)+IF(Schedule!G2119=0,1,0)+IF(Schedule!G2120=0,1,0)+IF(Schedule!G2121=0,1,0)+IF(Schedule!G2125=0,1,0)+IF(Schedule!G2127=0,1,0)+IF(Schedule!G2128=0,1,0)+IF(Schedule!G2129=0,1,0)+IF(Schedule!G2131=0,1,0)+IF(Schedule!G2134=0,1,0)+IF(Schedule!G2136=0,1,0)+IF(Schedule!G2137=0,1,0)+IF(Schedule!G2141=0,1,0)+IF(Schedule!G2142=0,1,0)+IF(Schedule!G2143=0,1,0)+IF(Schedule!G2144=0,1,0)+IF(Schedule!G2145=0,1,0)+IF(Schedule!G2147=0,1,0)+IF(Schedule!G2148=0,1,0)+IF(Schedule!G2149=0,1,0)+IF(Schedule!G2156=0,1,0)+IF(Schedule!G2158=0,1,0)+IF(Schedule!G2159=0,1,0)+IF(Schedule!G2160=0,1,0)+IF(Schedule!G2161=0,1,0)</f>
        <v>1</v>
      </c>
      <c r="E84" s="281">
        <f t="shared" si="6"/>
        <v>0</v>
      </c>
      <c r="F84" s="89">
        <f>SUM(Schedule!G2082,Schedule!G2084,Schedule!G2086,Schedule!G2087,Schedule!G2088,Schedule!G2091,Schedule!G2092,Schedule!G2093,Schedule!G2094,Schedule!G2095,Schedule!G2100,Schedule!G2100,Schedule!G2101,Schedule!G2103,Schedule!G2107,Schedule!G2108,Schedule!G2111,Schedule!G2112,Schedule!G2114,Schedule!G2115,Schedule!G2117,Schedule!G2122,Schedule!G2123,Schedule!G2124,Schedule!G2126,Schedule!G2130,Schedule!G2132,Schedule!G2133,Schedule!G2135,Schedule!G2138,Schedule!G2139,Schedule!G2140,Schedule!G2146,Schedule!G2150,Schedule!G2151,Schedule!G2152,Schedule!G2153,Schedule!G2154,Schedule!G2155,Schedule!G2157,Schedule!G2162)</f>
        <v>0</v>
      </c>
      <c r="G84" s="22">
        <f>IF(Schedule!G2082=0,1,0)+IF(Schedule!G2084=0,1,0)+IF(Schedule!G2086=0,1,0)+IF(Schedule!G2087=0,1,0)+IF(Schedule!G2088=0,1,0)+IF(Schedule!G2091=0,1,0)+IF(Schedule!G2092=0,1,0)+IF(Schedule!G2093=0,1,0)+IF(Schedule!G2094=0,1,0)+IF(Schedule!G2095=0,1,0)+IF(Schedule!G2100=0,1,0)+IF(Schedule!G2100=0,1,0)+IF(Schedule!G2101=0,1,0)+IF(Schedule!G2103=0,1,0)+IF(Schedule!G2107=0,1,0)+IF(Schedule!G2108=0,1,0)+IF(Schedule!G2111=0,1,0)+IF(Schedule!G2112=0,1,0)+IF(Schedule!G2114=0,1,0)+IF(Schedule!G2115=0,1,0)+IF(Schedule!G2117=0,1,0)+IF(Schedule!G2122=0,1,0)+IF(Schedule!G2123=0,1,0)+IF(Schedule!G2124=0,1,0)+IF(Schedule!G2126=0,1,0)+IF(Schedule!G2130=0,1,0)+IF(Schedule!G2132=0,1,0)+IF(Schedule!G2133=0,1,0)+IF(Schedule!G2135=0,1,0)+IF(Schedule!G2138=0,1,0)+IF(Schedule!G2139=0,1,0)+IF(Schedule!G2140=0,1,0)+IF(Schedule!G2146=0,1,0)+IF(Schedule!G2150=0,1,0)+IF(Schedule!G2151=0,1,0)+IF(Schedule!G2152=0,1,0)+IF(Schedule!G2153=0,1,0)+IF(Schedule!G2154=0,1,0)+IF(Schedule!G2155=0,1,0)+IF(Schedule!G2157=0,1,0)+IF(Schedule!G2162=0,1,0)</f>
        <v>0</v>
      </c>
      <c r="H84" s="266" t="e">
        <f t="shared" si="7"/>
        <v>#DIV/0!</v>
      </c>
      <c r="I84" s="22">
        <f>AVERAGE(Schedule!H2081:H2162)</f>
        <v>94</v>
      </c>
      <c r="J84" s="22">
        <f>AVERAGE(Schedule!I2081:I2162)</f>
        <v>25</v>
      </c>
      <c r="K84" s="22">
        <f>AVERAGE(Schedule!J2081:J2162)</f>
        <v>52</v>
      </c>
      <c r="L84" s="22">
        <f>AVERAGE(Schedule!K2081:K2162)</f>
        <v>67</v>
      </c>
      <c r="M84" s="22">
        <f>AVERAGE(Schedule!L2081:L2162)</f>
        <v>47</v>
      </c>
      <c r="N84" s="135">
        <f>AVERAGE(PER!H542:H561)</f>
        <v>7.5166666666666666</v>
      </c>
      <c r="O84" s="22">
        <f>AVERAGE(INDEX(PER!H542:H564,MATCH(MAX(PER!I542:I564,1),PER!I542:I564,0)),(INDEX(PER!H542:H564,MATCH(LARGE(PER!I542:I564,2),PER!I542:I564,0))),(INDEX(PER!H542:H564,MATCH(LARGE(PER!I542:I564,3),PER!I542:I564,0))),(INDEX(PER!H542:H564,MATCH(LARGE(PER!I542:I564,4),PER!I542:I564,0))),(INDEX(PER!H542:H564,MATCH(LARGE(PER!I542:I564,5),PER!I542:I564,0))))</f>
        <v>16.899999999999999</v>
      </c>
    </row>
    <row r="85" spans="1:18" ht="18.95" customHeight="1" x14ac:dyDescent="0.3">
      <c r="A85" s="77"/>
      <c r="B85" s="79" t="s">
        <v>24</v>
      </c>
      <c r="C85" s="83">
        <f>SUM(Schedule!G2164,Schedule!G2165,Schedule!G2167,Schedule!G2171,Schedule!G2173,Schedule!G2174,Schedule!G2175,Schedule!G2181,Schedule!G2182,Schedule!G2183,Schedule!G2184,Schedule!G2190,Schedule!G2194,Schedule!G2195,Schedule!G2196,Schedule!G2197,Schedule!G2201,Schedule!G2202,Schedule!G2204,Schedule!G2205,Schedule!G2210,Schedule!G2211,Schedule!G2212,Schedule!G2213,Schedule!G2214,Schedule!G2217,Schedule!G2218,Schedule!G2223,Schedule!G2224,Schedule!G2227,Schedule!G2228,Schedule!G2234,Schedule!G2235,Schedule!G2236,Schedule!G2238,Schedule!G2239,Schedule!G2240,Schedule!G2242,Schedule!G2243,Schedule!G2244,Schedule!G2245)</f>
        <v>1</v>
      </c>
      <c r="D85" s="10">
        <f>IF(Schedule!G2164=0,1,0)+IF(Schedule!G2165=0,1,0)+IF(Schedule!G2167=0,1,0)+IF(Schedule!G2171=0,1,0)+IF(Schedule!G2173=0,1,0)+IF(Schedule!G2174=0,1,0)+IF(Schedule!G2175=0,1,0)+IF(Schedule!G2181=0,1,0)+IF(Schedule!G2182=0,1,0)+IF(Schedule!G2183=0,1,0)+IF(Schedule!G2184=0,1,0)+IF(Schedule!G2190=0,1,0)+IF(Schedule!G2194=0,1,0)+IF(Schedule!G2195=0,1,0)+IF(Schedule!G2196=0,1,0)+IF(Schedule!G2197=0,1,0)+IF(Schedule!G2201=0,1,0)+IF(Schedule!G2202=0,1,0)+IF(Schedule!G2204=0,1,0)+IF(Schedule!G2205=0,1,0)+IF(Schedule!G2210=0,1,0)+IF(Schedule!G2211=0,1,0)+IF(Schedule!G2212=0,1,0)+IF(Schedule!G2213=0,1,0)+IF(Schedule!G2214=0,1,0)+IF(Schedule!G2217=0,1,0)+IF(Schedule!G2218=0,1,0)+IF(Schedule!G2223=0,1,0)+IF(Schedule!G2224=0,1,0)+IF(Schedule!G2227=0,1,0)+IF(Schedule!G2228=0,1,0)+IF(Schedule!G2234=0,1,0)+IF(Schedule!G2235=0,1,0)+IF(Schedule!G2236=0,1,0)+IF(Schedule!G2238=0,1,0)+IF(Schedule!G2239=0,1,0)+IF(Schedule!G2240=0,1,0)+IF(Schedule!G2242=0,1,0)+IF(Schedule!G2243=0,1,0)+IF(Schedule!G2244=0,1,0)+IF(Schedule!G2245=0,1,0)</f>
        <v>1</v>
      </c>
      <c r="E85" s="281">
        <f t="shared" si="6"/>
        <v>50</v>
      </c>
      <c r="F85" s="88">
        <f>SUM(Schedule!G2166,Schedule!G2168,Schedule!G2169,Schedule!G2170,Schedule!G2172,Schedule!G2176,Schedule!G2177,Schedule!G2178,Schedule!G2179,Schedule!G2180,Schedule!G2185,Schedule!G2186,Schedule!G2187,Schedule!G2188,Schedule!G2189,Schedule!G2191,Schedule!G2192,Schedule!G2193,Schedule!G2198,Schedule!G2199,Schedule!G2200,Schedule!G2203,Schedule!G2206,Schedule!G2207,Schedule!G2208,Schedule!G2209,Schedule!G2215,Schedule!G2216,Schedule!G2219,Schedule!G2220,Schedule!G2221,Schedule!G2222,Schedule!G2225,Schedule!G2226,Schedule!G2229,Schedule!G2230,Schedule!G2231,Schedule!G2232,Schedule!G2233,Schedule!G2237,Schedule!G2241)</f>
        <v>0</v>
      </c>
      <c r="G85" s="84">
        <f>IF(Schedule!G2166=0,1,0)+IF(Schedule!G2168=0,1,0)+IF(Schedule!G2169=0,1,0)+IF(Schedule!G2170=0,1,0)+IF(Schedule!G2172=0,1,0)+IF(Schedule!G2176=0,1,0)+IF(Schedule!G2177=0,1,0)+IF(Schedule!G2178=0,1,0)+IF(Schedule!G2179=0,1,0)+IF(Schedule!G2180=0,1,0)+IF(Schedule!G2185=0,1,0)+IF(Schedule!G2186=0,1,0)+IF(Schedule!G2187=0,1,0)+IF(Schedule!G2188=0,1,0)+IF(Schedule!G2189=0,1,0)+IF(Schedule!G2191=0,1,0)+IF(Schedule!G2192=0,1,0)+IF(Schedule!G2193=0,1,0)+IF(Schedule!G2198=0,1,0)+IF(Schedule!G2199=0,1,0)+IF(Schedule!G2200=0,1,0)+IF(Schedule!G2203=0,1,0)+IF(Schedule!G2206=0,1,0)+IF(Schedule!G2207=0,1,0)+IF(Schedule!G2208=0,1,0)+IF(Schedule!G2209=0,1,0)+IF(Schedule!G2215=0,1,0)+IF(Schedule!G2216=0,1,0)+IF(Schedule!G2219=0,1,0)+IF(Schedule!G2220=0,1,0)+IF(Schedule!G2221=0,1,0)+IF(Schedule!G2222=0,1,0)+IF(Schedule!G2225=0,1,0)+IF(Schedule!G2226=0,1,0)+IF(Schedule!G2229=0,1,0)+IF(Schedule!G2230=0,1,0)+IF(Schedule!G2231=0,1,0)+IF(Schedule!G2232=0,1,0)+IF(Schedule!G2233=0,1,0)+IF(Schedule!G2237=0,1,0)+IF(Schedule!G2241=0,1,0)</f>
        <v>0</v>
      </c>
      <c r="H85" s="266" t="e">
        <f t="shared" si="7"/>
        <v>#DIV/0!</v>
      </c>
      <c r="I85" s="22">
        <f>AVERAGE(Schedule!H2164:H2245)</f>
        <v>109.5</v>
      </c>
      <c r="J85" s="22">
        <f>AVERAGE(Schedule!I2164:I2245)</f>
        <v>45</v>
      </c>
      <c r="K85" s="22">
        <f>AVERAGE(Schedule!J2164:J2245)</f>
        <v>49</v>
      </c>
      <c r="L85" s="22">
        <f>AVERAGE(Schedule!K2164:K2245)</f>
        <v>87.5</v>
      </c>
      <c r="M85" s="22">
        <f>AVERAGE(Schedule!L2164:L2245)</f>
        <v>49</v>
      </c>
      <c r="N85" s="138">
        <f>AVERAGE(PER!H566:H583)</f>
        <v>13.939999999999998</v>
      </c>
      <c r="O85" s="84">
        <f>AVERAGE(INDEX(PER!H566:H583,MATCH(MAX(PER!I566:I583,1),PER!I566:I583,0)),(INDEX(PER!H566:H583,MATCH(LARGE(PER!I566:I583,2),PER!I566:I583,0))),(INDEX(PER!H566:H583,MATCH(LARGE(PER!I566:I583,3),PER!I566:I583,0))),(INDEX(PER!H566:H583,MATCH(LARGE(PER!I566:I583,4),PER!I566:I583,0))),(INDEX(PER!H566:H583,MATCH(LARGE(PER!I566:I583,5),PER!I566:I583,0))))</f>
        <v>41.5</v>
      </c>
    </row>
    <row r="86" spans="1:18" ht="20.100000000000001" customHeight="1" x14ac:dyDescent="0.3">
      <c r="A86" s="77"/>
      <c r="B86" s="80" t="s">
        <v>26</v>
      </c>
      <c r="C86" s="82">
        <f>SUM(Schedule!G2248,Schedule!G2249,Schedule!G2255,Schedule!G2256,Schedule!G2258,Schedule!G2259,Schedule!G2260,Schedule!G2261,Schedule!G2262,Schedule!G2269,Schedule!G2271,Schedule!G2275,Schedule!G2278,Schedule!G2280,Schedule!G2282,Schedule!G2283,Schedule!G2284,Schedule!G2285,Schedule!G2286,Schedule!G2287,Schedule!G2288,Schedule!G2296,Schedule!G2297,Schedule!G2298,Schedule!G2299,Schedule!G2300,Schedule!G2301,Schedule!G2304,Schedule!G2305,Schedule!G2306,Schedule!G2307,Schedule!G2308,Schedule!G2311,Schedule!G2312,Schedule!G2313,Schedule!G2317,Schedule!G2320,Schedule!G2321,Schedule!G2324,Schedule!G2326,Schedule!G2327)</f>
        <v>0</v>
      </c>
      <c r="D86" s="87">
        <f>IF(Schedule!G2248=0,1,0)+IF(Schedule!G2249=0,1,0)+IF(Schedule!G2255=0,1,0)+IF(Schedule!G2256=0,1,0)+IF(Schedule!G2258=0,1,0)+IF(Schedule!G2259=0,1,0)+IF(Schedule!G2260=0,1,0)+IF(Schedule!G2261=0,1,0)+IF(Schedule!G2262=0,1,0)+IF(Schedule!G2269=0,1,0)+IF(Schedule!G2271=0,1,0)+IF(Schedule!G2275=0,1,0)+IF(Schedule!G2278=0,1,0)+IF(Schedule!G2280=0,1,0)+IF(Schedule!G2282=0,1,0)+IF(Schedule!G2283=0,1,0)+IF(Schedule!G2284=0,1,0)+IF(Schedule!G2285=0,1,0)+IF(Schedule!G2286=0,1,0)+IF(Schedule!G2287=0,1,0)+IF(Schedule!G2288=0,1,0)+IF(Schedule!G2296=0,1,0)+IF(Schedule!G2297=0,1,0)+IF(Schedule!G2298=0,1,0)+IF(Schedule!G2299=0,1,0)+IF(Schedule!G2300=0,1,0)+IF(Schedule!G2301=0,1,0)+IF(Schedule!G2304=0,1,0)+IF(Schedule!G2305=0,1,0)+IF(Schedule!G2306=0,1,0)+IF(Schedule!G2307=0,1,0)+IF(Schedule!G2308=0,1,0)+IF(Schedule!G2311=0,1,0)+IF(Schedule!G2312=0,1,0)+IF(Schedule!G2313=0,1,0)+IF(Schedule!G2317=0,1,0)+IF(Schedule!G2320=0,1,0)+IF(Schedule!G2321=0,1,0)+IF(Schedule!G2324=0,1,0)+IF(Schedule!G2326=0,1,0)+IF(Schedule!G2327=0,1,0)</f>
        <v>1</v>
      </c>
      <c r="E86" s="281">
        <f t="shared" si="6"/>
        <v>0</v>
      </c>
      <c r="F86" s="89">
        <f>SUM(Schedule!G2247,Schedule!G2250,Schedule!G2251,Schedule!G2252,Schedule!G2253,Schedule!G2254,Schedule!G2257,Schedule!G2263,Schedule!G2264,Schedule!G2265,Schedule!G2266,Schedule!G2267,Schedule!G2268,Schedule!G2270,Schedule!G2272,Schedule!G2273,Schedule!G2274,Schedule!G2276,Schedule!G2277,Schedule!G2279,Schedule!G2281,Schedule!G2289,Schedule!G2290,Schedule!G2291,Schedule!G2292,Schedule!G2293,Schedule!G2294,Schedule!G2295,Schedule!G2302,Schedule!G2303,Schedule!G2309,Schedule!G2310,Schedule!G2314,Schedule!G2315,Schedule!G2316,Schedule!G2318,Schedule!G2319,Schedule!G2322,Schedule!G2323,Schedule!G2325,Schedule!G2328)</f>
        <v>1</v>
      </c>
      <c r="G86" s="81">
        <f>IF(Schedule!G2247=0,1,0)+IF(Schedule!G2250=0,1,0)+IF(Schedule!G2251=0,1,0)+IF(Schedule!G2252=0,1,0)+IF(Schedule!G2253=0,1,0)+IF(Schedule!G2254=0,1,0)+IF(Schedule!G2257=0,1,0)+IF(Schedule!G2263=0,1,0)+IF(Schedule!G2264=0,1,0)+IF(Schedule!G2265=0,1,0)+IF(Schedule!G2266=0,1,0)+IF(Schedule!G2267=0,1,0)+IF(Schedule!G2268=0,1,0)+IF(Schedule!G2270=0,1,0)+IF(Schedule!G2272=0,1,0)+IF(Schedule!G2273=0,1,0)+IF(Schedule!G2274=0,1,0)+IF(Schedule!G2276=0,1,0)+IF(Schedule!G2277=0,1,0)+IF(Schedule!G2279=0,1,0)+IF(Schedule!G2281=0,1,0)+IF(Schedule!G2289=0,1,0)+IF(Schedule!G2290=0,1,0)+IF(Schedule!G2291=0,1,0)+IF(Schedule!G2292=0,1,0)+IF(Schedule!G2293=0,1,0)+IF(Schedule!G2294=0,1,0)+IF(Schedule!G2295=0,1,0)+IF(Schedule!G2302=0,1,0)+IF(Schedule!G2303=0,1,0)+IF(Schedule!G2309=0,1,0)+IF(Schedule!G2310=0,1,0)+IF(Schedule!G2314=0,1,0)+IF(Schedule!G2315=0,1,0)+IF(Schedule!G2316=0,1,0)+IF(Schedule!G2318=0,1,0)+IF(Schedule!G2319=0,1,0)+IF(Schedule!G2322=0,1,0)+IF(Schedule!G2323=0,1,0)+IF(Schedule!G2325=0,1,0)+IF(Schedule!G2328=0,1,0)</f>
        <v>0</v>
      </c>
      <c r="H86" s="266">
        <f t="shared" si="7"/>
        <v>100</v>
      </c>
      <c r="I86" s="22">
        <f>AVERAGE(Schedule!H2247:H2328)</f>
        <v>103.5</v>
      </c>
      <c r="J86" s="22">
        <f>AVERAGE(Schedule!I2247:I2328)</f>
        <v>29.5</v>
      </c>
      <c r="K86" s="22">
        <f>AVERAGE(Schedule!J2247:J2328)</f>
        <v>51</v>
      </c>
      <c r="L86" s="22">
        <f>AVERAGE(Schedule!K2247:K2328)</f>
        <v>78.5</v>
      </c>
      <c r="M86" s="22">
        <f>AVERAGE(Schedule!L2247:L2328)</f>
        <v>45.5</v>
      </c>
      <c r="N86" s="22">
        <f>AVERAGE(PER!H585:H602)</f>
        <v>12</v>
      </c>
      <c r="O86" s="22">
        <f>AVERAGE(INDEX(PER!H585:H602,MATCH(MAX(PER!I585:I602,1),PER!I585:I602,0)),(INDEX(PER!H585:H602,MATCH(LARGE(PER!I585:I602,2),PER!I585:I602,0))),(INDEX(PER!H585:H602,MATCH(LARGE(PER!I585:I602,3),PER!I585:I602,0))),(INDEX(PER!H585:H602,MATCH(LARGE(PER!I585:I602,4),PER!I585:I602,0))),(INDEX(PER!H585:H602,MATCH(LARGE(PER!I585:I602,5),PER!I585:I602,0))))</f>
        <v>31.9</v>
      </c>
    </row>
    <row r="87" spans="1:18" x14ac:dyDescent="0.3">
      <c r="A87" s="77"/>
      <c r="B87" s="79" t="s">
        <v>46</v>
      </c>
      <c r="C87" s="83">
        <f>SUM(Schedule!G2332,Schedule!G2334,Schedule!G2336,Schedule!G2337,Schedule!G2338,Schedule!G2340,Schedule!G2343,Schedule!G2347,Schedule!G2349,Schedule!G2353,Schedule!G2354,Schedule!G2356,Schedule!G2360,Schedule!G2361,Schedule!G2362,Schedule!G2364,Schedule!G2366,Schedule!G2367,Schedule!G2368,Schedule!G2370,Schedule!G2371,Schedule!G2376,Schedule!G2377,Schedule!G2378,Schedule!G2379,Schedule!G2388,Schedule!G2390,Schedule!G2391,Schedule!G2392,Schedule!G2394,Schedule!G2395,Schedule!G2396,Schedule!G2398,Schedule!G2400,Schedule!G2401,Schedule!G2402,Schedule!G2403,Schedule!G2405,Schedule!G2406,Schedule!G2407,Schedule!G2409)</f>
        <v>0</v>
      </c>
      <c r="D87" s="84">
        <f>IF(Schedule!G2332=0,1,0)+IF(Schedule!G2334=0,1,0)+IF(Schedule!G2336=0,1,0)+IF(Schedule!G2337=0,1,0)+IF(Schedule!G2338=0,1,0)+IF(Schedule!G2340=0,1,0)+IF(Schedule!G2343=0,1,0)+IF(Schedule!G2347=0,1,0)+IF(Schedule!G2349=0,1,0)+IF(Schedule!G2353=0,1,0)+IF(Schedule!G2354=0,1,0)+IF(Schedule!G2356=0,1,0)+IF(Schedule!G2360=0,1,0)+IF(Schedule!G2361=0,1,0)+IF(Schedule!G2362=0,1,0)+IF(Schedule!G2364=0,1,0)+IF(Schedule!G2366=0,1,0)+IF(Schedule!G2367=0,1,0)+IF(Schedule!G2368=0,1,0)+IF(Schedule!G2370=0,1,0)+IF(Schedule!G2371=0,1,0)+IF(Schedule!G2376=0,1,0)+IF(Schedule!G2377=0,1,0)+IF(Schedule!G2378=0,1,0)+IF(Schedule!G2379=0,1,0)+IF(Schedule!G2388=0,1,0)+IF(Schedule!G2390=0,1,0)+IF(Schedule!G2391=0,1,0)+IF(Schedule!G2392=0,1,0)+IF(Schedule!G2394=0,1,0)+IF(Schedule!G2395=0,1,0)+IF(Schedule!G2396=0,1,0)+IF(Schedule!G2398=0,1,0)+IF(Schedule!G2400=0,1,0)+IF(Schedule!G2401=0,1,0)+IF(Schedule!G2402=0,1,0)+IF(Schedule!G2403=0,1,0)+IF(Schedule!G2405=0,1,0)+IF(Schedule!G2406=0,1,0)+IF(Schedule!G2407=0,1,0)+IF(Schedule!G2409=0,1,0)</f>
        <v>0</v>
      </c>
      <c r="E87" s="281" t="e">
        <f t="shared" si="6"/>
        <v>#DIV/0!</v>
      </c>
      <c r="F87" s="88">
        <f>SUM(Schedule!G2330,Schedule!G2331,Schedule!G2333,Schedule!G2335,Schedule!G2339,Schedule!G2341,Schedule!G2342,Schedule!G2344,Schedule!G2345,Schedule!G2346,Schedule!G2348,Schedule!G2350,Schedule!G2351,Schedule!G2352,Schedule!G2355,Schedule!G2357,Schedule!G2358,Schedule!G2359,Schedule!G2363,Schedule!G2365,Schedule!G2369,Schedule!G2373,Schedule!G2374,Schedule!G2375,Schedule!G2372,Schedule!G2380,Schedule!G2381,Schedule!G2383,Schedule!G2382,Schedule!G2384,Schedule!G2385,Schedule!G2386,Schedule!G2387,Schedule!G2389,Schedule!G2393,Schedule!G2397,Schedule!G2399,Schedule!G2404,Schedule!G2408,Schedule!G2410,Schedule!G2411)</f>
        <v>2</v>
      </c>
      <c r="G87" s="30">
        <f>IF(Schedule!G2330=0,1,0)+IF(Schedule!G2331=0,1,0)+IF(Schedule!G2333=0,1,0)+IF(Schedule!G2335=0,1,0)+IF(Schedule!G2339=0,1,0)+IF(Schedule!G2341=0,1,0)+IF(Schedule!G2342=0,1,0)+IF(Schedule!G2344=0,1,0)+IF(Schedule!G2345=0,1,0)+IF(Schedule!G2346=0,1,0)+IF(Schedule!G2348=0,1,0)+IF(Schedule!G2350=0,1,0)+IF(Schedule!G2351=0,1,0)+IF(Schedule!G2352=0,1,0)+IF(Schedule!G2355=0,1,0)+IF(Schedule!G2357=0,1,0)+IF(Schedule!G2358=0,1,0)+IF(Schedule!G2359=0,1,0)+IF(Schedule!G2363=0,1,0)+IF(Schedule!G2365=0,1,0)+IF(Schedule!G2369=0,1,0)+IF(Schedule!G2373=0,1,0)+IF(Schedule!G2374=0,1,0)+IF(Schedule!G2375=0,1,0)+IF(Schedule!G2372=0,1,0)+IF(Schedule!G2380=0,1,0)+IF(Schedule!G2381=0,1,0)+IF(Schedule!G2383=0,1,0)+IF(Schedule!G2382=0,1,0)+IF(Schedule!G2384=0,1,0)+IF(Schedule!G2385=0,1,0)+IF(Schedule!G2386=0,1,0)+IF(Schedule!G2387=0,1,0)+IF(Schedule!G2389=0,1,0)+IF(Schedule!G2393=0,1,0)+IF(Schedule!G2397=0,1,0)+IF(Schedule!G2399=0,1,0)+IF(Schedule!G2404=0,1,0)+IF(Schedule!G2408=0,1,0)+IF(Schedule!G2410=0,1,0)+IF(Schedule!G2411=0,1,0)</f>
        <v>0</v>
      </c>
      <c r="H87" s="266">
        <f t="shared" si="7"/>
        <v>100</v>
      </c>
      <c r="I87" s="22">
        <f>AVERAGE(Schedule!H2330:H2411)</f>
        <v>115.5</v>
      </c>
      <c r="J87" s="22">
        <f>AVERAGE(Schedule!I2330:I2411)</f>
        <v>41.5</v>
      </c>
      <c r="K87" s="22">
        <f>AVERAGE(Schedule!J2330:J2411)</f>
        <v>48</v>
      </c>
      <c r="L87" s="22">
        <f>AVERAGE(Schedule!K2330:K2411)</f>
        <v>88.5</v>
      </c>
      <c r="M87" s="22">
        <f>AVERAGE(Schedule!L2330:L2411)</f>
        <v>47</v>
      </c>
      <c r="N87" s="136">
        <f>AVERAGE(PER!H604:H622)</f>
        <v>18.576923076923077</v>
      </c>
      <c r="O87" s="10">
        <f>AVERAGE(INDEX(PER!H604:H622,MATCH(MAX(PER!I604:I622,1),PER!I604:I622,0)),(INDEX(PER!H604:H622,MATCH(LARGE(PER!I604:I622,2),PER!I604:I622,0))),(INDEX(PER!H604:H622,MATCH(LARGE(PER!I604:I622,3),PER!I604:I622,0))),(INDEX(PER!H604:H622,MATCH(LARGE(PER!I604:I622,4),PER!I604:I622,0))),(INDEX(PER!H604:H622,MATCH(LARGE(PER!I604:I622,5),PER!I604:I622,0))))</f>
        <v>41.8</v>
      </c>
    </row>
    <row r="88" spans="1:18" x14ac:dyDescent="0.3">
      <c r="A88" s="77"/>
      <c r="B88" s="80" t="s">
        <v>28</v>
      </c>
      <c r="C88" s="82">
        <f>SUM(Schedule!G2414,Schedule!G2417,Schedule!G2418,Schedule!G2424,Schedule!G2425,Schedule!G2428,Schedule!G2429,Schedule!G2431,Schedule!G2432,Schedule!G2433,Schedule!G2435,Schedule!G2436,Schedule!G2437,Schedule!G2438,Schedule!G2439,Schedule!G2442,Schedule!G2443,Schedule!G2445,Schedule!G2446,Schedule!G2452,Schedule!G2453,Schedule!G2454,Schedule!G2457,Schedule!G2458,Schedule!G2460,Schedule!G2461,Schedule!G2462,Schedule!G2463,Schedule!G2467,Schedule!G2468,Schedule!G2469,Schedule!G2473,Schedule!G2474,Schedule!G2476,Schedule!G2479,Schedule!G2484,Schedule!G2486,Schedule!G2488,Schedule!G2490,Schedule!G2491,Schedule!G2494)</f>
        <v>0</v>
      </c>
      <c r="D88" s="22">
        <f>IF(Schedule!G2414=0,1,0)+IF(Schedule!G2417=0,1,0)+IF(Schedule!G2418=0,1,0)+IF(Schedule!G2424=0,1,0)+IF(Schedule!G2425=0,1,0)+IF(Schedule!G2428=0,1,0)+IF(Schedule!G2429=0,1,0)+IF(Schedule!G2431=0,1,0)+IF(Schedule!G2432=0,1,0)+IF(Schedule!G2433=0,1,0)+IF(Schedule!G2435=0,1,0)+IF(Schedule!G2436=0,1,0)+IF(Schedule!G2437=0,1,0)+IF(Schedule!G2438=0,1,0)+IF(Schedule!G2439=0,1,0)+IF(Schedule!G2442=0,1,0)+IF(Schedule!G2443=0,1,0)+IF(Schedule!G2445=0,1,0)+IF(Schedule!G2446=0,1,0)+IF(Schedule!G2452=0,1,0)+IF(Schedule!G2453=0,1,0)+IF(Schedule!G2454=0,1,0)+IF(Schedule!G2457=0,1,0)+IF(Schedule!G2458=0,1,0)+IF(Schedule!G2460=0,1,0)+IF(Schedule!G2461=0,1,0)+IF(Schedule!G2462=0,1,0)+IF(Schedule!G2463=0,1,0)+IF(Schedule!G2467=0,1,0)+IF(Schedule!G2468=0,1,0)+IF(Schedule!G2469=0,1,0)+IF(Schedule!G2473=0,1,0)+IF(Schedule!G2474=0,1,0)+IF(Schedule!G2476=0,1,0)+IF(Schedule!G2479=0,1,0)+IF(Schedule!G2484=0,1,0)+IF(Schedule!G2486=0,1,0)+IF(Schedule!G2488=0,1,0)+IF(Schedule!G2490=0,1,0)+IF(Schedule!G2491=0,1,0)+IF(Schedule!G2494=0,1,0)</f>
        <v>0</v>
      </c>
      <c r="E88" s="282" t="e">
        <f t="shared" si="6"/>
        <v>#DIV/0!</v>
      </c>
      <c r="F88" s="86">
        <f>SUM(Schedule!G2413,Schedule!G2415,Schedule!G2416,Schedule!G2419,Schedule!G2420,Schedule!G2421,Schedule!G2422,Schedule!G2423,Schedule!G2426,Schedule!G2427,Schedule!G2430,Schedule!G2434,Schedule!G2440,Schedule!G2441,Schedule!G2444,Schedule!G2447,Schedule!G2448,Schedule!G2449,Schedule!G2450,Schedule!G2451,Schedule!G2455,Schedule!G2456,Schedule!G2459,Schedule!G2464,Schedule!G2465,Schedule!G2466,Schedule!G2470,Schedule!G2471,Schedule!G2472,Schedule!G2475,Schedule!G2477,Schedule!G2478,Schedule!G2480,Schedule!G2481,Schedule!G2482,Schedule!G2483,Schedule!G2485,Schedule!G2487,Schedule!G2489,Schedule!G2492,Schedule!G2493)</f>
        <v>0</v>
      </c>
      <c r="G88" s="81">
        <f>IF(Schedule!G2413=0,1,0)+IF(Schedule!G2415=0,1,0)+IF(Schedule!G2416=0,1,0)+IF(Schedule!G2419=0,1,0)+IF(Schedule!G2420=0,1,0)+IF(Schedule!G2421=0,1,0)+IF(Schedule!G2422=0,1,0)+IF(Schedule!G2423=0,1,0)+IF(Schedule!G2426=0,1,0)+IF(Schedule!G2427=0,1,0)+IF(Schedule!G2430=0,1,0)+IF(Schedule!G2434=0,1,0)+IF(Schedule!G2440=0,1,0)+IF(Schedule!G2441=0,1,0)+IF(Schedule!G2444=0,1,0)+IF(Schedule!G2447=0,1,0)+IF(Schedule!G2448=0,1,0)+IF(Schedule!G2449=0,1,0)+IF(Schedule!G2450=0,1,0)+IF(Schedule!G2451=0,1,0)+IF(Schedule!G2455=0,1,0)+IF(Schedule!G2456=0,1,0)+IF(Schedule!G2459=0,1,0)+IF(Schedule!G2464=0,1,0)+IF(Schedule!G2465=0,1,0)+IF(Schedule!G2466=0,1,0)+IF(Schedule!G2470=0,1,0)+IF(Schedule!G2471=0,1,0)+IF(Schedule!G2472=0,1,0)+IF(Schedule!G2475=0,1,0)+IF(Schedule!G2477=0,1,0)+IF(Schedule!G2478=0,1,0)+IF(Schedule!G2480=0,1,0)+IF(Schedule!G2481=0,1,0)+IF(Schedule!G2482=0,1,0)+IF(Schedule!G2483=0,1,0)+IF(Schedule!G2485=0,1,0)+IF(Schedule!G2487=0,1,0)+IF(Schedule!G2489=0,1,0)+IF(Schedule!G2492=0,1,0)+IF(Schedule!G2493=0,1,0)</f>
        <v>1</v>
      </c>
      <c r="H88" s="267">
        <f t="shared" si="7"/>
        <v>0</v>
      </c>
      <c r="I88" s="22">
        <f>AVERAGE(Schedule!H2413:H2494)</f>
        <v>104</v>
      </c>
      <c r="J88" s="22">
        <f>AVERAGE(Schedule!I2413:I2494)</f>
        <v>33</v>
      </c>
      <c r="K88" s="22">
        <f>AVERAGE(Schedule!J2413:J2494)</f>
        <v>55</v>
      </c>
      <c r="L88" s="22">
        <f>AVERAGE(Schedule!K2413:K2494)</f>
        <v>100</v>
      </c>
      <c r="M88" s="22">
        <f>AVERAGE(Schedule!L2413:L2494)</f>
        <v>49</v>
      </c>
      <c r="N88" s="135">
        <f>AVERAGE(PER!H624:H643)</f>
        <v>14.739999999999998</v>
      </c>
      <c r="O88" s="22">
        <f>AVERAGE(INDEX(PER!H624:H643,MATCH(MAX(PER!I624:I643,1),PER!I624:I643,0)),(INDEX(PER!H624:H643,MATCH(LARGE(PER!I624:I643,2),PER!I624:I643,0))),(INDEX(PER!H624:H643,MATCH(LARGE(PER!I624:I643,3),PER!I624:I643,0))),(INDEX(PER!H624:H643,MATCH(LARGE(PER!I624:I643,4),PER!I624:I643,0))),(INDEX(PER!H624:H643,MATCH(LARGE(PER!I624:I643,5),PER!I624:I643,0))))</f>
        <v>38.200000000000003</v>
      </c>
    </row>
    <row r="89" spans="1:18" x14ac:dyDescent="0.3">
      <c r="A89" s="187"/>
      <c r="B89" s="188"/>
      <c r="C89" s="187"/>
      <c r="D89" s="187"/>
      <c r="E89" s="187"/>
      <c r="F89" s="187"/>
      <c r="G89" s="187"/>
      <c r="H89" s="187"/>
      <c r="I89" s="81" t="e">
        <f>AVERAGE(Schedule!H1252:H1333)</f>
        <v>#DIV/0!</v>
      </c>
      <c r="J89" s="78">
        <f>(J74+J75+J76+J77+J78+J79+J80+J81+J82+J83+J84+J85+J86+J87+J88)/15</f>
        <v>31.733333333333334</v>
      </c>
      <c r="K89" s="78">
        <f>(K74+K75+K76+K77+K78+K79+K80+K81+K82+K83+K84+K85+K86+K87+K88)/15</f>
        <v>51.333333333333336</v>
      </c>
      <c r="L89" s="78">
        <f>(L74+L75+L76+L77+L78+L79+L80+L81+L82+L83+L84+L85+L86+L87+L88)/15</f>
        <v>77.566666666666663</v>
      </c>
      <c r="M89" s="78">
        <f>(M74+M75+M76+M77+M78+M79+M80+M81+M82+M83+M84+M85+M86+M87+M88)/15</f>
        <v>45.7</v>
      </c>
      <c r="N89" s="134"/>
      <c r="O89" s="355" t="s">
        <v>635</v>
      </c>
      <c r="P89" s="355"/>
      <c r="Q89" s="355"/>
    </row>
    <row r="90" spans="1:18" ht="26.25" x14ac:dyDescent="0.25">
      <c r="A90" s="363" t="s">
        <v>44</v>
      </c>
      <c r="B90" s="363"/>
      <c r="C90" s="363"/>
      <c r="D90" s="363"/>
      <c r="E90" s="363"/>
      <c r="F90" s="363"/>
      <c r="G90" s="363"/>
      <c r="H90" s="363"/>
      <c r="I90" s="363"/>
      <c r="J90" s="363"/>
      <c r="K90" s="363"/>
      <c r="L90" s="363"/>
      <c r="M90" s="363"/>
      <c r="N90" s="363"/>
      <c r="O90" s="363"/>
      <c r="P90" s="249"/>
      <c r="Q90" s="249"/>
    </row>
    <row r="91" spans="1:18" ht="26.25" x14ac:dyDescent="0.25">
      <c r="A91" s="363"/>
      <c r="B91" s="363"/>
      <c r="C91" s="363"/>
      <c r="D91" s="363"/>
      <c r="E91" s="363"/>
      <c r="F91" s="363"/>
      <c r="G91" s="363"/>
      <c r="H91" s="363"/>
      <c r="I91" s="363"/>
      <c r="J91" s="363"/>
      <c r="K91" s="363"/>
      <c r="L91" s="363"/>
      <c r="M91" s="363"/>
      <c r="N91" s="363"/>
      <c r="O91" s="363"/>
      <c r="P91" s="249"/>
      <c r="Q91" s="249"/>
    </row>
    <row r="92" spans="1:18" hidden="1" outlineLevel="1" x14ac:dyDescent="0.3">
      <c r="B92" s="1" t="s">
        <v>31</v>
      </c>
      <c r="C92" s="351" t="s">
        <v>34</v>
      </c>
      <c r="D92" s="352"/>
      <c r="E92" s="70"/>
      <c r="F92" s="351" t="s">
        <v>35</v>
      </c>
      <c r="G92" s="352"/>
      <c r="H92" s="70"/>
    </row>
    <row r="93" spans="1:18" ht="19.5" hidden="1" outlineLevel="1" thickBot="1" x14ac:dyDescent="0.35">
      <c r="A93" t="s">
        <v>42</v>
      </c>
      <c r="B93" s="32" t="s">
        <v>30</v>
      </c>
      <c r="C93" s="25" t="s">
        <v>32</v>
      </c>
      <c r="D93" s="31" t="s">
        <v>33</v>
      </c>
      <c r="E93" s="31" t="s">
        <v>36</v>
      </c>
      <c r="F93" s="25" t="s">
        <v>32</v>
      </c>
      <c r="G93" s="31" t="s">
        <v>33</v>
      </c>
      <c r="H93" s="31" t="s">
        <v>36</v>
      </c>
      <c r="I93" s="24" t="s">
        <v>37</v>
      </c>
      <c r="J93" s="4" t="s">
        <v>38</v>
      </c>
      <c r="K93" s="4" t="s">
        <v>41</v>
      </c>
      <c r="L93" s="4" t="s">
        <v>40</v>
      </c>
      <c r="M93" s="4" t="s">
        <v>39</v>
      </c>
      <c r="N93" s="4" t="s">
        <v>224</v>
      </c>
      <c r="O93" s="4" t="s">
        <v>307</v>
      </c>
    </row>
    <row r="94" spans="1:18" ht="19.5" hidden="1" outlineLevel="1" thickTop="1" x14ac:dyDescent="0.3">
      <c r="A94" s="77">
        <v>4</v>
      </c>
      <c r="B94" s="5" t="s">
        <v>0</v>
      </c>
      <c r="C94" s="42">
        <v>27</v>
      </c>
      <c r="D94" s="26">
        <f t="shared" ref="D94:D108" si="9">41-C94</f>
        <v>14</v>
      </c>
      <c r="E94" s="49">
        <f t="shared" ref="E94:E108" si="10">(C94*100)/41</f>
        <v>65.853658536585371</v>
      </c>
      <c r="F94" s="48">
        <v>21</v>
      </c>
      <c r="G94" s="47">
        <f t="shared" ref="G94:G108" si="11">41-F94</f>
        <v>20</v>
      </c>
      <c r="H94" s="50">
        <f t="shared" ref="H94:H108" si="12">(F94*100)/41</f>
        <v>51.219512195121951</v>
      </c>
      <c r="I94" s="52">
        <v>102.8</v>
      </c>
      <c r="J94" s="52">
        <v>35</v>
      </c>
      <c r="K94" s="52">
        <v>51.2</v>
      </c>
      <c r="L94" s="52">
        <v>78.3</v>
      </c>
      <c r="M94" s="52">
        <v>45.8</v>
      </c>
      <c r="N94" s="113">
        <v>13.1941176470588</v>
      </c>
      <c r="O94" s="120">
        <f>AVERAGE(PER!D27,PER!D28,PER!D29,PER!D30,PER!D32)</f>
        <v>16.399999999999999</v>
      </c>
      <c r="P94" s="143">
        <v>16.399999999999999</v>
      </c>
    </row>
    <row r="95" spans="1:18" hidden="1" outlineLevel="1" x14ac:dyDescent="0.3">
      <c r="A95" s="77">
        <v>5</v>
      </c>
      <c r="B95" s="6" t="s">
        <v>1</v>
      </c>
      <c r="C95" s="28">
        <v>28</v>
      </c>
      <c r="D95" s="27">
        <f t="shared" si="9"/>
        <v>13</v>
      </c>
      <c r="E95" s="13">
        <f t="shared" si="10"/>
        <v>68.292682926829272</v>
      </c>
      <c r="F95" s="7">
        <v>20</v>
      </c>
      <c r="G95" s="27">
        <f t="shared" si="11"/>
        <v>21</v>
      </c>
      <c r="H95" s="33">
        <f t="shared" si="12"/>
        <v>48.780487804878049</v>
      </c>
      <c r="I95" s="59">
        <v>105.7</v>
      </c>
      <c r="J95" s="53">
        <v>33.5</v>
      </c>
      <c r="K95" s="53">
        <v>48.3</v>
      </c>
      <c r="L95" s="53">
        <v>78.8</v>
      </c>
      <c r="M95" s="53">
        <v>43.9</v>
      </c>
      <c r="N95" s="121">
        <v>13.84375</v>
      </c>
      <c r="O95" s="122">
        <f>AVERAGE(PER!D48,PER!D49,PER!D50,PER!D52,PER!D55)</f>
        <v>16.66</v>
      </c>
      <c r="P95" s="143">
        <v>16.66</v>
      </c>
    </row>
    <row r="96" spans="1:18" hidden="1" outlineLevel="1" x14ac:dyDescent="0.3">
      <c r="A96" s="77">
        <v>14</v>
      </c>
      <c r="B96" s="8" t="s">
        <v>45</v>
      </c>
      <c r="C96" s="29">
        <v>14</v>
      </c>
      <c r="D96" s="26">
        <f t="shared" si="9"/>
        <v>27</v>
      </c>
      <c r="E96" s="14">
        <f t="shared" si="10"/>
        <v>34.146341463414636</v>
      </c>
      <c r="F96" s="9">
        <v>7</v>
      </c>
      <c r="G96" s="26">
        <f t="shared" si="11"/>
        <v>34</v>
      </c>
      <c r="H96" s="34">
        <f t="shared" si="12"/>
        <v>17.073170731707318</v>
      </c>
      <c r="I96" s="54">
        <v>98.6</v>
      </c>
      <c r="J96" s="54">
        <v>35.200000000000003</v>
      </c>
      <c r="K96" s="54">
        <v>48.1</v>
      </c>
      <c r="L96" s="54">
        <v>75.7</v>
      </c>
      <c r="M96" s="54">
        <v>45.3</v>
      </c>
      <c r="N96" s="121">
        <f>AVERAGE(PER!D69:D85)</f>
        <v>13.858823529411765</v>
      </c>
      <c r="O96" s="123">
        <f>AVERAGE(PER!D69,PER!D70,PER!D73,PER!D75,PER!D74)</f>
        <v>14.220000000000002</v>
      </c>
      <c r="P96" s="143">
        <v>14.220000000000002</v>
      </c>
    </row>
    <row r="97" spans="1:17" hidden="1" outlineLevel="1" x14ac:dyDescent="0.3">
      <c r="A97" s="77">
        <v>9</v>
      </c>
      <c r="B97" s="6" t="s">
        <v>2</v>
      </c>
      <c r="C97" s="28">
        <v>26</v>
      </c>
      <c r="D97" s="27">
        <f t="shared" si="9"/>
        <v>15</v>
      </c>
      <c r="E97" s="16">
        <f t="shared" si="10"/>
        <v>63.414634146341463</v>
      </c>
      <c r="F97" s="7">
        <v>16</v>
      </c>
      <c r="G97" s="43">
        <f t="shared" si="11"/>
        <v>25</v>
      </c>
      <c r="H97" s="35">
        <f t="shared" si="12"/>
        <v>39.024390243902438</v>
      </c>
      <c r="I97" s="55">
        <v>101.6</v>
      </c>
      <c r="J97" s="66">
        <v>37.1</v>
      </c>
      <c r="K97" s="66">
        <v>46.4</v>
      </c>
      <c r="L97" s="55">
        <v>78.7</v>
      </c>
      <c r="M97" s="55">
        <v>44.1</v>
      </c>
      <c r="N97" s="128">
        <f>AVERAGE(PER!D90:D105)</f>
        <v>13.093750000000002</v>
      </c>
      <c r="O97" s="124">
        <f>AVERAGE(PER!D90,PER!D91,PER!D92,PER!D95,PER!D93)</f>
        <v>17.579999999999998</v>
      </c>
      <c r="P97" s="143">
        <v>17.579999999999998</v>
      </c>
    </row>
    <row r="98" spans="1:17" hidden="1" outlineLevel="1" x14ac:dyDescent="0.3">
      <c r="A98" s="77">
        <v>6</v>
      </c>
      <c r="B98" s="8" t="s">
        <v>3</v>
      </c>
      <c r="C98" s="29">
        <v>30</v>
      </c>
      <c r="D98" s="26">
        <f t="shared" si="9"/>
        <v>11</v>
      </c>
      <c r="E98" s="12">
        <f t="shared" si="10"/>
        <v>73.170731707317074</v>
      </c>
      <c r="F98" s="9">
        <v>18</v>
      </c>
      <c r="G98" s="44">
        <f t="shared" si="11"/>
        <v>23</v>
      </c>
      <c r="H98" s="36">
        <f t="shared" si="12"/>
        <v>43.902439024390247</v>
      </c>
      <c r="I98" s="56">
        <v>103.4</v>
      </c>
      <c r="J98" s="56">
        <v>36.200000000000003</v>
      </c>
      <c r="K98" s="56">
        <v>47.9</v>
      </c>
      <c r="L98" s="56">
        <v>79</v>
      </c>
      <c r="M98" s="56">
        <v>43.9</v>
      </c>
      <c r="N98" s="129">
        <f>AVERAGE(PER!D109:D125)</f>
        <v>14.305882352941175</v>
      </c>
      <c r="O98" s="125">
        <f>AVERAGE(PER!D109,PER!D110,PER!D114,PER!D117,PER!D120)</f>
        <v>15.419999999999998</v>
      </c>
      <c r="P98" s="143">
        <v>15.419999999999998</v>
      </c>
    </row>
    <row r="99" spans="1:17" hidden="1" outlineLevel="1" x14ac:dyDescent="0.3">
      <c r="A99" s="77">
        <v>1</v>
      </c>
      <c r="B99" s="6" t="s">
        <v>4</v>
      </c>
      <c r="C99" s="30">
        <v>33</v>
      </c>
      <c r="D99" s="27">
        <f t="shared" si="9"/>
        <v>8</v>
      </c>
      <c r="E99" s="23">
        <f t="shared" si="10"/>
        <v>80.487804878048777</v>
      </c>
      <c r="F99" s="10">
        <v>24</v>
      </c>
      <c r="G99" s="45">
        <f t="shared" si="11"/>
        <v>17</v>
      </c>
      <c r="H99" s="37">
        <f t="shared" si="12"/>
        <v>58.536585365853661</v>
      </c>
      <c r="I99" s="57">
        <v>104.3</v>
      </c>
      <c r="J99" s="57">
        <v>36.200000000000003</v>
      </c>
      <c r="K99" s="57">
        <v>51.4</v>
      </c>
      <c r="L99" s="57">
        <v>74.8</v>
      </c>
      <c r="M99" s="57">
        <v>46</v>
      </c>
      <c r="N99" s="130">
        <f>AVERAGE(PER!D129:D146)</f>
        <v>13.270588235294117</v>
      </c>
      <c r="O99" s="126">
        <f>AVERAGE(PER!D129,PER!D130,PER!D131,PER!D133,PER!D138)</f>
        <v>18.740000000000002</v>
      </c>
      <c r="P99" s="143">
        <v>18.740000000000002</v>
      </c>
    </row>
    <row r="100" spans="1:17" hidden="1" outlineLevel="1" x14ac:dyDescent="0.3">
      <c r="A100" s="77">
        <v>8</v>
      </c>
      <c r="B100" s="8" t="s">
        <v>5</v>
      </c>
      <c r="C100" s="29">
        <v>26</v>
      </c>
      <c r="D100" s="26">
        <f t="shared" si="9"/>
        <v>15</v>
      </c>
      <c r="E100" s="16">
        <f t="shared" si="10"/>
        <v>63.414634146341463</v>
      </c>
      <c r="F100" s="9">
        <v>18</v>
      </c>
      <c r="G100" s="44">
        <f t="shared" si="11"/>
        <v>23</v>
      </c>
      <c r="H100" s="36">
        <f t="shared" si="12"/>
        <v>43.902439024390247</v>
      </c>
      <c r="I100" s="56">
        <v>102</v>
      </c>
      <c r="J100" s="56">
        <v>34.5</v>
      </c>
      <c r="K100" s="56">
        <v>48</v>
      </c>
      <c r="L100" s="68">
        <v>66.8</v>
      </c>
      <c r="M100" s="56">
        <v>43.9</v>
      </c>
      <c r="N100" s="129">
        <f>AVERAGE(PER!D149:D165)</f>
        <v>13.205882352941178</v>
      </c>
      <c r="O100" s="125">
        <f>AVERAGE(PER!D149,PER!D151,PER!D152,PER!D153,PER!D154)</f>
        <v>16.04</v>
      </c>
      <c r="P100" s="143">
        <v>16.04</v>
      </c>
    </row>
    <row r="101" spans="1:17" hidden="1" outlineLevel="1" x14ac:dyDescent="0.3">
      <c r="A101" s="77">
        <v>7</v>
      </c>
      <c r="B101" s="6" t="s">
        <v>7</v>
      </c>
      <c r="C101" s="28">
        <v>26</v>
      </c>
      <c r="D101" s="27">
        <f t="shared" si="9"/>
        <v>15</v>
      </c>
      <c r="E101" s="16">
        <f t="shared" si="10"/>
        <v>63.414634146341463</v>
      </c>
      <c r="F101" s="7">
        <v>19</v>
      </c>
      <c r="G101" s="27">
        <f t="shared" si="11"/>
        <v>22</v>
      </c>
      <c r="H101" s="38">
        <f t="shared" si="12"/>
        <v>46.341463414634148</v>
      </c>
      <c r="I101" s="53">
        <v>102.2</v>
      </c>
      <c r="J101" s="53">
        <v>35.1</v>
      </c>
      <c r="K101" s="53">
        <v>48.6</v>
      </c>
      <c r="L101" s="53">
        <v>76.400000000000006</v>
      </c>
      <c r="M101" s="53">
        <v>45</v>
      </c>
      <c r="N101" s="121">
        <f>AVERAGE(PER!D168:D183)</f>
        <v>13.44</v>
      </c>
      <c r="O101" s="122">
        <f>AVERAGE(PER!D168,PER!D169,PER!D170,PER!D173,PER!D172)</f>
        <v>16.04</v>
      </c>
      <c r="P101" s="143">
        <v>16.04</v>
      </c>
    </row>
    <row r="102" spans="1:17" ht="18.95" hidden="1" customHeight="1" outlineLevel="1" x14ac:dyDescent="0.3">
      <c r="A102" s="77">
        <v>3</v>
      </c>
      <c r="B102" s="8" t="s">
        <v>6</v>
      </c>
      <c r="C102" s="29">
        <v>28</v>
      </c>
      <c r="D102" s="26">
        <f t="shared" si="9"/>
        <v>13</v>
      </c>
      <c r="E102" s="13">
        <f t="shared" si="10"/>
        <v>68.292682926829272</v>
      </c>
      <c r="F102" s="9">
        <v>20</v>
      </c>
      <c r="G102" s="46">
        <f t="shared" si="11"/>
        <v>21</v>
      </c>
      <c r="H102" s="33">
        <f t="shared" si="12"/>
        <v>48.780487804878049</v>
      </c>
      <c r="I102" s="58">
        <v>100</v>
      </c>
      <c r="J102" s="67">
        <v>33.6</v>
      </c>
      <c r="K102" s="58">
        <v>50.8</v>
      </c>
      <c r="L102" s="58">
        <v>74.400000000000006</v>
      </c>
      <c r="M102" s="66">
        <v>47</v>
      </c>
      <c r="N102" s="131">
        <f>AVERAGE(PER!D188:D206)</f>
        <v>14.050000000000002</v>
      </c>
      <c r="O102" s="127">
        <f>AVERAGE(PER!D189,PER!D191,PER!D193,PER!D188,PER!D190)</f>
        <v>19.399999999999999</v>
      </c>
      <c r="P102" s="143">
        <v>19.399999999999999</v>
      </c>
    </row>
    <row r="103" spans="1:17" hidden="1" outlineLevel="1" x14ac:dyDescent="0.3">
      <c r="A103" s="77">
        <v>12</v>
      </c>
      <c r="B103" s="6" t="s">
        <v>8</v>
      </c>
      <c r="C103" s="28">
        <v>23</v>
      </c>
      <c r="D103" s="27">
        <f t="shared" si="9"/>
        <v>18</v>
      </c>
      <c r="E103" s="17">
        <f t="shared" si="10"/>
        <v>56.097560975609753</v>
      </c>
      <c r="F103" s="7">
        <v>10</v>
      </c>
      <c r="G103" s="45">
        <f t="shared" si="11"/>
        <v>31</v>
      </c>
      <c r="H103" s="39">
        <f t="shared" si="12"/>
        <v>24.390243902439025</v>
      </c>
      <c r="I103" s="57">
        <v>99</v>
      </c>
      <c r="J103" s="57">
        <v>34.5</v>
      </c>
      <c r="K103" s="57">
        <v>49.5</v>
      </c>
      <c r="L103" s="57">
        <v>74.7</v>
      </c>
      <c r="M103" s="57">
        <v>46.7</v>
      </c>
      <c r="N103" s="130">
        <f>AVERAGE(PER!D211:D227)</f>
        <v>11.600000000000001</v>
      </c>
      <c r="O103" s="126">
        <f>AVERAGE(PER!D211,PER!D212,PER!D213,PER!D214,PER!D215)</f>
        <v>17.28</v>
      </c>
      <c r="P103" s="143">
        <v>17.28</v>
      </c>
    </row>
    <row r="104" spans="1:17" hidden="1" outlineLevel="1" x14ac:dyDescent="0.3">
      <c r="A104" s="77">
        <v>13</v>
      </c>
      <c r="B104" s="8" t="s">
        <v>9</v>
      </c>
      <c r="C104" s="29">
        <v>18</v>
      </c>
      <c r="D104" s="26">
        <f t="shared" si="9"/>
        <v>23</v>
      </c>
      <c r="E104" s="19">
        <f t="shared" si="10"/>
        <v>43.902439024390247</v>
      </c>
      <c r="F104" s="9">
        <v>14</v>
      </c>
      <c r="G104" s="44">
        <f t="shared" si="11"/>
        <v>27</v>
      </c>
      <c r="H104" s="40">
        <f t="shared" si="12"/>
        <v>34.146341463414636</v>
      </c>
      <c r="I104" s="56">
        <v>98.4</v>
      </c>
      <c r="J104" s="56">
        <v>34.6</v>
      </c>
      <c r="K104" s="68">
        <v>47.1</v>
      </c>
      <c r="L104" s="71">
        <v>80.5</v>
      </c>
      <c r="M104" s="56">
        <v>43.9</v>
      </c>
      <c r="N104" s="129">
        <f>AVERAGE(PER!D229:D244)</f>
        <v>12.728571428571428</v>
      </c>
      <c r="O104" s="125">
        <f>AVERAGE(PER!D229,PER!D232,PER!D230,PER!D236,PER!D231)</f>
        <v>15.839999999999998</v>
      </c>
      <c r="P104" s="143">
        <v>15.839999999999998</v>
      </c>
    </row>
    <row r="105" spans="1:17" hidden="1" outlineLevel="1" x14ac:dyDescent="0.3">
      <c r="A105" s="77">
        <v>11</v>
      </c>
      <c r="B105" s="6" t="s">
        <v>10</v>
      </c>
      <c r="C105" s="28">
        <v>23</v>
      </c>
      <c r="D105" s="27">
        <f t="shared" si="9"/>
        <v>18</v>
      </c>
      <c r="E105" s="17">
        <f t="shared" si="10"/>
        <v>56.097560975609753</v>
      </c>
      <c r="F105" s="7">
        <v>12</v>
      </c>
      <c r="G105" s="27">
        <f t="shared" si="11"/>
        <v>29</v>
      </c>
      <c r="H105" s="39">
        <f t="shared" si="12"/>
        <v>29.26829268292683</v>
      </c>
      <c r="I105" s="53">
        <v>102.1</v>
      </c>
      <c r="J105" s="53">
        <v>35</v>
      </c>
      <c r="K105" s="53">
        <v>49.2</v>
      </c>
      <c r="L105" s="53">
        <v>75.7</v>
      </c>
      <c r="M105" s="53">
        <v>45.5</v>
      </c>
      <c r="N105" s="121">
        <f>AVERAGE(PER!D250:D266)</f>
        <v>12.617647058823531</v>
      </c>
      <c r="O105" s="122">
        <f>AVERAGE(PER!D252,PER!D254,PER!D250,PER!D251,PER!D253)</f>
        <v>16.36</v>
      </c>
      <c r="P105" s="143">
        <v>16.36</v>
      </c>
    </row>
    <row r="106" spans="1:17" hidden="1" outlineLevel="1" x14ac:dyDescent="0.3">
      <c r="A106" s="77">
        <v>15</v>
      </c>
      <c r="B106" s="8" t="s">
        <v>11</v>
      </c>
      <c r="C106" s="29">
        <v>7</v>
      </c>
      <c r="D106" s="26">
        <f t="shared" si="9"/>
        <v>34</v>
      </c>
      <c r="E106" s="20">
        <f t="shared" si="10"/>
        <v>17.073170731707318</v>
      </c>
      <c r="F106" s="9">
        <v>3</v>
      </c>
      <c r="G106" s="47">
        <f t="shared" si="11"/>
        <v>38</v>
      </c>
      <c r="H106" s="41">
        <f t="shared" si="12"/>
        <v>7.3170731707317076</v>
      </c>
      <c r="I106" s="60">
        <v>97.4</v>
      </c>
      <c r="J106" s="65">
        <v>33.9</v>
      </c>
      <c r="K106" s="65">
        <v>47.6</v>
      </c>
      <c r="L106" s="65">
        <v>69.400000000000006</v>
      </c>
      <c r="M106" s="75">
        <v>43.1</v>
      </c>
      <c r="N106" s="113">
        <f>AVERAGE(PER!D270:D287)</f>
        <v>11.838888888888892</v>
      </c>
      <c r="O106" s="120">
        <f>AVERAGE(PER!D273,PER!D277,PER!D271,PER!D272,PER!D270)</f>
        <v>14.739999999999998</v>
      </c>
      <c r="P106" s="143">
        <v>14.739999999999998</v>
      </c>
    </row>
    <row r="107" spans="1:17" hidden="1" outlineLevel="1" x14ac:dyDescent="0.3">
      <c r="A107" s="77">
        <v>2</v>
      </c>
      <c r="B107" s="6" t="s">
        <v>12</v>
      </c>
      <c r="C107" s="28">
        <v>32</v>
      </c>
      <c r="D107" s="27">
        <f t="shared" si="9"/>
        <v>9</v>
      </c>
      <c r="E107" s="11">
        <f t="shared" si="10"/>
        <v>78.048780487804876</v>
      </c>
      <c r="F107" s="7">
        <v>24</v>
      </c>
      <c r="G107" s="43">
        <f t="shared" si="11"/>
        <v>17</v>
      </c>
      <c r="H107" s="37">
        <f t="shared" si="12"/>
        <v>58.536585365853661</v>
      </c>
      <c r="I107" s="55">
        <v>102.7</v>
      </c>
      <c r="J107" s="55">
        <v>37</v>
      </c>
      <c r="K107" s="55">
        <v>48.3</v>
      </c>
      <c r="L107" s="55">
        <v>77.7</v>
      </c>
      <c r="M107" s="55">
        <v>45.1</v>
      </c>
      <c r="N107" s="128">
        <f>AVERAGE(PER!D293:D308)</f>
        <v>13.656250000000002</v>
      </c>
      <c r="O107" s="124">
        <f>AVERAGE(PER!D293,PER!D294,PER!D298,PER!D295,PER!D303)</f>
        <v>18.3</v>
      </c>
      <c r="P107" s="143">
        <v>18.3</v>
      </c>
    </row>
    <row r="108" spans="1:17" hidden="1" outlineLevel="1" x14ac:dyDescent="0.3">
      <c r="A108" s="77">
        <v>10</v>
      </c>
      <c r="B108" s="8" t="s">
        <v>13</v>
      </c>
      <c r="C108" s="29">
        <v>22</v>
      </c>
      <c r="D108" s="26">
        <f t="shared" si="9"/>
        <v>19</v>
      </c>
      <c r="E108" s="18">
        <f t="shared" si="10"/>
        <v>53.658536585365852</v>
      </c>
      <c r="F108" s="9">
        <v>19</v>
      </c>
      <c r="G108" s="44">
        <f t="shared" si="11"/>
        <v>22</v>
      </c>
      <c r="H108" s="38">
        <f t="shared" si="12"/>
        <v>46.341463414634148</v>
      </c>
      <c r="I108" s="56">
        <v>104.1</v>
      </c>
      <c r="J108" s="56">
        <v>35.799999999999997</v>
      </c>
      <c r="K108" s="56">
        <v>50.1</v>
      </c>
      <c r="L108" s="56">
        <v>73</v>
      </c>
      <c r="M108" s="56">
        <v>46</v>
      </c>
      <c r="N108" s="129">
        <f>AVERAGE(PER!D314:D332)</f>
        <v>12.942105263157895</v>
      </c>
      <c r="O108" s="125">
        <f>AVERAGE(PER!D314,PER!D316,PER!D318,PER!D323,PER!D324)</f>
        <v>14.86</v>
      </c>
      <c r="P108" s="143">
        <v>14.86</v>
      </c>
    </row>
    <row r="109" spans="1:17" hidden="1" outlineLevel="1" x14ac:dyDescent="0.3">
      <c r="B109" s="51" t="s">
        <v>31</v>
      </c>
      <c r="C109" s="364" t="s">
        <v>34</v>
      </c>
      <c r="D109" s="365"/>
      <c r="E109" s="74"/>
      <c r="F109" s="364" t="s">
        <v>35</v>
      </c>
      <c r="G109" s="365"/>
      <c r="H109" s="69"/>
      <c r="I109" s="76">
        <f>(I94+I95+I96+I97+I98+I99+I100+I101+I102+I103+I104+I105+I106+I107+I108)/15</f>
        <v>101.61999999999999</v>
      </c>
      <c r="J109" s="76">
        <f>(J94+J95+J96+J97+J98+J99+J100+J101+J102+J103+J104+J105+J106+J107+J108)/15</f>
        <v>35.146666666666668</v>
      </c>
      <c r="K109" s="76">
        <f>(K94+K95+K96+K97+K98+K99+K100+K101+K102+K103+K104+K105+K106+K107+K108)/15</f>
        <v>48.833333333333343</v>
      </c>
      <c r="L109" s="76">
        <f>(L94+L95+L96+L97+L98+L99+L100+L101+L102+L103+L104+L105+L106+L107+L108)/15</f>
        <v>75.593333333333334</v>
      </c>
      <c r="M109" s="132">
        <f>(M94+M95+M96+M97+M98+M99+M100+M101+M102+M103+M104+M105+M106+M107+M108)/15</f>
        <v>45.013333333333335</v>
      </c>
      <c r="N109" s="133"/>
      <c r="O109" s="353" t="s">
        <v>308</v>
      </c>
      <c r="P109" s="353"/>
      <c r="Q109" s="143"/>
    </row>
    <row r="110" spans="1:17" hidden="1" outlineLevel="1" x14ac:dyDescent="0.3">
      <c r="A110" t="s">
        <v>42</v>
      </c>
      <c r="B110" s="32" t="s">
        <v>29</v>
      </c>
      <c r="C110" s="25" t="s">
        <v>32</v>
      </c>
      <c r="D110" s="31" t="s">
        <v>33</v>
      </c>
      <c r="E110" s="31" t="s">
        <v>36</v>
      </c>
      <c r="F110" s="25" t="s">
        <v>32</v>
      </c>
      <c r="G110" s="31" t="s">
        <v>33</v>
      </c>
      <c r="H110" s="24" t="s">
        <v>36</v>
      </c>
      <c r="I110" s="24" t="s">
        <v>37</v>
      </c>
      <c r="J110" s="4" t="s">
        <v>38</v>
      </c>
      <c r="K110" s="4" t="s">
        <v>41</v>
      </c>
      <c r="L110" s="4" t="s">
        <v>40</v>
      </c>
      <c r="M110" s="4" t="s">
        <v>39</v>
      </c>
      <c r="N110" s="4" t="s">
        <v>224</v>
      </c>
      <c r="O110" s="4" t="s">
        <v>307</v>
      </c>
      <c r="Q110" s="143"/>
    </row>
    <row r="111" spans="1:17" hidden="1" outlineLevel="1" x14ac:dyDescent="0.3">
      <c r="A111" s="77">
        <v>6</v>
      </c>
      <c r="B111" s="6" t="s">
        <v>14</v>
      </c>
      <c r="C111" s="28">
        <v>23</v>
      </c>
      <c r="D111" s="7">
        <f t="shared" ref="D111:D125" si="13">41-C111</f>
        <v>18</v>
      </c>
      <c r="E111" s="21">
        <f t="shared" ref="E111:E125" si="14">(C111*100)/41</f>
        <v>56.097560975609753</v>
      </c>
      <c r="F111" s="7">
        <v>19</v>
      </c>
      <c r="G111" s="7">
        <f t="shared" ref="G111:G125" si="15">41-F111</f>
        <v>22</v>
      </c>
      <c r="H111" s="15">
        <f t="shared" ref="H111:H125" si="16">(F111*100)/41</f>
        <v>46.341463414634148</v>
      </c>
      <c r="I111" s="61">
        <v>102.3</v>
      </c>
      <c r="J111" s="72">
        <v>34.4</v>
      </c>
      <c r="K111" s="72">
        <v>49.5</v>
      </c>
      <c r="L111" s="72">
        <v>79.400000000000006</v>
      </c>
      <c r="M111" s="72">
        <v>44.4</v>
      </c>
      <c r="N111" s="135">
        <f>AVERAGE(PER!D334:D349)</f>
        <v>14.99375</v>
      </c>
      <c r="O111" s="139">
        <f>AVERAGE(PER!D334,PER!D337,PER!D340,PER!D335,PER!D336)</f>
        <v>15.459999999999999</v>
      </c>
      <c r="P111" s="143">
        <v>15.459999999999999</v>
      </c>
    </row>
    <row r="112" spans="1:17" hidden="1" outlineLevel="1" x14ac:dyDescent="0.3">
      <c r="A112" s="77">
        <v>11</v>
      </c>
      <c r="B112" s="8" t="s">
        <v>15</v>
      </c>
      <c r="C112" s="29">
        <v>18</v>
      </c>
      <c r="D112" s="22">
        <f t="shared" si="13"/>
        <v>23</v>
      </c>
      <c r="E112" s="19">
        <f t="shared" si="14"/>
        <v>43.902439024390247</v>
      </c>
      <c r="F112" s="9">
        <v>15</v>
      </c>
      <c r="G112" s="22">
        <f t="shared" si="15"/>
        <v>26</v>
      </c>
      <c r="H112" s="19">
        <f t="shared" si="16"/>
        <v>36.585365853658537</v>
      </c>
      <c r="I112" s="62">
        <v>101.9</v>
      </c>
      <c r="J112" s="54">
        <v>33.799999999999997</v>
      </c>
      <c r="K112" s="54">
        <v>48.2</v>
      </c>
      <c r="L112" s="54">
        <v>76.599999999999994</v>
      </c>
      <c r="M112" s="54">
        <v>44.2</v>
      </c>
      <c r="N112" s="136">
        <f>AVERAGE(PER!D354:D372)</f>
        <v>12.955555555555556</v>
      </c>
      <c r="O112" s="140">
        <f>AVERAGE(PER!D358,PER!D356,PER!D357,PER!D360,PER!D354)</f>
        <v>16.899999999999999</v>
      </c>
      <c r="P112" s="143">
        <v>16.899999999999999</v>
      </c>
    </row>
    <row r="113" spans="1:16" hidden="1" outlineLevel="1" x14ac:dyDescent="0.3">
      <c r="A113" s="77">
        <v>1</v>
      </c>
      <c r="B113" s="6" t="s">
        <v>16</v>
      </c>
      <c r="C113" s="28">
        <v>39</v>
      </c>
      <c r="D113" s="7">
        <f t="shared" si="13"/>
        <v>2</v>
      </c>
      <c r="E113" s="11">
        <f t="shared" si="14"/>
        <v>95.121951219512198</v>
      </c>
      <c r="F113" s="7">
        <v>34</v>
      </c>
      <c r="G113" s="7">
        <f t="shared" si="15"/>
        <v>7</v>
      </c>
      <c r="H113" s="23">
        <f t="shared" si="16"/>
        <v>82.926829268292678</v>
      </c>
      <c r="I113" s="63">
        <v>114.9</v>
      </c>
      <c r="J113" s="59">
        <v>41.6</v>
      </c>
      <c r="K113" s="59">
        <v>52.8</v>
      </c>
      <c r="L113" s="53">
        <v>76.3</v>
      </c>
      <c r="M113" s="59">
        <v>48.7</v>
      </c>
      <c r="N113" s="135">
        <f>AVERAGE(PER!D375:D390)</f>
        <v>15.71875</v>
      </c>
      <c r="O113" s="139">
        <f>AVERAGE(PER!D375,PER!D377,PER!D376,PER!D384,PER!D378)</f>
        <v>19.560000000000002</v>
      </c>
      <c r="P113" s="143">
        <v>19.560000000000002</v>
      </c>
    </row>
    <row r="114" spans="1:16" hidden="1" outlineLevel="1" x14ac:dyDescent="0.3">
      <c r="A114" s="77">
        <v>8</v>
      </c>
      <c r="B114" s="8" t="s">
        <v>17</v>
      </c>
      <c r="C114" s="29">
        <v>23</v>
      </c>
      <c r="D114" s="22">
        <f t="shared" si="13"/>
        <v>18</v>
      </c>
      <c r="E114" s="21">
        <f t="shared" si="14"/>
        <v>56.097560975609753</v>
      </c>
      <c r="F114" s="9">
        <v>18</v>
      </c>
      <c r="G114" s="22">
        <f t="shared" si="15"/>
        <v>23</v>
      </c>
      <c r="H114" s="16">
        <f t="shared" si="16"/>
        <v>43.902439024390247</v>
      </c>
      <c r="I114" s="62">
        <v>106.5</v>
      </c>
      <c r="J114" s="58">
        <v>34.700000000000003</v>
      </c>
      <c r="K114" s="58">
        <v>51.4</v>
      </c>
      <c r="L114" s="58">
        <v>69.400000000000006</v>
      </c>
      <c r="M114" s="58">
        <v>45.2</v>
      </c>
      <c r="N114" s="136">
        <f>AVERAGE(PER!D394:D411)</f>
        <v>14.09375</v>
      </c>
      <c r="O114" s="140">
        <f>AVERAGE(PER!D394,PER!D395,PER!D397,PER!D399,PER!D402)</f>
        <v>17.759999999999998</v>
      </c>
      <c r="P114" s="143">
        <v>17.759999999999998</v>
      </c>
    </row>
    <row r="115" spans="1:16" hidden="1" outlineLevel="1" x14ac:dyDescent="0.3">
      <c r="A115" s="77">
        <v>4</v>
      </c>
      <c r="B115" s="6" t="s">
        <v>18</v>
      </c>
      <c r="C115" s="28">
        <v>29</v>
      </c>
      <c r="D115" s="7">
        <f t="shared" si="13"/>
        <v>12</v>
      </c>
      <c r="E115" s="13">
        <f t="shared" si="14"/>
        <v>70.731707317073173</v>
      </c>
      <c r="F115" s="7">
        <v>24</v>
      </c>
      <c r="G115" s="7">
        <f t="shared" si="15"/>
        <v>17</v>
      </c>
      <c r="H115" s="12">
        <f t="shared" si="16"/>
        <v>58.536585365853661</v>
      </c>
      <c r="I115" s="61">
        <v>104.5</v>
      </c>
      <c r="J115" s="57">
        <v>36.4</v>
      </c>
      <c r="K115" s="57">
        <v>51.3</v>
      </c>
      <c r="L115" s="68">
        <v>69.2</v>
      </c>
      <c r="M115" s="57">
        <v>46.5</v>
      </c>
      <c r="N115" s="135">
        <f>AVERAGE(PER!D415:D432)</f>
        <v>13.466666666666667</v>
      </c>
      <c r="O115" s="139">
        <f>AVERAGE(PER!D419,PER!D417,PER!D416,PER!D427,PER!D423)</f>
        <v>16.04</v>
      </c>
      <c r="P115" s="143">
        <v>16.04</v>
      </c>
    </row>
    <row r="116" spans="1:16" hidden="1" outlineLevel="1" x14ac:dyDescent="0.3">
      <c r="A116" s="77">
        <v>15</v>
      </c>
      <c r="B116" s="8" t="s">
        <v>19</v>
      </c>
      <c r="C116" s="29">
        <v>12</v>
      </c>
      <c r="D116" s="22">
        <f t="shared" si="13"/>
        <v>29</v>
      </c>
      <c r="E116" s="20">
        <f t="shared" si="14"/>
        <v>29.26829268292683</v>
      </c>
      <c r="F116" s="9">
        <v>5</v>
      </c>
      <c r="G116" s="22">
        <f t="shared" si="15"/>
        <v>36</v>
      </c>
      <c r="H116" s="20">
        <f t="shared" si="16"/>
        <v>12.195121951219512</v>
      </c>
      <c r="I116" s="64">
        <v>97.3</v>
      </c>
      <c r="J116" s="68">
        <v>31.7</v>
      </c>
      <c r="K116" s="68">
        <v>45.4</v>
      </c>
      <c r="L116" s="56">
        <v>78.099999999999994</v>
      </c>
      <c r="M116" s="68">
        <v>41.4</v>
      </c>
      <c r="N116" s="136">
        <f>AVERAGE(PER!D434:D448)</f>
        <v>12.126666666666669</v>
      </c>
      <c r="O116" s="140">
        <f>AVERAGE(PER!D435,PER!D441,PER!D434,PER!D438,PER!D437)</f>
        <v>13.5</v>
      </c>
      <c r="P116" s="143">
        <v>13.5</v>
      </c>
    </row>
    <row r="117" spans="1:16" hidden="1" outlineLevel="1" x14ac:dyDescent="0.3">
      <c r="A117" s="77">
        <v>7</v>
      </c>
      <c r="B117" s="6" t="s">
        <v>20</v>
      </c>
      <c r="C117" s="28">
        <v>26</v>
      </c>
      <c r="D117" s="7">
        <f t="shared" si="13"/>
        <v>15</v>
      </c>
      <c r="E117" s="16">
        <f t="shared" si="14"/>
        <v>63.414634146341463</v>
      </c>
      <c r="F117" s="7">
        <v>16</v>
      </c>
      <c r="G117" s="7">
        <f t="shared" si="15"/>
        <v>25</v>
      </c>
      <c r="H117" s="17">
        <f t="shared" si="16"/>
        <v>39.024390243902438</v>
      </c>
      <c r="I117" s="61">
        <v>99.1</v>
      </c>
      <c r="J117" s="57">
        <v>33.1</v>
      </c>
      <c r="K117" s="57">
        <v>47.1</v>
      </c>
      <c r="L117" s="57">
        <v>78.3</v>
      </c>
      <c r="M117" s="57">
        <v>44</v>
      </c>
      <c r="N117" s="135">
        <f>AVERAGE(PER!D452:D479)</f>
        <v>13.38</v>
      </c>
      <c r="O117" s="139">
        <f>AVERAGE(PER!D453,PER!D452,PER!D454,PER!D461,PER!D459)</f>
        <v>16.02</v>
      </c>
      <c r="P117" s="143">
        <v>16.02</v>
      </c>
    </row>
    <row r="118" spans="1:16" hidden="1" outlineLevel="1" x14ac:dyDescent="0.3">
      <c r="A118" s="77">
        <v>13</v>
      </c>
      <c r="B118" s="8" t="s">
        <v>21</v>
      </c>
      <c r="C118" s="29">
        <v>14</v>
      </c>
      <c r="D118" s="22">
        <f t="shared" si="13"/>
        <v>27</v>
      </c>
      <c r="E118" s="14">
        <f t="shared" si="14"/>
        <v>34.146341463414636</v>
      </c>
      <c r="F118" s="9">
        <v>15</v>
      </c>
      <c r="G118" s="22">
        <f t="shared" si="15"/>
        <v>26</v>
      </c>
      <c r="H118" s="19">
        <f t="shared" si="16"/>
        <v>36.585365853658537</v>
      </c>
      <c r="I118" s="62">
        <v>102.4</v>
      </c>
      <c r="J118" s="54">
        <v>33.799999999999997</v>
      </c>
      <c r="K118" s="54">
        <v>49.6</v>
      </c>
      <c r="L118" s="54">
        <v>79.2</v>
      </c>
      <c r="M118" s="54">
        <v>46.4</v>
      </c>
      <c r="N118" s="136">
        <f>AVERAGE(PER!D481:D496)</f>
        <v>12.25</v>
      </c>
      <c r="O118" s="140">
        <f>AVERAGE(PER!D481,PER!D482,PER!D487,PER!D493,PER!D486)</f>
        <v>16.080000000000002</v>
      </c>
      <c r="P118" s="143">
        <v>16.080000000000002</v>
      </c>
    </row>
    <row r="119" spans="1:16" hidden="1" outlineLevel="1" x14ac:dyDescent="0.3">
      <c r="A119" s="77">
        <v>12</v>
      </c>
      <c r="B119" s="6" t="s">
        <v>22</v>
      </c>
      <c r="C119" s="28">
        <v>21</v>
      </c>
      <c r="D119" s="7">
        <f t="shared" si="13"/>
        <v>20</v>
      </c>
      <c r="E119" s="18">
        <f t="shared" si="14"/>
        <v>51.219512195121951</v>
      </c>
      <c r="F119" s="7">
        <v>9</v>
      </c>
      <c r="G119" s="7">
        <f t="shared" si="15"/>
        <v>32</v>
      </c>
      <c r="H119" s="14">
        <f t="shared" si="16"/>
        <v>21.951219512195124</v>
      </c>
      <c r="I119" s="61">
        <v>102.7</v>
      </c>
      <c r="J119" s="55">
        <v>36</v>
      </c>
      <c r="K119" s="55">
        <v>48.2</v>
      </c>
      <c r="L119" s="55">
        <v>77.599999999999994</v>
      </c>
      <c r="M119" s="55">
        <v>44.8</v>
      </c>
      <c r="N119" s="137">
        <f>AVERAGE(PER!D499:D518)</f>
        <v>12.55</v>
      </c>
      <c r="O119" s="141">
        <f>AVERAGE(PER!D515,PER!D499,PER!D503,PER!D511,PER!D514)</f>
        <v>13.320000000000002</v>
      </c>
      <c r="P119" s="143">
        <v>13.320000000000002</v>
      </c>
    </row>
    <row r="120" spans="1:16" hidden="1" outlineLevel="1" x14ac:dyDescent="0.3">
      <c r="A120" s="77">
        <v>3</v>
      </c>
      <c r="B120" s="8" t="s">
        <v>23</v>
      </c>
      <c r="C120" s="29">
        <v>32</v>
      </c>
      <c r="D120" s="22">
        <f t="shared" si="13"/>
        <v>9</v>
      </c>
      <c r="E120" s="12">
        <f t="shared" si="14"/>
        <v>78.048780487804876</v>
      </c>
      <c r="F120" s="9">
        <v>23</v>
      </c>
      <c r="G120" s="22">
        <f t="shared" si="15"/>
        <v>18</v>
      </c>
      <c r="H120" s="13">
        <f t="shared" si="16"/>
        <v>56.097560975609753</v>
      </c>
      <c r="I120" s="62">
        <v>110.2</v>
      </c>
      <c r="J120" s="56">
        <v>34.9</v>
      </c>
      <c r="K120" s="56">
        <v>52.4</v>
      </c>
      <c r="L120" s="56">
        <v>78.2</v>
      </c>
      <c r="M120" s="56">
        <v>47.6</v>
      </c>
      <c r="N120" s="136">
        <f>AVERAGE(PER!D520:D536)</f>
        <v>13.176470588235292</v>
      </c>
      <c r="O120" s="140">
        <f>AVERAGE(PER!D521,PER!D525,PER!D520,PER!D523,PER!D529)</f>
        <v>19.100000000000001</v>
      </c>
      <c r="P120" s="143">
        <v>19.100000000000001</v>
      </c>
    </row>
    <row r="121" spans="1:16" hidden="1" outlineLevel="1" x14ac:dyDescent="0.3">
      <c r="A121" s="77">
        <v>14</v>
      </c>
      <c r="B121" s="6" t="s">
        <v>25</v>
      </c>
      <c r="C121" s="28">
        <v>14</v>
      </c>
      <c r="D121" s="7">
        <f t="shared" si="13"/>
        <v>27</v>
      </c>
      <c r="E121" s="14">
        <f t="shared" si="14"/>
        <v>34.146341463414636</v>
      </c>
      <c r="F121" s="7">
        <v>9</v>
      </c>
      <c r="G121" s="7">
        <f t="shared" si="15"/>
        <v>32</v>
      </c>
      <c r="H121" s="14">
        <f t="shared" si="16"/>
        <v>21.951219512195124</v>
      </c>
      <c r="I121" s="61">
        <v>100.9</v>
      </c>
      <c r="J121" s="57">
        <v>34.799999999999997</v>
      </c>
      <c r="K121" s="57">
        <v>47.2</v>
      </c>
      <c r="L121" s="57">
        <v>75.099999999999994</v>
      </c>
      <c r="M121" s="57">
        <v>43.5</v>
      </c>
      <c r="N121" s="135">
        <f>AVERAGE(PER!D542:D564)</f>
        <v>12.628571428571428</v>
      </c>
      <c r="O121" s="139">
        <f>AVERAGE(PER!D552,PER!D554,PER!D544,PER!D543,PER!D548)</f>
        <v>12.98</v>
      </c>
      <c r="P121" s="143">
        <v>12.98</v>
      </c>
    </row>
    <row r="122" spans="1:16" hidden="1" outlineLevel="1" x14ac:dyDescent="0.3">
      <c r="A122" s="77">
        <v>5</v>
      </c>
      <c r="B122" s="8" t="s">
        <v>24</v>
      </c>
      <c r="C122" s="29">
        <v>28</v>
      </c>
      <c r="D122" s="22">
        <f t="shared" si="13"/>
        <v>13</v>
      </c>
      <c r="E122" s="15">
        <f t="shared" si="14"/>
        <v>68.292682926829272</v>
      </c>
      <c r="F122" s="9">
        <v>16</v>
      </c>
      <c r="G122" s="22">
        <f t="shared" si="15"/>
        <v>25</v>
      </c>
      <c r="H122" s="17">
        <f t="shared" si="16"/>
        <v>39.024390243902438</v>
      </c>
      <c r="I122" s="62">
        <v>105.1</v>
      </c>
      <c r="J122" s="54">
        <v>37</v>
      </c>
      <c r="K122" s="54">
        <v>49</v>
      </c>
      <c r="L122" s="54">
        <v>75.400000000000006</v>
      </c>
      <c r="M122" s="54">
        <v>45</v>
      </c>
      <c r="N122" s="138">
        <f>AVERAGE(PER!D566:D581)</f>
        <v>11.931249999999999</v>
      </c>
      <c r="O122" s="142">
        <f>AVERAGE(PER!D570,PER!D569,PER!D567,PER!D566,PER!D575)</f>
        <v>15.719999999999999</v>
      </c>
      <c r="P122" s="143">
        <v>15.719999999999999</v>
      </c>
    </row>
    <row r="123" spans="1:16" hidden="1" outlineLevel="1" x14ac:dyDescent="0.3">
      <c r="A123" s="77">
        <v>10</v>
      </c>
      <c r="B123" s="6" t="s">
        <v>26</v>
      </c>
      <c r="C123" s="28">
        <v>18</v>
      </c>
      <c r="D123" s="7">
        <f t="shared" si="13"/>
        <v>23</v>
      </c>
      <c r="E123" s="19">
        <f t="shared" si="14"/>
        <v>43.902439024390247</v>
      </c>
      <c r="F123" s="7">
        <v>15</v>
      </c>
      <c r="G123" s="7">
        <f t="shared" si="15"/>
        <v>26</v>
      </c>
      <c r="H123" s="19">
        <f t="shared" si="16"/>
        <v>36.585365853658537</v>
      </c>
      <c r="I123" s="61">
        <v>106.6</v>
      </c>
      <c r="J123" s="73">
        <v>35.9</v>
      </c>
      <c r="K123" s="73">
        <v>50</v>
      </c>
      <c r="L123" s="73">
        <v>72.5</v>
      </c>
      <c r="M123" s="73">
        <v>46.4</v>
      </c>
      <c r="N123" s="135">
        <f>AVERAGE(PER!D585:D599)</f>
        <v>12.806666666666667</v>
      </c>
      <c r="O123" s="139">
        <f>AVERAGE(PER!D586,PER!D588,PER!D585,PER!D591,PER!D592)</f>
        <v>16.02</v>
      </c>
      <c r="P123" s="143">
        <v>16.02</v>
      </c>
    </row>
    <row r="124" spans="1:16" hidden="1" outlineLevel="1" x14ac:dyDescent="0.3">
      <c r="A124" s="77">
        <v>2</v>
      </c>
      <c r="B124" s="8" t="s">
        <v>46</v>
      </c>
      <c r="C124" s="29">
        <v>40</v>
      </c>
      <c r="D124" s="22">
        <f t="shared" si="13"/>
        <v>1</v>
      </c>
      <c r="E124" s="23">
        <f t="shared" si="14"/>
        <v>97.560975609756099</v>
      </c>
      <c r="F124" s="9">
        <v>27</v>
      </c>
      <c r="G124" s="22">
        <f t="shared" si="15"/>
        <v>14</v>
      </c>
      <c r="H124" s="11">
        <f t="shared" si="16"/>
        <v>65.853658536585371</v>
      </c>
      <c r="I124" s="62">
        <v>103.5</v>
      </c>
      <c r="J124" s="58">
        <v>37.5</v>
      </c>
      <c r="K124" s="58">
        <v>51.5</v>
      </c>
      <c r="L124" s="66">
        <v>80.3</v>
      </c>
      <c r="M124" s="58">
        <v>48.4</v>
      </c>
      <c r="N124" s="136">
        <f>AVERAGE(PER!D604:D621)</f>
        <v>15.847058823529414</v>
      </c>
      <c r="O124" s="140">
        <f>AVERAGE(PER!D610,PER!D604,PER!D605,PER!D606,PER!D608)</f>
        <v>18.440000000000001</v>
      </c>
      <c r="P124" s="143">
        <v>18.440000000000001</v>
      </c>
    </row>
    <row r="125" spans="1:16" hidden="1" outlineLevel="1" x14ac:dyDescent="0.3">
      <c r="A125" s="77">
        <v>9</v>
      </c>
      <c r="B125" s="6" t="s">
        <v>28</v>
      </c>
      <c r="C125" s="28">
        <v>24</v>
      </c>
      <c r="D125" s="7">
        <f t="shared" si="13"/>
        <v>17</v>
      </c>
      <c r="E125" s="17">
        <f t="shared" si="14"/>
        <v>58.536585365853661</v>
      </c>
      <c r="F125" s="7">
        <v>16</v>
      </c>
      <c r="G125" s="7">
        <f t="shared" si="15"/>
        <v>25</v>
      </c>
      <c r="H125" s="17">
        <f t="shared" si="16"/>
        <v>39.024390243902438</v>
      </c>
      <c r="I125" s="61">
        <v>97.7</v>
      </c>
      <c r="J125" s="57">
        <v>35.5</v>
      </c>
      <c r="K125" s="57">
        <v>48.8</v>
      </c>
      <c r="L125" s="57">
        <v>74.400000000000006</v>
      </c>
      <c r="M125" s="57">
        <v>44.9</v>
      </c>
      <c r="N125" s="135">
        <f>AVERAGE(PER!D624:D640)</f>
        <v>13.2</v>
      </c>
      <c r="O125" s="139">
        <f>AVERAGE(PER!D624,PER!D626,PER!D630,PER!D625,PER!D632)</f>
        <v>16.419999999999998</v>
      </c>
      <c r="P125" s="143">
        <v>16.419999999999998</v>
      </c>
    </row>
    <row r="126" spans="1:16" ht="15.75" hidden="1" outlineLevel="1" x14ac:dyDescent="0.25">
      <c r="B126"/>
      <c r="D126"/>
      <c r="E126"/>
      <c r="I126" s="78">
        <f>(I111+I112+I113+I114+I115+I116+I117+I118+I119+I120+I121+I122+I123+I124+I125)/15</f>
        <v>103.70666666666666</v>
      </c>
      <c r="J126" s="78">
        <f>(J111+J112+J113+J114+J115+J116+J117+J118+J119+J120+J121+J122+J123+J124+J125)/15</f>
        <v>35.406666666666659</v>
      </c>
      <c r="K126" s="78">
        <f>(K111+K112+K113+K114+K115+K116+K117+K118+K119+K120+K121+K122+K123+K124+K125)/15</f>
        <v>49.493333333333332</v>
      </c>
      <c r="L126" s="78">
        <f>(L111+L112+L113+L114+L115+L116+L117+L118+L119+L120+L121+L122+L123+L124+L125)/15</f>
        <v>76.000000000000014</v>
      </c>
      <c r="M126" s="78">
        <f>(M111+M112+M113+M114+M115+M116+M117+M118+M119+M120+M121+M122+M123+M124+M125)/15</f>
        <v>45.426666666666662</v>
      </c>
      <c r="N126" s="134"/>
      <c r="O126" s="353" t="s">
        <v>308</v>
      </c>
      <c r="P126" s="353"/>
    </row>
    <row r="127" spans="1:16" collapsed="1" x14ac:dyDescent="0.3"/>
    <row r="133" spans="1:38" hidden="1" x14ac:dyDescent="0.3">
      <c r="A133" s="110">
        <v>0</v>
      </c>
    </row>
    <row r="134" spans="1:38" hidden="1" x14ac:dyDescent="0.3">
      <c r="A134" s="111">
        <v>1</v>
      </c>
    </row>
    <row r="135" spans="1:38" hidden="1" x14ac:dyDescent="0.3">
      <c r="A135" s="109" t="s">
        <v>56</v>
      </c>
    </row>
    <row r="142" spans="1:38" x14ac:dyDescent="0.3">
      <c r="AL142" s="2"/>
    </row>
    <row r="143" spans="1:38" x14ac:dyDescent="0.3">
      <c r="AL143" s="2"/>
    </row>
    <row r="147" spans="38:38" x14ac:dyDescent="0.3">
      <c r="AL147" s="2"/>
    </row>
    <row r="148" spans="38:38" x14ac:dyDescent="0.3">
      <c r="AL148" s="2"/>
    </row>
    <row r="149" spans="38:38" x14ac:dyDescent="0.3">
      <c r="AL149" s="2"/>
    </row>
  </sheetData>
  <mergeCells count="69">
    <mergeCell ref="J31:L32"/>
    <mergeCell ref="J29:L30"/>
    <mergeCell ref="C18:D18"/>
    <mergeCell ref="K18:L19"/>
    <mergeCell ref="C19:D19"/>
    <mergeCell ref="K20:K21"/>
    <mergeCell ref="L20:L21"/>
    <mergeCell ref="K22:L23"/>
    <mergeCell ref="K24:K25"/>
    <mergeCell ref="L24:L25"/>
    <mergeCell ref="K26:L26"/>
    <mergeCell ref="K27:K28"/>
    <mergeCell ref="L27:L28"/>
    <mergeCell ref="E1:J1"/>
    <mergeCell ref="E17:J17"/>
    <mergeCell ref="K15:K16"/>
    <mergeCell ref="L15:L16"/>
    <mergeCell ref="K13:L14"/>
    <mergeCell ref="E7:I7"/>
    <mergeCell ref="L4:L5"/>
    <mergeCell ref="K4:K5"/>
    <mergeCell ref="K2:L3"/>
    <mergeCell ref="C2:D2"/>
    <mergeCell ref="A34:O35"/>
    <mergeCell ref="M13:O16"/>
    <mergeCell ref="C3:D3"/>
    <mergeCell ref="L8:L9"/>
    <mergeCell ref="K10:L10"/>
    <mergeCell ref="K8:K9"/>
    <mergeCell ref="K6:L7"/>
    <mergeCell ref="E9:I9"/>
    <mergeCell ref="E8:I8"/>
    <mergeCell ref="E6:I6"/>
    <mergeCell ref="E12:I12"/>
    <mergeCell ref="E11:I11"/>
    <mergeCell ref="E10:I10"/>
    <mergeCell ref="B29:I32"/>
    <mergeCell ref="H22:J28"/>
    <mergeCell ref="O126:P126"/>
    <mergeCell ref="C39:D39"/>
    <mergeCell ref="O72:Q72"/>
    <mergeCell ref="O89:Q89"/>
    <mergeCell ref="K11:K12"/>
    <mergeCell ref="L11:L12"/>
    <mergeCell ref="J13:J14"/>
    <mergeCell ref="B13:I16"/>
    <mergeCell ref="J15:J16"/>
    <mergeCell ref="O109:P109"/>
    <mergeCell ref="A90:O91"/>
    <mergeCell ref="F39:G39"/>
    <mergeCell ref="C109:D109"/>
    <mergeCell ref="F109:G109"/>
    <mergeCell ref="C55:D55"/>
    <mergeCell ref="C36:D36"/>
    <mergeCell ref="F55:G55"/>
    <mergeCell ref="C72:D72"/>
    <mergeCell ref="F72:G72"/>
    <mergeCell ref="C92:D92"/>
    <mergeCell ref="F92:G92"/>
    <mergeCell ref="E36:G36"/>
    <mergeCell ref="H36:I36"/>
    <mergeCell ref="H37:I37"/>
    <mergeCell ref="N36:O36"/>
    <mergeCell ref="N37:O37"/>
    <mergeCell ref="E37:G37"/>
    <mergeCell ref="K36:M38"/>
    <mergeCell ref="C38:G38"/>
    <mergeCell ref="N38:O38"/>
    <mergeCell ref="A37:D37"/>
  </mergeCells>
  <conditionalFormatting sqref="M94:M108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4:L10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4:K108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4:J108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4:I10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4:H108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:F108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4:G108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4:E10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4:D108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C108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94:A10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:N10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1:A1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C12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1:D1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11:E124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1:E12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25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1:G1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11:H12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1:I12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1:J12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1:K12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1:L12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1:M12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1:O12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7:C7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7:D7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7:E7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7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7:G71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7:H7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:A7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:A8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4:C8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4:D88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4:E8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4:F8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4:G8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74:H8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94:O10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1:N12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11:O12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Q109:Q110 P111:P125 P94:P108">
    <cfRule type="dataBar" priority="19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{982D2F8B-8833-4F31-828D-F3D3E1B5C084}</x14:id>
        </ext>
      </extLst>
    </cfRule>
  </conditionalFormatting>
  <conditionalFormatting sqref="C6:D12">
    <cfRule type="containsText" dxfId="34" priority="18" operator="containsText" text="X">
      <formula>NOT(ISERROR(SEARCH("X",C6)))</formula>
    </cfRule>
  </conditionalFormatting>
  <conditionalFormatting sqref="I57:I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7:J7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7:K7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7:L7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7:M7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7:N7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57:O7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4:I8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4:J8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4:K8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4:L8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4:M8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4:N8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4:O8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D28">
    <cfRule type="containsText" dxfId="33" priority="1" operator="containsText" text="X">
      <formula>NOT(ISERROR(SEARCH("X",C22)))</formula>
    </cfRule>
  </conditionalFormatting>
  <dataValidations count="1">
    <dataValidation type="list" allowBlank="1" showInputMessage="1" showErrorMessage="1" sqref="C5:D5 C21:D21">
      <formula1>$B$94:$B$125</formula1>
    </dataValidation>
  </dataValidations>
  <hyperlinks>
    <hyperlink ref="K36:M38" r:id="rId1" display="Pour plus d'informations rendez-vous sur: github.com/AnthonyRio/NBA"/>
  </hyperlinks>
  <pageMargins left="0.7" right="0.7" top="0.75" bottom="0.75" header="0.3" footer="0.3"/>
  <pageSetup paperSize="9" orientation="portrait"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2D2F8B-8833-4F31-828D-F3D3E1B5C0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Q109:Q110 P111:P125 P94:P108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0000"/>
  </sheetPr>
  <dimension ref="A1:S2500"/>
  <sheetViews>
    <sheetView topLeftCell="B1" zoomScale="70" zoomScaleNormal="70" zoomScalePageLayoutView="87" workbookViewId="0">
      <pane ySplit="4" topLeftCell="A5" activePane="bottomLeft" state="frozen"/>
      <selection activeCell="B1" sqref="B1"/>
      <selection pane="bottomLeft" activeCell="T503" sqref="T503"/>
    </sheetView>
  </sheetViews>
  <sheetFormatPr baseColWidth="10" defaultRowHeight="15.75" outlineLevelRow="1" x14ac:dyDescent="0.25"/>
  <cols>
    <col min="1" max="1" width="0" hidden="1" customWidth="1"/>
    <col min="2" max="2" width="12.625" customWidth="1"/>
    <col min="3" max="3" width="19.625" style="97" customWidth="1"/>
    <col min="4" max="4" width="11" style="99" customWidth="1"/>
    <col min="5" max="5" width="21.875" style="97" customWidth="1"/>
    <col min="6" max="6" width="2.5" style="166" customWidth="1"/>
    <col min="7" max="7" width="11.125" style="3" customWidth="1"/>
    <col min="9" max="12" width="10.875" style="151"/>
    <col min="13" max="13" width="9.875" style="151" hidden="1" customWidth="1"/>
    <col min="14" max="14" width="10.125" style="151" hidden="1" customWidth="1"/>
    <col min="15" max="15" width="10.125" style="151" bestFit="1" customWidth="1"/>
    <col min="16" max="16" width="10" style="151" customWidth="1"/>
    <col min="17" max="17" width="9" style="165" hidden="1" customWidth="1"/>
    <col min="18" max="18" width="4" bestFit="1" customWidth="1"/>
    <col min="19" max="20" width="5.5" bestFit="1" customWidth="1"/>
    <col min="21" max="21" width="4.125" bestFit="1" customWidth="1"/>
    <col min="22" max="22" width="4.5" bestFit="1" customWidth="1"/>
  </cols>
  <sheetData>
    <row r="1" spans="1:19" x14ac:dyDescent="0.25">
      <c r="B1" s="247" t="s">
        <v>662</v>
      </c>
      <c r="C1" s="366">
        <f ca="1">TODAY()</f>
        <v>42671</v>
      </c>
      <c r="D1" s="366"/>
      <c r="E1" s="332" t="s">
        <v>663</v>
      </c>
      <c r="F1" s="332"/>
      <c r="G1" s="332"/>
      <c r="H1" s="332"/>
      <c r="I1" s="333" t="str">
        <f>Stats!C40</f>
        <v>Atlanta</v>
      </c>
      <c r="J1" s="333"/>
      <c r="K1" s="260"/>
      <c r="L1" s="260"/>
      <c r="M1" s="260"/>
      <c r="N1" s="260"/>
      <c r="O1" s="260"/>
      <c r="P1" s="260"/>
    </row>
    <row r="2" spans="1:19" x14ac:dyDescent="0.25">
      <c r="B2" s="403" t="str">
        <f ca="1">SUM(Schedule!Q:Q)/2&amp;" rencontres sont programmées"</f>
        <v>8 rencontres sont programmées</v>
      </c>
      <c r="C2" s="403"/>
      <c r="D2" s="403"/>
      <c r="E2" s="332" t="s">
        <v>664</v>
      </c>
      <c r="F2" s="332"/>
      <c r="G2" s="332"/>
      <c r="H2" s="332"/>
      <c r="I2" s="333" t="str">
        <f>Stats!F40</f>
        <v>Denver</v>
      </c>
      <c r="J2" s="333"/>
      <c r="K2" s="260"/>
      <c r="L2" s="260"/>
      <c r="M2" s="260"/>
      <c r="N2" s="260"/>
      <c r="O2" s="260"/>
      <c r="P2" s="260"/>
    </row>
    <row r="3" spans="1:19" x14ac:dyDescent="0.25">
      <c r="B3" s="411" t="s">
        <v>2004</v>
      </c>
      <c r="C3" s="411"/>
      <c r="D3" s="409" t="s">
        <v>666</v>
      </c>
      <c r="E3" s="144"/>
      <c r="F3" s="145"/>
      <c r="G3" s="146"/>
      <c r="H3" s="144"/>
      <c r="I3" s="264"/>
      <c r="J3" s="264"/>
      <c r="K3" s="264"/>
      <c r="L3" s="264"/>
      <c r="M3" s="405" t="s">
        <v>648</v>
      </c>
      <c r="N3" s="405" t="s">
        <v>647</v>
      </c>
      <c r="O3" s="405" t="s">
        <v>649</v>
      </c>
      <c r="P3" s="405" t="s">
        <v>650</v>
      </c>
    </row>
    <row r="4" spans="1:19" x14ac:dyDescent="0.25">
      <c r="B4" s="412">
        <f ca="1">TODAY()</f>
        <v>42671</v>
      </c>
      <c r="C4" s="412"/>
      <c r="D4" s="410"/>
      <c r="E4" s="100"/>
      <c r="F4" s="145"/>
      <c r="G4" s="104" t="s">
        <v>2003</v>
      </c>
      <c r="H4" s="104" t="s">
        <v>37</v>
      </c>
      <c r="I4" s="104" t="s">
        <v>38</v>
      </c>
      <c r="J4" s="104" t="s">
        <v>41</v>
      </c>
      <c r="K4" s="104" t="s">
        <v>40</v>
      </c>
      <c r="L4" s="104" t="s">
        <v>39</v>
      </c>
      <c r="M4" s="405"/>
      <c r="N4" s="405"/>
      <c r="O4" s="405"/>
      <c r="P4" s="405"/>
    </row>
    <row r="5" spans="1:19" x14ac:dyDescent="0.25">
      <c r="B5" s="404" t="e">
        <f ca="1">"- "&amp;INDEX(E6:E87,MATCH(TODAY(),D6:D87,0))</f>
        <v>#N/A</v>
      </c>
      <c r="C5" s="404"/>
      <c r="D5" s="406" t="s">
        <v>0</v>
      </c>
      <c r="E5" s="407"/>
      <c r="F5" s="408"/>
      <c r="M5" s="255"/>
      <c r="N5" s="255"/>
      <c r="O5" s="255"/>
    </row>
    <row r="6" spans="1:19" ht="16.5" hidden="1" customHeight="1" outlineLevel="1" thickTop="1" x14ac:dyDescent="0.3">
      <c r="A6" s="91" t="s">
        <v>0</v>
      </c>
      <c r="B6" s="98"/>
      <c r="D6" s="105">
        <v>42670</v>
      </c>
      <c r="E6" s="103" t="s">
        <v>13</v>
      </c>
      <c r="F6" s="212" t="s">
        <v>49</v>
      </c>
      <c r="G6" s="3">
        <v>1</v>
      </c>
      <c r="H6" s="3">
        <v>114</v>
      </c>
      <c r="I6" s="151">
        <v>46</v>
      </c>
      <c r="J6" s="151">
        <v>52</v>
      </c>
      <c r="K6" s="151">
        <v>78</v>
      </c>
      <c r="L6" s="151">
        <v>50</v>
      </c>
      <c r="M6" s="151">
        <f>IF(F6="D",H6,"")</f>
        <v>114</v>
      </c>
      <c r="N6" s="151" t="str">
        <f>IF(F6="E",H6,"")</f>
        <v/>
      </c>
      <c r="O6" s="151">
        <v>99</v>
      </c>
      <c r="Q6" s="240" t="str">
        <f t="shared" ref="Q6:Q37" ca="1" si="0">IF(D6=TODAY(),1,"")</f>
        <v/>
      </c>
    </row>
    <row r="7" spans="1:19" ht="15.75" hidden="1" customHeight="1" outlineLevel="1" x14ac:dyDescent="0.3">
      <c r="A7" s="92" t="s">
        <v>1</v>
      </c>
      <c r="B7" s="98"/>
      <c r="D7" s="105">
        <v>42672</v>
      </c>
      <c r="E7" s="101" t="s">
        <v>11</v>
      </c>
      <c r="F7" s="213" t="s">
        <v>50</v>
      </c>
      <c r="G7" s="3" t="s">
        <v>56</v>
      </c>
      <c r="H7" s="3" t="s">
        <v>56</v>
      </c>
      <c r="M7" s="151" t="str">
        <f t="shared" ref="M7:M70" si="1">IF(F7="D",H7,"")</f>
        <v/>
      </c>
      <c r="N7" s="151" t="str">
        <f t="shared" ref="N7:N70" si="2">IF(F7="E",H7,"")</f>
        <v>/</v>
      </c>
      <c r="P7" s="261"/>
      <c r="Q7" s="240" t="str">
        <f t="shared" ca="1" si="0"/>
        <v/>
      </c>
      <c r="R7" s="186"/>
      <c r="S7" s="186"/>
    </row>
    <row r="8" spans="1:19" ht="15.75" hidden="1" customHeight="1" outlineLevel="1" x14ac:dyDescent="0.3">
      <c r="A8" s="93" t="s">
        <v>45</v>
      </c>
      <c r="B8" s="98"/>
      <c r="D8" s="105">
        <v>42674</v>
      </c>
      <c r="E8" s="101" t="s">
        <v>26</v>
      </c>
      <c r="F8" s="213" t="s">
        <v>49</v>
      </c>
      <c r="G8" s="3" t="s">
        <v>56</v>
      </c>
      <c r="H8" s="3" t="s">
        <v>56</v>
      </c>
      <c r="M8" s="151" t="str">
        <f t="shared" si="1"/>
        <v>/</v>
      </c>
      <c r="N8" s="151" t="str">
        <f t="shared" si="2"/>
        <v/>
      </c>
      <c r="Q8" s="240" t="str">
        <f t="shared" ca="1" si="0"/>
        <v/>
      </c>
    </row>
    <row r="9" spans="1:19" ht="15.75" hidden="1" customHeight="1" outlineLevel="1" x14ac:dyDescent="0.3">
      <c r="A9" s="92" t="s">
        <v>2</v>
      </c>
      <c r="B9" s="98"/>
      <c r="D9" s="105">
        <v>42676</v>
      </c>
      <c r="E9" s="101" t="s">
        <v>19</v>
      </c>
      <c r="F9" s="213" t="s">
        <v>49</v>
      </c>
      <c r="G9" s="3" t="s">
        <v>56</v>
      </c>
      <c r="H9" s="3" t="s">
        <v>56</v>
      </c>
      <c r="M9" s="151" t="str">
        <f t="shared" si="1"/>
        <v>/</v>
      </c>
      <c r="N9" s="151" t="str">
        <f t="shared" si="2"/>
        <v/>
      </c>
      <c r="Q9" s="240" t="str">
        <f t="shared" ca="1" si="0"/>
        <v/>
      </c>
    </row>
    <row r="10" spans="1:19" ht="15.75" hidden="1" customHeight="1" outlineLevel="1" x14ac:dyDescent="0.3">
      <c r="A10" s="93" t="s">
        <v>3</v>
      </c>
      <c r="B10" s="98"/>
      <c r="D10" s="105">
        <v>42678</v>
      </c>
      <c r="E10" s="101" t="s">
        <v>13</v>
      </c>
      <c r="F10" s="213" t="s">
        <v>50</v>
      </c>
      <c r="G10" s="3" t="s">
        <v>56</v>
      </c>
      <c r="H10" s="3" t="s">
        <v>56</v>
      </c>
      <c r="M10" s="151" t="str">
        <f t="shared" si="1"/>
        <v/>
      </c>
      <c r="N10" s="151" t="str">
        <f t="shared" si="2"/>
        <v>/</v>
      </c>
      <c r="Q10" s="240" t="str">
        <f t="shared" ca="1" si="0"/>
        <v/>
      </c>
    </row>
    <row r="11" spans="1:19" ht="15.75" hidden="1" customHeight="1" outlineLevel="1" x14ac:dyDescent="0.3">
      <c r="A11" s="92" t="s">
        <v>4</v>
      </c>
      <c r="B11" s="98"/>
      <c r="D11" s="105">
        <v>42679</v>
      </c>
      <c r="E11" s="101" t="s">
        <v>17</v>
      </c>
      <c r="F11" s="213" t="s">
        <v>49</v>
      </c>
      <c r="G11" s="3" t="s">
        <v>56</v>
      </c>
      <c r="H11" s="3" t="s">
        <v>56</v>
      </c>
      <c r="M11" s="151" t="str">
        <f t="shared" si="1"/>
        <v>/</v>
      </c>
      <c r="N11" s="151" t="str">
        <f t="shared" si="2"/>
        <v/>
      </c>
      <c r="Q11" s="240" t="str">
        <f t="shared" ca="1" si="0"/>
        <v/>
      </c>
    </row>
    <row r="12" spans="1:19" ht="15.75" hidden="1" customHeight="1" outlineLevel="1" x14ac:dyDescent="0.3">
      <c r="A12" s="93" t="s">
        <v>5</v>
      </c>
      <c r="B12" s="98"/>
      <c r="D12" s="105">
        <v>42682</v>
      </c>
      <c r="E12" s="101" t="s">
        <v>4</v>
      </c>
      <c r="F12" s="213" t="s">
        <v>50</v>
      </c>
      <c r="G12" s="3" t="s">
        <v>56</v>
      </c>
      <c r="H12" s="3" t="s">
        <v>56</v>
      </c>
      <c r="M12" s="151" t="str">
        <f t="shared" si="1"/>
        <v/>
      </c>
      <c r="N12" s="151" t="str">
        <f t="shared" si="2"/>
        <v>/</v>
      </c>
      <c r="Q12" s="240" t="str">
        <f t="shared" ca="1" si="0"/>
        <v/>
      </c>
    </row>
    <row r="13" spans="1:19" ht="15.75" hidden="1" customHeight="1" outlineLevel="1" x14ac:dyDescent="0.3">
      <c r="A13" s="92" t="s">
        <v>7</v>
      </c>
      <c r="B13" s="98"/>
      <c r="D13" s="105">
        <v>42683</v>
      </c>
      <c r="E13" s="101" t="s">
        <v>2</v>
      </c>
      <c r="F13" s="213" t="s">
        <v>49</v>
      </c>
      <c r="G13" s="3" t="s">
        <v>56</v>
      </c>
      <c r="H13" s="3" t="s">
        <v>56</v>
      </c>
      <c r="M13" s="198" t="str">
        <f t="shared" si="1"/>
        <v>/</v>
      </c>
      <c r="N13" s="151" t="str">
        <f t="shared" si="2"/>
        <v/>
      </c>
      <c r="Q13" s="240" t="str">
        <f t="shared" ca="1" si="0"/>
        <v/>
      </c>
    </row>
    <row r="14" spans="1:19" ht="15.75" hidden="1" customHeight="1" outlineLevel="1" x14ac:dyDescent="0.3">
      <c r="A14" s="93" t="s">
        <v>6</v>
      </c>
      <c r="B14" s="98"/>
      <c r="D14" s="105">
        <v>42686</v>
      </c>
      <c r="E14" s="101" t="s">
        <v>11</v>
      </c>
      <c r="F14" s="213" t="s">
        <v>49</v>
      </c>
      <c r="G14" s="3" t="s">
        <v>56</v>
      </c>
      <c r="H14" s="3" t="s">
        <v>56</v>
      </c>
      <c r="M14" s="151" t="str">
        <f t="shared" si="1"/>
        <v>/</v>
      </c>
      <c r="N14" s="151" t="str">
        <f t="shared" si="2"/>
        <v/>
      </c>
      <c r="Q14" s="240" t="str">
        <f t="shared" ca="1" si="0"/>
        <v/>
      </c>
    </row>
    <row r="15" spans="1:19" ht="15.75" hidden="1" customHeight="1" outlineLevel="1" x14ac:dyDescent="0.3">
      <c r="A15" s="92" t="s">
        <v>8</v>
      </c>
      <c r="B15" s="98"/>
      <c r="D15" s="105">
        <v>42689</v>
      </c>
      <c r="E15" s="101" t="s">
        <v>6</v>
      </c>
      <c r="F15" s="213" t="s">
        <v>50</v>
      </c>
      <c r="G15" s="3" t="s">
        <v>56</v>
      </c>
      <c r="H15" s="3" t="s">
        <v>56</v>
      </c>
      <c r="M15" s="151" t="str">
        <f t="shared" si="1"/>
        <v/>
      </c>
      <c r="N15" s="151" t="str">
        <f t="shared" si="2"/>
        <v>/</v>
      </c>
      <c r="Q15" s="240" t="str">
        <f t="shared" ca="1" si="0"/>
        <v/>
      </c>
    </row>
    <row r="16" spans="1:19" ht="15.75" hidden="1" customHeight="1" outlineLevel="1" x14ac:dyDescent="0.3">
      <c r="A16" s="93" t="s">
        <v>9</v>
      </c>
      <c r="B16" s="98"/>
      <c r="D16" s="105">
        <v>42690</v>
      </c>
      <c r="E16" s="101" t="s">
        <v>8</v>
      </c>
      <c r="F16" s="213" t="s">
        <v>49</v>
      </c>
      <c r="G16" s="3" t="s">
        <v>56</v>
      </c>
      <c r="H16" s="3" t="s">
        <v>56</v>
      </c>
      <c r="M16" s="151" t="str">
        <f t="shared" si="1"/>
        <v>/</v>
      </c>
      <c r="N16" s="151" t="str">
        <f t="shared" si="2"/>
        <v/>
      </c>
      <c r="Q16" s="240" t="str">
        <f t="shared" ca="1" si="0"/>
        <v/>
      </c>
    </row>
    <row r="17" spans="1:17" ht="15.75" hidden="1" customHeight="1" outlineLevel="1" x14ac:dyDescent="0.3">
      <c r="A17" s="92" t="s">
        <v>10</v>
      </c>
      <c r="B17" s="98"/>
      <c r="D17" s="105">
        <v>42692</v>
      </c>
      <c r="E17" s="101" t="s">
        <v>3</v>
      </c>
      <c r="F17" s="213" t="s">
        <v>50</v>
      </c>
      <c r="G17" s="3" t="s">
        <v>56</v>
      </c>
      <c r="H17" s="3" t="s">
        <v>56</v>
      </c>
      <c r="M17" s="151" t="str">
        <f t="shared" si="1"/>
        <v/>
      </c>
      <c r="N17" s="151" t="str">
        <f t="shared" si="2"/>
        <v>/</v>
      </c>
      <c r="Q17" s="240" t="str">
        <f t="shared" ca="1" si="0"/>
        <v/>
      </c>
    </row>
    <row r="18" spans="1:17" ht="15.75" hidden="1" customHeight="1" outlineLevel="1" x14ac:dyDescent="0.3">
      <c r="A18" s="93" t="s">
        <v>11</v>
      </c>
      <c r="B18" s="98"/>
      <c r="D18" s="105">
        <v>42694</v>
      </c>
      <c r="E18" s="101" t="s">
        <v>9</v>
      </c>
      <c r="F18" s="213" t="s">
        <v>50</v>
      </c>
      <c r="G18" s="3" t="s">
        <v>56</v>
      </c>
      <c r="H18" s="3" t="s">
        <v>56</v>
      </c>
      <c r="M18" s="151" t="str">
        <f t="shared" si="1"/>
        <v/>
      </c>
      <c r="N18" s="151" t="str">
        <f t="shared" si="2"/>
        <v>/</v>
      </c>
      <c r="Q18" s="240" t="str">
        <f t="shared" ca="1" si="0"/>
        <v/>
      </c>
    </row>
    <row r="19" spans="1:17" ht="15.75" hidden="1" customHeight="1" outlineLevel="1" x14ac:dyDescent="0.3">
      <c r="A19" s="92" t="s">
        <v>12</v>
      </c>
      <c r="B19" s="98"/>
      <c r="D19" s="105">
        <v>42662</v>
      </c>
      <c r="E19" s="101" t="s">
        <v>22</v>
      </c>
      <c r="F19" s="213" t="s">
        <v>49</v>
      </c>
      <c r="G19" s="3" t="s">
        <v>56</v>
      </c>
      <c r="H19" s="3" t="s">
        <v>56</v>
      </c>
      <c r="M19" s="151" t="str">
        <f t="shared" si="1"/>
        <v>/</v>
      </c>
      <c r="N19" s="151" t="str">
        <f t="shared" si="2"/>
        <v/>
      </c>
      <c r="Q19" s="240" t="str">
        <f t="shared" ca="1" si="0"/>
        <v/>
      </c>
    </row>
    <row r="20" spans="1:17" ht="15.75" hidden="1" customHeight="1" outlineLevel="1" x14ac:dyDescent="0.3">
      <c r="A20" s="93" t="s">
        <v>13</v>
      </c>
      <c r="B20" s="98"/>
      <c r="D20" s="105">
        <v>42697</v>
      </c>
      <c r="E20" s="101" t="s">
        <v>7</v>
      </c>
      <c r="F20" s="213" t="s">
        <v>50</v>
      </c>
      <c r="G20" s="3" t="s">
        <v>56</v>
      </c>
      <c r="H20" s="3" t="s">
        <v>56</v>
      </c>
      <c r="M20" s="151" t="str">
        <f t="shared" si="1"/>
        <v/>
      </c>
      <c r="N20" s="151" t="str">
        <f t="shared" si="2"/>
        <v>/</v>
      </c>
      <c r="Q20" s="240" t="str">
        <f t="shared" ca="1" si="0"/>
        <v/>
      </c>
    </row>
    <row r="21" spans="1:17" ht="15.75" hidden="1" customHeight="1" outlineLevel="1" x14ac:dyDescent="0.3">
      <c r="A21" s="94" t="s">
        <v>14</v>
      </c>
      <c r="B21" s="98"/>
      <c r="D21" s="105">
        <v>42699</v>
      </c>
      <c r="E21" s="101" t="s">
        <v>28</v>
      </c>
      <c r="F21" s="213" t="s">
        <v>50</v>
      </c>
      <c r="G21" s="3" t="s">
        <v>56</v>
      </c>
      <c r="H21" s="3" t="s">
        <v>56</v>
      </c>
      <c r="M21" s="151" t="str">
        <f t="shared" si="1"/>
        <v/>
      </c>
      <c r="N21" s="151" t="str">
        <f t="shared" si="2"/>
        <v>/</v>
      </c>
      <c r="Q21" s="240" t="str">
        <f t="shared" ca="1" si="0"/>
        <v/>
      </c>
    </row>
    <row r="22" spans="1:17" ht="15.75" hidden="1" customHeight="1" outlineLevel="1" x14ac:dyDescent="0.3">
      <c r="A22" s="95" t="s">
        <v>15</v>
      </c>
      <c r="B22" s="98"/>
      <c r="D22" s="105">
        <v>42701</v>
      </c>
      <c r="E22" s="101" t="s">
        <v>19</v>
      </c>
      <c r="F22" s="213" t="s">
        <v>50</v>
      </c>
      <c r="G22" s="3" t="s">
        <v>56</v>
      </c>
      <c r="H22" s="3" t="s">
        <v>56</v>
      </c>
      <c r="M22" s="151" t="str">
        <f t="shared" si="1"/>
        <v/>
      </c>
      <c r="N22" s="151" t="str">
        <f t="shared" si="2"/>
        <v>/</v>
      </c>
      <c r="Q22" s="240" t="str">
        <f t="shared" ca="1" si="0"/>
        <v/>
      </c>
    </row>
    <row r="23" spans="1:17" ht="15.75" hidden="1" customHeight="1" outlineLevel="1" x14ac:dyDescent="0.3">
      <c r="A23" s="94" t="s">
        <v>16</v>
      </c>
      <c r="B23" s="98"/>
      <c r="D23" s="105">
        <v>42702</v>
      </c>
      <c r="E23" s="101" t="s">
        <v>16</v>
      </c>
      <c r="F23" s="213" t="s">
        <v>50</v>
      </c>
      <c r="G23" s="3" t="s">
        <v>56</v>
      </c>
      <c r="H23" s="3" t="s">
        <v>56</v>
      </c>
      <c r="M23" s="151" t="str">
        <f t="shared" si="1"/>
        <v/>
      </c>
      <c r="N23" s="151" t="str">
        <f t="shared" si="2"/>
        <v>/</v>
      </c>
      <c r="Q23" s="240" t="str">
        <f t="shared" ca="1" si="0"/>
        <v/>
      </c>
    </row>
    <row r="24" spans="1:17" ht="15.75" hidden="1" customHeight="1" outlineLevel="1" x14ac:dyDescent="0.3">
      <c r="A24" s="95" t="s">
        <v>17</v>
      </c>
      <c r="B24" s="98"/>
      <c r="D24" s="105">
        <v>42704</v>
      </c>
      <c r="E24" s="101" t="s">
        <v>25</v>
      </c>
      <c r="F24" s="213" t="s">
        <v>50</v>
      </c>
      <c r="G24" s="3" t="s">
        <v>56</v>
      </c>
      <c r="H24" s="3" t="s">
        <v>56</v>
      </c>
      <c r="M24" s="151" t="str">
        <f t="shared" si="1"/>
        <v/>
      </c>
      <c r="N24" s="151" t="str">
        <f t="shared" si="2"/>
        <v>/</v>
      </c>
      <c r="Q24" s="240" t="str">
        <f t="shared" ca="1" si="0"/>
        <v/>
      </c>
    </row>
    <row r="25" spans="1:17" ht="15.75" hidden="1" customHeight="1" outlineLevel="1" x14ac:dyDescent="0.3">
      <c r="A25" s="94" t="s">
        <v>18</v>
      </c>
      <c r="B25" s="98"/>
      <c r="D25" s="105">
        <v>42706</v>
      </c>
      <c r="E25" s="101" t="s">
        <v>5</v>
      </c>
      <c r="F25" s="213" t="s">
        <v>49</v>
      </c>
      <c r="G25" s="3" t="s">
        <v>56</v>
      </c>
      <c r="H25" s="3" t="s">
        <v>56</v>
      </c>
      <c r="M25" s="151" t="str">
        <f t="shared" si="1"/>
        <v>/</v>
      </c>
      <c r="N25" s="151" t="str">
        <f t="shared" si="2"/>
        <v/>
      </c>
      <c r="Q25" s="240" t="str">
        <f t="shared" ca="1" si="0"/>
        <v/>
      </c>
    </row>
    <row r="26" spans="1:17" ht="15.75" hidden="1" customHeight="1" outlineLevel="1" x14ac:dyDescent="0.3">
      <c r="A26" s="95" t="s">
        <v>19</v>
      </c>
      <c r="B26" s="98"/>
      <c r="D26" s="105">
        <v>42707</v>
      </c>
      <c r="E26" s="101" t="s">
        <v>12</v>
      </c>
      <c r="F26" s="213" t="s">
        <v>50</v>
      </c>
      <c r="G26" s="3" t="s">
        <v>56</v>
      </c>
      <c r="H26" s="3" t="s">
        <v>56</v>
      </c>
      <c r="M26" s="151" t="str">
        <f t="shared" si="1"/>
        <v/>
      </c>
      <c r="N26" s="151" t="str">
        <f t="shared" si="2"/>
        <v>/</v>
      </c>
      <c r="Q26" s="240" t="str">
        <f t="shared" ca="1" si="0"/>
        <v/>
      </c>
    </row>
    <row r="27" spans="1:17" ht="15.75" hidden="1" customHeight="1" outlineLevel="1" x14ac:dyDescent="0.3">
      <c r="A27" s="94" t="s">
        <v>20</v>
      </c>
      <c r="B27" s="98"/>
      <c r="D27" s="105">
        <v>42709</v>
      </c>
      <c r="E27" s="101" t="s">
        <v>23</v>
      </c>
      <c r="F27" s="213" t="s">
        <v>49</v>
      </c>
      <c r="G27" s="3" t="s">
        <v>56</v>
      </c>
      <c r="H27" s="3" t="s">
        <v>56</v>
      </c>
      <c r="M27" s="151" t="str">
        <f t="shared" si="1"/>
        <v>/</v>
      </c>
      <c r="N27" s="151" t="str">
        <f t="shared" si="2"/>
        <v/>
      </c>
      <c r="Q27" s="240" t="str">
        <f t="shared" ca="1" si="0"/>
        <v/>
      </c>
    </row>
    <row r="28" spans="1:17" ht="15.75" hidden="1" customHeight="1" outlineLevel="1" x14ac:dyDescent="0.3">
      <c r="A28" s="95" t="s">
        <v>21</v>
      </c>
      <c r="B28" s="98"/>
      <c r="D28" s="105">
        <v>42711</v>
      </c>
      <c r="E28" s="101" t="s">
        <v>6</v>
      </c>
      <c r="F28" s="213" t="s">
        <v>49</v>
      </c>
      <c r="G28" s="3" t="s">
        <v>56</v>
      </c>
      <c r="H28" s="3" t="s">
        <v>56</v>
      </c>
      <c r="M28" s="151" t="str">
        <f t="shared" si="1"/>
        <v>/</v>
      </c>
      <c r="N28" s="151" t="str">
        <f t="shared" si="2"/>
        <v/>
      </c>
      <c r="Q28" s="240" t="str">
        <f t="shared" ca="1" si="0"/>
        <v/>
      </c>
    </row>
    <row r="29" spans="1:17" ht="15.75" hidden="1" customHeight="1" outlineLevel="1" x14ac:dyDescent="0.3">
      <c r="A29" s="94" t="s">
        <v>22</v>
      </c>
      <c r="B29" s="98"/>
      <c r="D29" s="105">
        <v>42713</v>
      </c>
      <c r="E29" s="101" t="s">
        <v>8</v>
      </c>
      <c r="F29" s="213" t="s">
        <v>50</v>
      </c>
      <c r="G29" s="3" t="s">
        <v>56</v>
      </c>
      <c r="H29" s="3" t="s">
        <v>56</v>
      </c>
      <c r="M29" s="151" t="str">
        <f t="shared" si="1"/>
        <v/>
      </c>
      <c r="N29" s="151" t="str">
        <f t="shared" si="2"/>
        <v>/</v>
      </c>
      <c r="Q29" s="240" t="str">
        <f t="shared" ca="1" si="0"/>
        <v/>
      </c>
    </row>
    <row r="30" spans="1:17" ht="15.75" hidden="1" customHeight="1" outlineLevel="1" x14ac:dyDescent="0.3">
      <c r="A30" s="95" t="s">
        <v>23</v>
      </c>
      <c r="B30" s="98"/>
      <c r="D30" s="105">
        <v>42717</v>
      </c>
      <c r="E30" s="101" t="s">
        <v>10</v>
      </c>
      <c r="F30" s="213" t="s">
        <v>49</v>
      </c>
      <c r="G30" s="3" t="s">
        <v>56</v>
      </c>
      <c r="H30" s="3" t="s">
        <v>56</v>
      </c>
      <c r="M30" s="151" t="str">
        <f t="shared" si="1"/>
        <v>/</v>
      </c>
      <c r="N30" s="151" t="str">
        <f t="shared" si="2"/>
        <v/>
      </c>
      <c r="Q30" s="240" t="str">
        <f t="shared" ca="1" si="0"/>
        <v/>
      </c>
    </row>
    <row r="31" spans="1:17" ht="15.75" hidden="1" customHeight="1" outlineLevel="1" x14ac:dyDescent="0.3">
      <c r="A31" s="94" t="s">
        <v>25</v>
      </c>
      <c r="B31" s="98"/>
      <c r="D31" s="105">
        <v>42720</v>
      </c>
      <c r="E31" s="101" t="s">
        <v>12</v>
      </c>
      <c r="F31" s="213" t="s">
        <v>50</v>
      </c>
      <c r="G31" s="3" t="s">
        <v>56</v>
      </c>
      <c r="H31" s="3" t="s">
        <v>56</v>
      </c>
      <c r="M31" s="151" t="str">
        <f t="shared" si="1"/>
        <v/>
      </c>
      <c r="N31" s="151" t="str">
        <f t="shared" si="2"/>
        <v>/</v>
      </c>
      <c r="Q31" s="240" t="str">
        <f t="shared" ca="1" si="0"/>
        <v/>
      </c>
    </row>
    <row r="32" spans="1:17" ht="15.75" hidden="1" customHeight="1" outlineLevel="1" x14ac:dyDescent="0.3">
      <c r="A32" s="95" t="s">
        <v>24</v>
      </c>
      <c r="B32" s="98"/>
      <c r="D32" s="105">
        <v>42721</v>
      </c>
      <c r="E32" s="101" t="s">
        <v>3</v>
      </c>
      <c r="F32" s="213" t="s">
        <v>49</v>
      </c>
      <c r="G32" s="3" t="s">
        <v>56</v>
      </c>
      <c r="H32" s="3" t="s">
        <v>56</v>
      </c>
      <c r="M32" s="151" t="str">
        <f t="shared" si="1"/>
        <v>/</v>
      </c>
      <c r="N32" s="151" t="str">
        <f t="shared" si="2"/>
        <v/>
      </c>
      <c r="Q32" s="240" t="str">
        <f t="shared" ca="1" si="0"/>
        <v/>
      </c>
    </row>
    <row r="33" spans="1:17" ht="15.75" hidden="1" customHeight="1" outlineLevel="1" x14ac:dyDescent="0.3">
      <c r="A33" s="94" t="s">
        <v>26</v>
      </c>
      <c r="B33" s="98"/>
      <c r="D33" s="105">
        <v>42723</v>
      </c>
      <c r="E33" s="101" t="s">
        <v>23</v>
      </c>
      <c r="F33" s="213" t="s">
        <v>50</v>
      </c>
      <c r="G33" s="3" t="s">
        <v>56</v>
      </c>
      <c r="H33" s="3" t="s">
        <v>56</v>
      </c>
      <c r="M33" s="151" t="str">
        <f t="shared" si="1"/>
        <v/>
      </c>
      <c r="N33" s="151" t="str">
        <f t="shared" si="2"/>
        <v>/</v>
      </c>
      <c r="Q33" s="240" t="str">
        <f t="shared" ca="1" si="0"/>
        <v/>
      </c>
    </row>
    <row r="34" spans="1:17" ht="15.75" hidden="1" customHeight="1" outlineLevel="1" x14ac:dyDescent="0.3">
      <c r="A34" s="95" t="s">
        <v>27</v>
      </c>
      <c r="B34" s="98"/>
      <c r="D34" s="105">
        <v>42725</v>
      </c>
      <c r="E34" s="101" t="s">
        <v>21</v>
      </c>
      <c r="F34" s="213" t="s">
        <v>49</v>
      </c>
      <c r="G34" s="3" t="s">
        <v>56</v>
      </c>
      <c r="H34" s="3" t="s">
        <v>56</v>
      </c>
      <c r="M34" s="151" t="str">
        <f t="shared" si="1"/>
        <v>/</v>
      </c>
      <c r="N34" s="151" t="str">
        <f t="shared" si="2"/>
        <v/>
      </c>
      <c r="Q34" s="240" t="str">
        <f t="shared" ca="1" si="0"/>
        <v/>
      </c>
    </row>
    <row r="35" spans="1:17" ht="15.75" hidden="1" customHeight="1" outlineLevel="1" x14ac:dyDescent="0.3">
      <c r="A35" s="96" t="s">
        <v>28</v>
      </c>
      <c r="B35" s="98"/>
      <c r="D35" s="105">
        <v>42727</v>
      </c>
      <c r="E35" s="101" t="s">
        <v>15</v>
      </c>
      <c r="F35" s="213" t="s">
        <v>50</v>
      </c>
      <c r="G35" s="3" t="s">
        <v>56</v>
      </c>
      <c r="H35" s="3" t="s">
        <v>56</v>
      </c>
      <c r="M35" s="151" t="str">
        <f t="shared" si="1"/>
        <v/>
      </c>
      <c r="N35" s="151" t="str">
        <f t="shared" si="2"/>
        <v>/</v>
      </c>
      <c r="Q35" s="240" t="str">
        <f t="shared" ca="1" si="0"/>
        <v/>
      </c>
    </row>
    <row r="36" spans="1:17" ht="15.75" hidden="1" customHeight="1" outlineLevel="1" x14ac:dyDescent="0.3">
      <c r="B36" s="97"/>
      <c r="D36" s="105">
        <v>42730</v>
      </c>
      <c r="E36" s="101" t="s">
        <v>21</v>
      </c>
      <c r="F36" s="213" t="s">
        <v>50</v>
      </c>
      <c r="G36" s="3" t="s">
        <v>56</v>
      </c>
      <c r="H36" s="3" t="s">
        <v>56</v>
      </c>
      <c r="M36" s="151" t="str">
        <f t="shared" si="1"/>
        <v/>
      </c>
      <c r="N36" s="151" t="str">
        <f t="shared" si="2"/>
        <v>/</v>
      </c>
      <c r="Q36" s="240" t="str">
        <f t="shared" ca="1" si="0"/>
        <v/>
      </c>
    </row>
    <row r="37" spans="1:17" ht="15.75" hidden="1" customHeight="1" outlineLevel="1" x14ac:dyDescent="0.3">
      <c r="B37" s="97"/>
      <c r="D37" s="105">
        <v>42732</v>
      </c>
      <c r="E37" s="101" t="s">
        <v>9</v>
      </c>
      <c r="F37" s="213" t="s">
        <v>49</v>
      </c>
      <c r="G37" s="3" t="s">
        <v>56</v>
      </c>
      <c r="H37" s="3" t="s">
        <v>56</v>
      </c>
      <c r="M37" s="151" t="str">
        <f t="shared" si="1"/>
        <v>/</v>
      </c>
      <c r="N37" s="151" t="str">
        <f t="shared" si="2"/>
        <v/>
      </c>
      <c r="Q37" s="240" t="str">
        <f t="shared" ca="1" si="0"/>
        <v/>
      </c>
    </row>
    <row r="38" spans="1:17" ht="15.75" hidden="1" customHeight="1" outlineLevel="1" x14ac:dyDescent="0.3">
      <c r="B38" s="97"/>
      <c r="D38" s="105">
        <v>42734</v>
      </c>
      <c r="E38" s="101" t="s">
        <v>5</v>
      </c>
      <c r="F38" s="213" t="s">
        <v>49</v>
      </c>
      <c r="G38" s="3" t="s">
        <v>56</v>
      </c>
      <c r="H38" s="3" t="s">
        <v>56</v>
      </c>
      <c r="M38" s="151" t="str">
        <f t="shared" si="1"/>
        <v>/</v>
      </c>
      <c r="N38" s="151" t="str">
        <f t="shared" si="2"/>
        <v/>
      </c>
      <c r="Q38" s="240" t="str">
        <f t="shared" ref="Q38:Q69" ca="1" si="3">IF(D38=TODAY(),1,"")</f>
        <v/>
      </c>
    </row>
    <row r="39" spans="1:17" ht="15.75" hidden="1" customHeight="1" outlineLevel="1" x14ac:dyDescent="0.3">
      <c r="B39" s="97"/>
      <c r="D39" s="105">
        <v>42370</v>
      </c>
      <c r="E39" s="101" t="s">
        <v>47</v>
      </c>
      <c r="F39" s="213" t="s">
        <v>49</v>
      </c>
      <c r="G39" s="3" t="s">
        <v>56</v>
      </c>
      <c r="H39" s="3" t="s">
        <v>56</v>
      </c>
      <c r="M39" s="151" t="str">
        <f t="shared" si="1"/>
        <v>/</v>
      </c>
      <c r="N39" s="151" t="str">
        <f t="shared" si="2"/>
        <v/>
      </c>
      <c r="Q39" s="240" t="str">
        <f t="shared" ca="1" si="3"/>
        <v/>
      </c>
    </row>
    <row r="40" spans="1:17" ht="15.75" hidden="1" customHeight="1" outlineLevel="1" x14ac:dyDescent="0.3">
      <c r="B40" s="97"/>
      <c r="D40" s="105">
        <v>42373</v>
      </c>
      <c r="E40" s="101" t="s">
        <v>10</v>
      </c>
      <c r="F40" s="213" t="s">
        <v>50</v>
      </c>
      <c r="G40" s="3" t="s">
        <v>56</v>
      </c>
      <c r="H40" s="3" t="s">
        <v>56</v>
      </c>
      <c r="M40" s="151" t="str">
        <f t="shared" si="1"/>
        <v/>
      </c>
      <c r="N40" s="151" t="str">
        <f t="shared" si="2"/>
        <v>/</v>
      </c>
      <c r="Q40" s="240" t="str">
        <f t="shared" ca="1" si="3"/>
        <v/>
      </c>
    </row>
    <row r="41" spans="1:17" ht="15.75" hidden="1" customHeight="1" outlineLevel="1" x14ac:dyDescent="0.3">
      <c r="B41" s="97"/>
      <c r="D41" s="105">
        <v>42374</v>
      </c>
      <c r="E41" s="101" t="s">
        <v>22</v>
      </c>
      <c r="F41" s="213" t="s">
        <v>50</v>
      </c>
      <c r="G41" s="3" t="s">
        <v>56</v>
      </c>
      <c r="H41" s="3" t="s">
        <v>56</v>
      </c>
      <c r="M41" s="151" t="str">
        <f t="shared" si="1"/>
        <v/>
      </c>
      <c r="N41" s="151" t="str">
        <f t="shared" si="2"/>
        <v>/</v>
      </c>
      <c r="Q41" s="240" t="str">
        <f t="shared" ca="1" si="3"/>
        <v/>
      </c>
    </row>
    <row r="42" spans="1:17" ht="15.75" hidden="1" customHeight="1" outlineLevel="1" x14ac:dyDescent="0.3">
      <c r="B42" s="97"/>
      <c r="D42" s="105">
        <v>42376</v>
      </c>
      <c r="E42" s="101" t="s">
        <v>14</v>
      </c>
      <c r="F42" s="213" t="s">
        <v>50</v>
      </c>
      <c r="G42" s="3" t="s">
        <v>56</v>
      </c>
      <c r="H42" s="3" t="s">
        <v>56</v>
      </c>
      <c r="M42" s="151" t="str">
        <f t="shared" si="1"/>
        <v/>
      </c>
      <c r="N42" s="151" t="str">
        <f t="shared" si="2"/>
        <v>/</v>
      </c>
      <c r="Q42" s="240" t="str">
        <f t="shared" ca="1" si="3"/>
        <v/>
      </c>
    </row>
    <row r="43" spans="1:17" ht="15.75" hidden="1" customHeight="1" outlineLevel="1" x14ac:dyDescent="0.3">
      <c r="B43" s="97"/>
      <c r="D43" s="105">
        <v>42379</v>
      </c>
      <c r="E43" s="101" t="s">
        <v>45</v>
      </c>
      <c r="F43" s="213" t="s">
        <v>50</v>
      </c>
      <c r="G43" s="3" t="s">
        <v>56</v>
      </c>
      <c r="H43" s="3" t="s">
        <v>56</v>
      </c>
      <c r="M43" s="151" t="str">
        <f t="shared" si="1"/>
        <v/>
      </c>
      <c r="N43" s="151" t="str">
        <f t="shared" si="2"/>
        <v>/</v>
      </c>
      <c r="Q43" s="240" t="str">
        <f t="shared" ca="1" si="3"/>
        <v/>
      </c>
    </row>
    <row r="44" spans="1:17" ht="15.75" hidden="1" customHeight="1" outlineLevel="1" x14ac:dyDescent="0.3">
      <c r="B44" s="97"/>
      <c r="D44" s="105">
        <v>42382</v>
      </c>
      <c r="E44" s="101" t="s">
        <v>1</v>
      </c>
      <c r="F44" s="213" t="s">
        <v>49</v>
      </c>
      <c r="G44" s="3" t="s">
        <v>56</v>
      </c>
      <c r="H44" s="3" t="s">
        <v>56</v>
      </c>
      <c r="M44" s="151" t="str">
        <f t="shared" si="1"/>
        <v>/</v>
      </c>
      <c r="N44" s="151" t="str">
        <f t="shared" si="2"/>
        <v/>
      </c>
      <c r="Q44" s="240" t="str">
        <f t="shared" ca="1" si="3"/>
        <v/>
      </c>
    </row>
    <row r="45" spans="1:17" ht="15.75" hidden="1" customHeight="1" outlineLevel="1" x14ac:dyDescent="0.3">
      <c r="B45" s="97"/>
      <c r="D45" s="105">
        <v>42384</v>
      </c>
      <c r="E45" s="101" t="s">
        <v>8</v>
      </c>
      <c r="F45" s="213" t="s">
        <v>49</v>
      </c>
      <c r="G45" s="3" t="s">
        <v>56</v>
      </c>
      <c r="H45" s="3" t="s">
        <v>56</v>
      </c>
      <c r="M45" s="151" t="str">
        <f t="shared" si="1"/>
        <v>/</v>
      </c>
      <c r="N45" s="151" t="str">
        <f t="shared" si="2"/>
        <v/>
      </c>
      <c r="Q45" s="240" t="str">
        <f t="shared" ca="1" si="3"/>
        <v/>
      </c>
    </row>
    <row r="46" spans="1:17" ht="15.75" hidden="1" customHeight="1" outlineLevel="1" x14ac:dyDescent="0.3">
      <c r="B46" s="97"/>
      <c r="D46" s="105">
        <v>42385</v>
      </c>
      <c r="E46" s="101" t="s">
        <v>9</v>
      </c>
      <c r="F46" s="213" t="s">
        <v>50</v>
      </c>
      <c r="G46" s="3" t="s">
        <v>56</v>
      </c>
      <c r="H46" s="3" t="s">
        <v>56</v>
      </c>
      <c r="M46" s="151" t="str">
        <f t="shared" si="1"/>
        <v/>
      </c>
      <c r="N46" s="151" t="str">
        <f t="shared" si="2"/>
        <v>/</v>
      </c>
      <c r="Q46" s="240" t="str">
        <f t="shared" ca="1" si="3"/>
        <v/>
      </c>
    </row>
    <row r="47" spans="1:17" ht="15.75" hidden="1" customHeight="1" outlineLevel="1" x14ac:dyDescent="0.3">
      <c r="D47" s="105">
        <v>42387</v>
      </c>
      <c r="E47" s="101" t="s">
        <v>5</v>
      </c>
      <c r="F47" s="213" t="s">
        <v>50</v>
      </c>
      <c r="G47" s="3" t="s">
        <v>56</v>
      </c>
      <c r="H47" s="3" t="s">
        <v>56</v>
      </c>
      <c r="M47" s="151" t="str">
        <f t="shared" si="1"/>
        <v/>
      </c>
      <c r="N47" s="151" t="str">
        <f t="shared" si="2"/>
        <v>/</v>
      </c>
      <c r="Q47" s="240" t="str">
        <f t="shared" ca="1" si="3"/>
        <v/>
      </c>
    </row>
    <row r="48" spans="1:17" ht="15.75" hidden="1" customHeight="1" outlineLevel="1" x14ac:dyDescent="0.3">
      <c r="D48" s="105">
        <v>42389</v>
      </c>
      <c r="E48" s="101" t="s">
        <v>2</v>
      </c>
      <c r="F48" s="213" t="s">
        <v>49</v>
      </c>
      <c r="G48" s="3" t="s">
        <v>56</v>
      </c>
      <c r="H48" s="3" t="s">
        <v>56</v>
      </c>
      <c r="M48" s="151" t="str">
        <f t="shared" si="1"/>
        <v>/</v>
      </c>
      <c r="N48" s="151" t="str">
        <f t="shared" si="2"/>
        <v/>
      </c>
      <c r="Q48" s="240" t="str">
        <f t="shared" ca="1" si="3"/>
        <v/>
      </c>
    </row>
    <row r="49" spans="4:17" ht="15.75" hidden="1" customHeight="1" outlineLevel="1" x14ac:dyDescent="0.3">
      <c r="D49" s="105">
        <v>42390</v>
      </c>
      <c r="E49" s="101" t="s">
        <v>11</v>
      </c>
      <c r="F49" s="213" t="s">
        <v>49</v>
      </c>
      <c r="G49" s="3" t="s">
        <v>56</v>
      </c>
      <c r="H49" s="3" t="s">
        <v>56</v>
      </c>
      <c r="M49" s="151" t="str">
        <f t="shared" si="1"/>
        <v>/</v>
      </c>
      <c r="N49" s="151" t="str">
        <f t="shared" si="2"/>
        <v/>
      </c>
      <c r="Q49" s="240" t="str">
        <f t="shared" ca="1" si="3"/>
        <v/>
      </c>
    </row>
    <row r="50" spans="4:17" ht="15.75" hidden="1" customHeight="1" outlineLevel="1" x14ac:dyDescent="0.3">
      <c r="D50" s="105">
        <v>42392</v>
      </c>
      <c r="E50" s="101" t="s">
        <v>18</v>
      </c>
      <c r="F50" s="213" t="s">
        <v>49</v>
      </c>
      <c r="G50" s="3" t="s">
        <v>56</v>
      </c>
      <c r="H50" s="3" t="s">
        <v>56</v>
      </c>
      <c r="M50" s="151" t="str">
        <f t="shared" si="1"/>
        <v>/</v>
      </c>
      <c r="N50" s="151" t="str">
        <f t="shared" si="2"/>
        <v/>
      </c>
      <c r="Q50" s="240" t="str">
        <f t="shared" ca="1" si="3"/>
        <v/>
      </c>
    </row>
    <row r="51" spans="4:17" ht="15.75" hidden="1" customHeight="1" outlineLevel="1" x14ac:dyDescent="0.3">
      <c r="D51" s="105">
        <v>42394</v>
      </c>
      <c r="E51" s="101" t="s">
        <v>2</v>
      </c>
      <c r="F51" s="213" t="s">
        <v>50</v>
      </c>
      <c r="G51" s="3" t="s">
        <v>56</v>
      </c>
      <c r="H51" s="3" t="s">
        <v>56</v>
      </c>
      <c r="M51" s="151" t="str">
        <f t="shared" si="1"/>
        <v/>
      </c>
      <c r="N51" s="151" t="str">
        <f t="shared" si="2"/>
        <v>/</v>
      </c>
      <c r="Q51" s="240" t="str">
        <f t="shared" ca="1" si="3"/>
        <v/>
      </c>
    </row>
    <row r="52" spans="4:17" ht="15.75" hidden="1" customHeight="1" outlineLevel="1" x14ac:dyDescent="0.3">
      <c r="D52" s="105">
        <v>42396</v>
      </c>
      <c r="E52" s="101" t="s">
        <v>13</v>
      </c>
      <c r="F52" s="213" t="s">
        <v>49</v>
      </c>
      <c r="G52" s="3" t="s">
        <v>56</v>
      </c>
      <c r="H52" s="3" t="s">
        <v>56</v>
      </c>
      <c r="M52" s="151" t="str">
        <f t="shared" si="1"/>
        <v>/</v>
      </c>
      <c r="N52" s="151" t="str">
        <f t="shared" si="2"/>
        <v/>
      </c>
      <c r="Q52" s="240" t="str">
        <f t="shared" ca="1" si="3"/>
        <v/>
      </c>
    </row>
    <row r="53" spans="4:17" ht="15.75" hidden="1" customHeight="1" outlineLevel="1" x14ac:dyDescent="0.3">
      <c r="D53" s="105">
        <v>42398</v>
      </c>
      <c r="E53" s="101" t="s">
        <v>9</v>
      </c>
      <c r="F53" s="213" t="s">
        <v>49</v>
      </c>
      <c r="G53" s="3" t="s">
        <v>56</v>
      </c>
      <c r="H53" s="3" t="s">
        <v>56</v>
      </c>
      <c r="M53" s="151" t="str">
        <f t="shared" si="1"/>
        <v>/</v>
      </c>
      <c r="N53" s="151" t="str">
        <f t="shared" si="2"/>
        <v/>
      </c>
      <c r="Q53" s="240" t="str">
        <f t="shared" ca="1" si="3"/>
        <v/>
      </c>
    </row>
    <row r="54" spans="4:17" ht="15.75" hidden="1" customHeight="1" outlineLevel="1" x14ac:dyDescent="0.3">
      <c r="D54" s="105">
        <v>42401</v>
      </c>
      <c r="E54" s="101" t="s">
        <v>6</v>
      </c>
      <c r="F54" s="213" t="s">
        <v>50</v>
      </c>
      <c r="G54" s="3" t="s">
        <v>56</v>
      </c>
      <c r="H54" s="3" t="s">
        <v>56</v>
      </c>
      <c r="M54" s="151" t="str">
        <f t="shared" si="1"/>
        <v/>
      </c>
      <c r="N54" s="151" t="str">
        <f t="shared" si="2"/>
        <v>/</v>
      </c>
      <c r="Q54" s="240" t="str">
        <f t="shared" ca="1" si="3"/>
        <v/>
      </c>
    </row>
    <row r="55" spans="4:17" ht="15.75" hidden="1" customHeight="1" outlineLevel="1" x14ac:dyDescent="0.3">
      <c r="D55" s="105">
        <v>42402</v>
      </c>
      <c r="E55" s="101" t="s">
        <v>17</v>
      </c>
      <c r="F55" s="213" t="s">
        <v>50</v>
      </c>
      <c r="G55" s="3" t="s">
        <v>56</v>
      </c>
      <c r="H55" s="3" t="s">
        <v>56</v>
      </c>
      <c r="M55" s="151" t="str">
        <f t="shared" si="1"/>
        <v/>
      </c>
      <c r="N55" s="151" t="str">
        <f t="shared" si="2"/>
        <v>/</v>
      </c>
      <c r="Q55" s="240" t="str">
        <f t="shared" ca="1" si="3"/>
        <v/>
      </c>
    </row>
    <row r="56" spans="4:17" ht="15.75" hidden="1" customHeight="1" outlineLevel="1" x14ac:dyDescent="0.3">
      <c r="D56" s="105">
        <v>42404</v>
      </c>
      <c r="E56" s="101" t="s">
        <v>10</v>
      </c>
      <c r="F56" s="213" t="s">
        <v>49</v>
      </c>
      <c r="G56" s="3" t="s">
        <v>56</v>
      </c>
      <c r="H56" s="3" t="s">
        <v>56</v>
      </c>
      <c r="M56" s="151" t="str">
        <f t="shared" si="1"/>
        <v>/</v>
      </c>
      <c r="N56" s="151" t="str">
        <f t="shared" si="2"/>
        <v/>
      </c>
      <c r="Q56" s="240" t="str">
        <f t="shared" ca="1" si="3"/>
        <v/>
      </c>
    </row>
    <row r="57" spans="4:17" ht="15.75" hidden="1" customHeight="1" outlineLevel="1" x14ac:dyDescent="0.3">
      <c r="D57" s="105">
        <v>42406</v>
      </c>
      <c r="E57" s="101" t="s">
        <v>28</v>
      </c>
      <c r="F57" s="213" t="s">
        <v>49</v>
      </c>
      <c r="G57" s="3" t="s">
        <v>56</v>
      </c>
      <c r="H57" s="3" t="s">
        <v>56</v>
      </c>
      <c r="M57" s="151" t="str">
        <f t="shared" si="1"/>
        <v>/</v>
      </c>
      <c r="N57" s="151" t="str">
        <f t="shared" si="2"/>
        <v/>
      </c>
      <c r="Q57" s="240" t="str">
        <f t="shared" ca="1" si="3"/>
        <v/>
      </c>
    </row>
    <row r="58" spans="4:17" ht="15.75" hidden="1" customHeight="1" outlineLevel="1" x14ac:dyDescent="0.3">
      <c r="D58" s="105">
        <v>42408</v>
      </c>
      <c r="E58" s="101" t="s">
        <v>15</v>
      </c>
      <c r="F58" s="213" t="s">
        <v>49</v>
      </c>
      <c r="G58" s="3" t="s">
        <v>56</v>
      </c>
      <c r="H58" s="3" t="s">
        <v>56</v>
      </c>
      <c r="M58" s="151" t="str">
        <f t="shared" si="1"/>
        <v>/</v>
      </c>
      <c r="N58" s="151" t="str">
        <f t="shared" si="2"/>
        <v/>
      </c>
      <c r="Q58" s="240" t="str">
        <f t="shared" ca="1" si="3"/>
        <v/>
      </c>
    </row>
    <row r="59" spans="4:17" ht="15.75" hidden="1" customHeight="1" outlineLevel="1" x14ac:dyDescent="0.3">
      <c r="D59" s="105">
        <v>42410</v>
      </c>
      <c r="E59" s="101" t="s">
        <v>26</v>
      </c>
      <c r="F59" s="213" t="s">
        <v>50</v>
      </c>
      <c r="G59" s="3" t="s">
        <v>56</v>
      </c>
      <c r="H59" s="3" t="s">
        <v>56</v>
      </c>
      <c r="M59" s="151" t="str">
        <f t="shared" si="1"/>
        <v/>
      </c>
      <c r="N59" s="151" t="str">
        <f t="shared" si="2"/>
        <v>/</v>
      </c>
      <c r="Q59" s="240" t="str">
        <f t="shared" ca="1" si="3"/>
        <v/>
      </c>
    </row>
    <row r="60" spans="4:17" ht="15.75" hidden="1" customHeight="1" outlineLevel="1" x14ac:dyDescent="0.3">
      <c r="D60" s="105">
        <v>42413</v>
      </c>
      <c r="E60" s="101" t="s">
        <v>24</v>
      </c>
      <c r="F60" s="213" t="s">
        <v>50</v>
      </c>
      <c r="G60" s="3" t="s">
        <v>56</v>
      </c>
      <c r="H60" s="3" t="s">
        <v>56</v>
      </c>
      <c r="M60" s="151" t="str">
        <f t="shared" si="1"/>
        <v/>
      </c>
      <c r="N60" s="151" t="str">
        <f t="shared" si="2"/>
        <v>/</v>
      </c>
      <c r="Q60" s="240" t="str">
        <f t="shared" ca="1" si="3"/>
        <v/>
      </c>
    </row>
    <row r="61" spans="4:17" ht="15.75" hidden="1" customHeight="1" outlineLevel="1" x14ac:dyDescent="0.3">
      <c r="D61" s="105">
        <v>42415</v>
      </c>
      <c r="E61" s="101" t="s">
        <v>18</v>
      </c>
      <c r="F61" s="213" t="s">
        <v>50</v>
      </c>
      <c r="G61" s="3" t="s">
        <v>56</v>
      </c>
      <c r="H61" s="3" t="s">
        <v>56</v>
      </c>
      <c r="M61" s="151" t="str">
        <f t="shared" si="1"/>
        <v/>
      </c>
      <c r="N61" s="151" t="str">
        <f t="shared" si="2"/>
        <v>/</v>
      </c>
      <c r="Q61" s="240" t="str">
        <f t="shared" ca="1" si="3"/>
        <v/>
      </c>
    </row>
    <row r="62" spans="4:17" ht="15.75" hidden="1" customHeight="1" outlineLevel="1" x14ac:dyDescent="0.3">
      <c r="D62" s="105">
        <v>42424</v>
      </c>
      <c r="E62" s="101" t="s">
        <v>6</v>
      </c>
      <c r="F62" s="213" t="s">
        <v>49</v>
      </c>
      <c r="G62" s="3" t="s">
        <v>56</v>
      </c>
      <c r="H62" s="3" t="s">
        <v>56</v>
      </c>
      <c r="M62" s="151" t="str">
        <f t="shared" si="1"/>
        <v>/</v>
      </c>
      <c r="N62" s="151" t="str">
        <f t="shared" si="2"/>
        <v/>
      </c>
      <c r="Q62" s="240" t="str">
        <f t="shared" ca="1" si="3"/>
        <v/>
      </c>
    </row>
    <row r="63" spans="4:17" ht="15.75" hidden="1" customHeight="1" outlineLevel="1" x14ac:dyDescent="0.3">
      <c r="D63" s="105">
        <v>42425</v>
      </c>
      <c r="E63" s="101" t="s">
        <v>10</v>
      </c>
      <c r="F63" s="213" t="s">
        <v>50</v>
      </c>
      <c r="G63" s="3" t="s">
        <v>56</v>
      </c>
      <c r="H63" s="3" t="s">
        <v>56</v>
      </c>
      <c r="M63" s="151" t="str">
        <f t="shared" si="1"/>
        <v/>
      </c>
      <c r="N63" s="151" t="str">
        <f t="shared" si="2"/>
        <v>/</v>
      </c>
      <c r="Q63" s="240" t="str">
        <f t="shared" ca="1" si="3"/>
        <v/>
      </c>
    </row>
    <row r="64" spans="4:17" ht="15.75" hidden="1" customHeight="1" outlineLevel="1" x14ac:dyDescent="0.3">
      <c r="D64" s="105">
        <v>42427</v>
      </c>
      <c r="E64" s="101" t="s">
        <v>1</v>
      </c>
      <c r="F64" s="213" t="s">
        <v>50</v>
      </c>
      <c r="G64" s="3" t="s">
        <v>56</v>
      </c>
      <c r="H64" s="3" t="s">
        <v>56</v>
      </c>
      <c r="M64" s="151" t="str">
        <f t="shared" si="1"/>
        <v/>
      </c>
      <c r="N64" s="151" t="str">
        <f t="shared" si="2"/>
        <v>/</v>
      </c>
      <c r="Q64" s="240" t="str">
        <f t="shared" ca="1" si="3"/>
        <v/>
      </c>
    </row>
    <row r="65" spans="4:17" ht="15.75" hidden="1" customHeight="1" outlineLevel="1" x14ac:dyDescent="0.3">
      <c r="D65" s="105">
        <v>42430</v>
      </c>
      <c r="E65" s="101" t="s">
        <v>14</v>
      </c>
      <c r="F65" s="213" t="s">
        <v>49</v>
      </c>
      <c r="G65" s="3" t="s">
        <v>56</v>
      </c>
      <c r="H65" s="3" t="s">
        <v>56</v>
      </c>
      <c r="M65" s="151" t="str">
        <f t="shared" si="1"/>
        <v>/</v>
      </c>
      <c r="N65" s="151" t="str">
        <f t="shared" si="2"/>
        <v/>
      </c>
      <c r="Q65" s="240" t="str">
        <f t="shared" ca="1" si="3"/>
        <v/>
      </c>
    </row>
    <row r="66" spans="4:17" ht="15.75" hidden="1" customHeight="1" outlineLevel="1" x14ac:dyDescent="0.3">
      <c r="D66" s="105">
        <v>42432</v>
      </c>
      <c r="E66" s="101" t="s">
        <v>4</v>
      </c>
      <c r="F66" s="213" t="s">
        <v>49</v>
      </c>
      <c r="G66" s="3" t="s">
        <v>56</v>
      </c>
      <c r="H66" s="3" t="s">
        <v>56</v>
      </c>
      <c r="M66" s="151" t="str">
        <f t="shared" si="1"/>
        <v>/</v>
      </c>
      <c r="N66" s="151" t="str">
        <f t="shared" si="2"/>
        <v/>
      </c>
      <c r="Q66" s="240" t="str">
        <f t="shared" ca="1" si="3"/>
        <v/>
      </c>
    </row>
    <row r="67" spans="4:17" ht="15.75" hidden="1" customHeight="1" outlineLevel="1" x14ac:dyDescent="0.3">
      <c r="D67" s="105">
        <v>42434</v>
      </c>
      <c r="E67" s="101" t="s">
        <v>7</v>
      </c>
      <c r="F67" s="213" t="s">
        <v>49</v>
      </c>
      <c r="G67" s="3" t="s">
        <v>56</v>
      </c>
      <c r="H67" s="3" t="s">
        <v>56</v>
      </c>
      <c r="M67" s="151" t="str">
        <f t="shared" si="1"/>
        <v>/</v>
      </c>
      <c r="N67" s="151" t="str">
        <f t="shared" si="2"/>
        <v/>
      </c>
      <c r="Q67" s="240" t="str">
        <f t="shared" ca="1" si="3"/>
        <v/>
      </c>
    </row>
    <row r="68" spans="4:17" ht="15.75" hidden="1" customHeight="1" outlineLevel="1" x14ac:dyDescent="0.3">
      <c r="D68" s="105">
        <v>42435</v>
      </c>
      <c r="E68" s="101" t="s">
        <v>16</v>
      </c>
      <c r="F68" s="213" t="s">
        <v>49</v>
      </c>
      <c r="G68" s="3" t="s">
        <v>56</v>
      </c>
      <c r="H68" s="3" t="s">
        <v>56</v>
      </c>
      <c r="M68" s="151" t="str">
        <f t="shared" si="1"/>
        <v>/</v>
      </c>
      <c r="N68" s="151" t="str">
        <f t="shared" si="2"/>
        <v/>
      </c>
      <c r="Q68" s="240" t="str">
        <f t="shared" ca="1" si="3"/>
        <v/>
      </c>
    </row>
    <row r="69" spans="4:17" ht="15.75" hidden="1" customHeight="1" outlineLevel="1" x14ac:dyDescent="0.3">
      <c r="D69" s="105">
        <v>42437</v>
      </c>
      <c r="E69" s="101" t="s">
        <v>45</v>
      </c>
      <c r="F69" s="213" t="s">
        <v>49</v>
      </c>
      <c r="G69" s="3" t="s">
        <v>56</v>
      </c>
      <c r="H69" s="3" t="s">
        <v>56</v>
      </c>
      <c r="M69" s="151" t="str">
        <f t="shared" si="1"/>
        <v>/</v>
      </c>
      <c r="N69" s="151" t="str">
        <f t="shared" si="2"/>
        <v/>
      </c>
      <c r="Q69" s="240" t="str">
        <f t="shared" ca="1" si="3"/>
        <v/>
      </c>
    </row>
    <row r="70" spans="4:17" ht="15.75" hidden="1" customHeight="1" outlineLevel="1" x14ac:dyDescent="0.3">
      <c r="D70" s="105">
        <v>42439</v>
      </c>
      <c r="E70" s="101" t="s">
        <v>12</v>
      </c>
      <c r="F70" s="213" t="s">
        <v>49</v>
      </c>
      <c r="G70" s="3" t="s">
        <v>56</v>
      </c>
      <c r="H70" s="3" t="s">
        <v>56</v>
      </c>
      <c r="M70" s="151" t="str">
        <f t="shared" si="1"/>
        <v>/</v>
      </c>
      <c r="N70" s="151" t="str">
        <f t="shared" si="2"/>
        <v/>
      </c>
      <c r="Q70" s="240" t="str">
        <f t="shared" ref="Q70:Q87" ca="1" si="4">IF(D70=TODAY(),1,"")</f>
        <v/>
      </c>
    </row>
    <row r="71" spans="4:17" ht="15.75" hidden="1" customHeight="1" outlineLevel="1" x14ac:dyDescent="0.3">
      <c r="D71" s="105">
        <v>42440</v>
      </c>
      <c r="E71" s="101" t="s">
        <v>20</v>
      </c>
      <c r="F71" s="213" t="s">
        <v>50</v>
      </c>
      <c r="G71" s="3" t="s">
        <v>56</v>
      </c>
      <c r="H71" s="3" t="s">
        <v>56</v>
      </c>
      <c r="M71" s="151" t="str">
        <f t="shared" ref="M71:M134" si="5">IF(F71="D",H71,"")</f>
        <v/>
      </c>
      <c r="N71" s="151" t="str">
        <f t="shared" ref="N71:N134" si="6">IF(F71="E",H71,"")</f>
        <v>/</v>
      </c>
      <c r="Q71" s="240" t="str">
        <f t="shared" ca="1" si="4"/>
        <v/>
      </c>
    </row>
    <row r="72" spans="4:17" ht="15.75" hidden="1" customHeight="1" outlineLevel="1" x14ac:dyDescent="0.3">
      <c r="D72" s="105">
        <v>42442</v>
      </c>
      <c r="E72" s="101" t="s">
        <v>48</v>
      </c>
      <c r="F72" s="213" t="s">
        <v>50</v>
      </c>
      <c r="G72" s="3" t="s">
        <v>56</v>
      </c>
      <c r="H72" s="3" t="s">
        <v>56</v>
      </c>
      <c r="M72" s="151" t="str">
        <f t="shared" si="5"/>
        <v/>
      </c>
      <c r="N72" s="151" t="str">
        <f t="shared" si="6"/>
        <v>/</v>
      </c>
      <c r="Q72" s="240" t="str">
        <f t="shared" ca="1" si="4"/>
        <v/>
      </c>
    </row>
    <row r="73" spans="4:17" ht="15.75" hidden="1" customHeight="1" outlineLevel="1" x14ac:dyDescent="0.3">
      <c r="D73" s="105">
        <v>42445</v>
      </c>
      <c r="E73" s="101" t="s">
        <v>20</v>
      </c>
      <c r="F73" s="213" t="s">
        <v>49</v>
      </c>
      <c r="G73" s="3" t="s">
        <v>56</v>
      </c>
      <c r="H73" s="3" t="s">
        <v>56</v>
      </c>
      <c r="M73" s="151" t="str">
        <f t="shared" si="5"/>
        <v>/</v>
      </c>
      <c r="N73" s="151" t="str">
        <f t="shared" si="6"/>
        <v/>
      </c>
      <c r="Q73" s="240" t="str">
        <f t="shared" ca="1" si="4"/>
        <v/>
      </c>
    </row>
    <row r="74" spans="4:17" ht="15.75" hidden="1" customHeight="1" outlineLevel="1" x14ac:dyDescent="0.3">
      <c r="D74" s="105">
        <v>42447</v>
      </c>
      <c r="E74" s="101" t="s">
        <v>24</v>
      </c>
      <c r="F74" s="213" t="s">
        <v>49</v>
      </c>
      <c r="G74" s="3" t="s">
        <v>56</v>
      </c>
      <c r="H74" s="3" t="s">
        <v>56</v>
      </c>
      <c r="M74" s="151" t="str">
        <f t="shared" si="5"/>
        <v>/</v>
      </c>
      <c r="N74" s="151" t="str">
        <f t="shared" si="6"/>
        <v/>
      </c>
      <c r="Q74" s="240" t="str">
        <f t="shared" ca="1" si="4"/>
        <v/>
      </c>
    </row>
    <row r="75" spans="4:17" ht="15.75" hidden="1" customHeight="1" outlineLevel="1" x14ac:dyDescent="0.3">
      <c r="D75" s="105">
        <v>42449</v>
      </c>
      <c r="E75" s="101" t="s">
        <v>3</v>
      </c>
      <c r="F75" s="213" t="s">
        <v>50</v>
      </c>
      <c r="G75" s="3" t="s">
        <v>56</v>
      </c>
      <c r="H75" s="3" t="s">
        <v>56</v>
      </c>
      <c r="M75" s="151" t="str">
        <f t="shared" si="5"/>
        <v/>
      </c>
      <c r="N75" s="151" t="str">
        <f t="shared" si="6"/>
        <v>/</v>
      </c>
      <c r="Q75" s="240" t="str">
        <f t="shared" ca="1" si="4"/>
        <v/>
      </c>
    </row>
    <row r="76" spans="4:17" ht="15.75" hidden="1" customHeight="1" outlineLevel="1" x14ac:dyDescent="0.3">
      <c r="D76" s="105">
        <v>42451</v>
      </c>
      <c r="E76" s="101" t="s">
        <v>13</v>
      </c>
      <c r="F76" s="213" t="s">
        <v>50</v>
      </c>
      <c r="G76" s="3" t="s">
        <v>56</v>
      </c>
      <c r="H76" s="3" t="s">
        <v>56</v>
      </c>
      <c r="M76" s="151" t="str">
        <f t="shared" si="5"/>
        <v/>
      </c>
      <c r="N76" s="151" t="str">
        <f t="shared" si="6"/>
        <v>/</v>
      </c>
      <c r="Q76" s="240" t="str">
        <f t="shared" ca="1" si="4"/>
        <v/>
      </c>
    </row>
    <row r="77" spans="4:17" ht="15.75" hidden="1" customHeight="1" outlineLevel="1" x14ac:dyDescent="0.3">
      <c r="D77" s="105">
        <v>42453</v>
      </c>
      <c r="E77" s="101" t="s">
        <v>8</v>
      </c>
      <c r="F77" s="213" t="s">
        <v>50</v>
      </c>
      <c r="G77" s="3" t="s">
        <v>56</v>
      </c>
      <c r="H77" s="3" t="s">
        <v>56</v>
      </c>
      <c r="M77" s="151" t="str">
        <f t="shared" si="5"/>
        <v/>
      </c>
      <c r="N77" s="151" t="str">
        <f t="shared" si="6"/>
        <v>/</v>
      </c>
      <c r="Q77" s="240" t="str">
        <f t="shared" ca="1" si="4"/>
        <v/>
      </c>
    </row>
    <row r="78" spans="4:17" ht="15.75" hidden="1" customHeight="1" outlineLevel="1" x14ac:dyDescent="0.3">
      <c r="D78" s="105">
        <v>42455</v>
      </c>
      <c r="E78" s="101" t="s">
        <v>45</v>
      </c>
      <c r="F78" s="213" t="s">
        <v>49</v>
      </c>
      <c r="G78" s="3" t="s">
        <v>56</v>
      </c>
      <c r="H78" s="3" t="s">
        <v>56</v>
      </c>
      <c r="M78" s="151" t="str">
        <f t="shared" si="5"/>
        <v>/</v>
      </c>
      <c r="N78" s="151" t="str">
        <f t="shared" si="6"/>
        <v/>
      </c>
      <c r="Q78" s="240" t="str">
        <f t="shared" ca="1" si="4"/>
        <v/>
      </c>
    </row>
    <row r="79" spans="4:17" ht="15.75" hidden="1" customHeight="1" outlineLevel="1" x14ac:dyDescent="0.3">
      <c r="D79" s="105">
        <v>42457</v>
      </c>
      <c r="E79" s="101" t="s">
        <v>25</v>
      </c>
      <c r="F79" s="213" t="s">
        <v>49</v>
      </c>
      <c r="G79" s="3" t="s">
        <v>56</v>
      </c>
      <c r="H79" s="3" t="s">
        <v>56</v>
      </c>
      <c r="M79" s="151" t="str">
        <f t="shared" si="5"/>
        <v>/</v>
      </c>
      <c r="N79" s="151" t="str">
        <f t="shared" si="6"/>
        <v/>
      </c>
      <c r="Q79" s="240" t="str">
        <f t="shared" ca="1" si="4"/>
        <v/>
      </c>
    </row>
    <row r="80" spans="4:17" ht="15.75" hidden="1" customHeight="1" outlineLevel="1" x14ac:dyDescent="0.3">
      <c r="D80" s="105">
        <v>42458</v>
      </c>
      <c r="E80" s="101" t="s">
        <v>11</v>
      </c>
      <c r="F80" s="213" t="s">
        <v>50</v>
      </c>
      <c r="G80" s="3" t="s">
        <v>56</v>
      </c>
      <c r="H80" s="3" t="s">
        <v>56</v>
      </c>
      <c r="M80" s="151" t="str">
        <f t="shared" si="5"/>
        <v/>
      </c>
      <c r="N80" s="151" t="str">
        <f t="shared" si="6"/>
        <v>/</v>
      </c>
      <c r="Q80" s="240" t="str">
        <f t="shared" ca="1" si="4"/>
        <v/>
      </c>
    </row>
    <row r="81" spans="2:17" ht="15.75" hidden="1" customHeight="1" outlineLevel="1" x14ac:dyDescent="0.3">
      <c r="D81" s="105">
        <v>42461</v>
      </c>
      <c r="E81" s="101" t="s">
        <v>2</v>
      </c>
      <c r="F81" s="213" t="s">
        <v>50</v>
      </c>
      <c r="G81" s="3" t="s">
        <v>56</v>
      </c>
      <c r="H81" s="3" t="s">
        <v>56</v>
      </c>
      <c r="M81" s="151" t="str">
        <f t="shared" si="5"/>
        <v/>
      </c>
      <c r="N81" s="151" t="str">
        <f t="shared" si="6"/>
        <v>/</v>
      </c>
      <c r="Q81" s="240" t="str">
        <f t="shared" ca="1" si="4"/>
        <v/>
      </c>
    </row>
    <row r="82" spans="2:17" ht="15.75" hidden="1" customHeight="1" outlineLevel="1" x14ac:dyDescent="0.3">
      <c r="D82" s="105">
        <v>42462</v>
      </c>
      <c r="E82" s="101" t="s">
        <v>45</v>
      </c>
      <c r="F82" s="213" t="s">
        <v>50</v>
      </c>
      <c r="G82" s="3" t="s">
        <v>56</v>
      </c>
      <c r="H82" s="3" t="s">
        <v>56</v>
      </c>
      <c r="M82" s="151" t="str">
        <f t="shared" si="5"/>
        <v/>
      </c>
      <c r="N82" s="151" t="str">
        <f t="shared" si="6"/>
        <v>/</v>
      </c>
      <c r="Q82" s="240" t="str">
        <f t="shared" ca="1" si="4"/>
        <v/>
      </c>
    </row>
    <row r="83" spans="2:17" ht="15.75" hidden="1" customHeight="1" outlineLevel="1" x14ac:dyDescent="0.3">
      <c r="D83" s="105">
        <v>42466</v>
      </c>
      <c r="E83" s="101" t="s">
        <v>1</v>
      </c>
      <c r="F83" s="213" t="s">
        <v>49</v>
      </c>
      <c r="G83" s="3" t="s">
        <v>56</v>
      </c>
      <c r="H83" s="3" t="s">
        <v>56</v>
      </c>
      <c r="M83" s="151" t="str">
        <f t="shared" si="5"/>
        <v>/</v>
      </c>
      <c r="N83" s="151" t="str">
        <f t="shared" si="6"/>
        <v/>
      </c>
      <c r="Q83" s="240" t="str">
        <f t="shared" ca="1" si="4"/>
        <v/>
      </c>
    </row>
    <row r="84" spans="2:17" ht="15.75" hidden="1" customHeight="1" outlineLevel="1" x14ac:dyDescent="0.3">
      <c r="D84" s="105">
        <v>42467</v>
      </c>
      <c r="E84" s="101" t="s">
        <v>4</v>
      </c>
      <c r="F84" s="213" t="s">
        <v>50</v>
      </c>
      <c r="G84" s="3" t="s">
        <v>56</v>
      </c>
      <c r="H84" s="3" t="s">
        <v>56</v>
      </c>
      <c r="M84" s="151" t="str">
        <f t="shared" si="5"/>
        <v/>
      </c>
      <c r="N84" s="151" t="str">
        <f t="shared" si="6"/>
        <v>/</v>
      </c>
      <c r="Q84" s="240" t="str">
        <f t="shared" ca="1" si="4"/>
        <v/>
      </c>
    </row>
    <row r="85" spans="2:17" ht="15.75" hidden="1" customHeight="1" outlineLevel="1" x14ac:dyDescent="0.3">
      <c r="D85" s="105">
        <v>42469</v>
      </c>
      <c r="E85" s="101" t="s">
        <v>4</v>
      </c>
      <c r="F85" s="213" t="s">
        <v>49</v>
      </c>
      <c r="G85" s="3" t="s">
        <v>56</v>
      </c>
      <c r="H85" s="3" t="s">
        <v>56</v>
      </c>
      <c r="M85" s="151" t="str">
        <f t="shared" si="5"/>
        <v>/</v>
      </c>
      <c r="N85" s="151" t="str">
        <f t="shared" si="6"/>
        <v/>
      </c>
      <c r="Q85" s="240" t="str">
        <f t="shared" ca="1" si="4"/>
        <v/>
      </c>
    </row>
    <row r="86" spans="2:17" ht="15.75" hidden="1" customHeight="1" outlineLevel="1" x14ac:dyDescent="0.3">
      <c r="D86" s="105">
        <v>42471</v>
      </c>
      <c r="E86" s="101" t="s">
        <v>3</v>
      </c>
      <c r="F86" s="213" t="s">
        <v>49</v>
      </c>
      <c r="G86" s="3" t="s">
        <v>56</v>
      </c>
      <c r="H86" s="3" t="s">
        <v>56</v>
      </c>
      <c r="M86" s="151" t="str">
        <f t="shared" si="5"/>
        <v>/</v>
      </c>
      <c r="N86" s="151" t="str">
        <f t="shared" si="6"/>
        <v/>
      </c>
      <c r="Q86" s="240" t="str">
        <f t="shared" ca="1" si="4"/>
        <v/>
      </c>
    </row>
    <row r="87" spans="2:17" ht="15.75" hidden="1" customHeight="1" outlineLevel="1" x14ac:dyDescent="0.3">
      <c r="D87" s="105">
        <v>42472</v>
      </c>
      <c r="E87" s="102" t="s">
        <v>7</v>
      </c>
      <c r="F87" s="214" t="s">
        <v>50</v>
      </c>
      <c r="G87" s="3" t="s">
        <v>56</v>
      </c>
      <c r="H87" s="3" t="s">
        <v>56</v>
      </c>
      <c r="M87" s="151" t="str">
        <f t="shared" si="5"/>
        <v/>
      </c>
      <c r="N87" s="151" t="str">
        <f t="shared" si="6"/>
        <v>/</v>
      </c>
      <c r="Q87" s="240" t="str">
        <f t="shared" ca="1" si="4"/>
        <v/>
      </c>
    </row>
    <row r="88" spans="2:17" collapsed="1" x14ac:dyDescent="0.25">
      <c r="B88" s="404" t="e">
        <f ca="1">"- "&amp;INDEX(E89:E170,MATCH(TODAY(),D89:D170,0))</f>
        <v>#N/A</v>
      </c>
      <c r="C88" s="404"/>
      <c r="D88" s="406" t="s">
        <v>1</v>
      </c>
      <c r="E88" s="407"/>
      <c r="F88" s="408"/>
      <c r="H88" s="3"/>
    </row>
    <row r="89" spans="2:17" ht="16.5" hidden="1" customHeight="1" outlineLevel="1" x14ac:dyDescent="0.25">
      <c r="D89" s="108">
        <v>42669</v>
      </c>
      <c r="E89" s="103" t="s">
        <v>45</v>
      </c>
      <c r="F89" s="212" t="s">
        <v>49</v>
      </c>
      <c r="G89" s="3">
        <v>1</v>
      </c>
      <c r="H89" s="3">
        <v>122</v>
      </c>
      <c r="I89" s="263">
        <v>34</v>
      </c>
      <c r="J89" s="263">
        <v>65</v>
      </c>
      <c r="K89" s="263">
        <v>83</v>
      </c>
      <c r="L89" s="263">
        <v>48</v>
      </c>
      <c r="M89" s="151">
        <f t="shared" si="5"/>
        <v>122</v>
      </c>
      <c r="N89" s="151" t="str">
        <f t="shared" si="6"/>
        <v/>
      </c>
      <c r="O89" s="151">
        <v>117</v>
      </c>
      <c r="Q89" s="239" t="str">
        <f t="shared" ref="Q89:Q120" ca="1" si="7">IF(D89=TODAY(),1,"")</f>
        <v/>
      </c>
    </row>
    <row r="90" spans="2:17" ht="15.75" hidden="1" customHeight="1" outlineLevel="1" x14ac:dyDescent="0.25">
      <c r="D90" s="108">
        <v>42670</v>
      </c>
      <c r="E90" s="101" t="s">
        <v>2</v>
      </c>
      <c r="F90" s="213" t="s">
        <v>50</v>
      </c>
      <c r="G90" s="3">
        <v>0</v>
      </c>
      <c r="H90" s="3">
        <v>99</v>
      </c>
      <c r="I90" s="263">
        <v>35</v>
      </c>
      <c r="J90" s="263">
        <v>57</v>
      </c>
      <c r="K90" s="263">
        <v>63</v>
      </c>
      <c r="L90" s="263">
        <v>50</v>
      </c>
      <c r="M90" s="151" t="str">
        <f t="shared" si="5"/>
        <v/>
      </c>
      <c r="N90" s="151">
        <f t="shared" si="6"/>
        <v>99</v>
      </c>
      <c r="P90" s="151">
        <v>105</v>
      </c>
      <c r="Q90" s="239" t="str">
        <f t="shared" ca="1" si="7"/>
        <v/>
      </c>
    </row>
    <row r="91" spans="2:17" ht="15.75" hidden="1" customHeight="1" outlineLevel="1" x14ac:dyDescent="0.25">
      <c r="D91" s="108">
        <v>42672</v>
      </c>
      <c r="E91" s="101" t="s">
        <v>3</v>
      </c>
      <c r="F91" s="213" t="s">
        <v>50</v>
      </c>
      <c r="G91" s="3" t="s">
        <v>56</v>
      </c>
      <c r="H91" s="3" t="s">
        <v>56</v>
      </c>
      <c r="I91" s="263"/>
      <c r="J91" s="263"/>
      <c r="K91" s="263"/>
      <c r="L91" s="263"/>
      <c r="M91" s="151" t="str">
        <f t="shared" si="5"/>
        <v/>
      </c>
      <c r="N91" s="151" t="str">
        <f t="shared" si="6"/>
        <v>/</v>
      </c>
      <c r="Q91" s="239" t="str">
        <f t="shared" ca="1" si="7"/>
        <v/>
      </c>
    </row>
    <row r="92" spans="2:17" ht="15.75" hidden="1" customHeight="1" outlineLevel="1" x14ac:dyDescent="0.25">
      <c r="D92" s="108">
        <v>42676</v>
      </c>
      <c r="E92" s="101" t="s">
        <v>2</v>
      </c>
      <c r="F92" s="213" t="s">
        <v>49</v>
      </c>
      <c r="G92" s="3" t="s">
        <v>56</v>
      </c>
      <c r="H92" s="3" t="s">
        <v>56</v>
      </c>
      <c r="I92" s="263"/>
      <c r="J92" s="263"/>
      <c r="K92" s="263"/>
      <c r="L92" s="263"/>
      <c r="M92" s="151" t="str">
        <f t="shared" si="5"/>
        <v>/</v>
      </c>
      <c r="N92" s="151" t="str">
        <f t="shared" si="6"/>
        <v/>
      </c>
      <c r="Q92" s="239" t="str">
        <f t="shared" ca="1" si="7"/>
        <v/>
      </c>
    </row>
    <row r="93" spans="2:17" ht="15.75" hidden="1" customHeight="1" outlineLevel="1" x14ac:dyDescent="0.25">
      <c r="D93" s="108">
        <v>42677</v>
      </c>
      <c r="E93" s="101" t="s">
        <v>4</v>
      </c>
      <c r="F93" s="213" t="s">
        <v>50</v>
      </c>
      <c r="G93" s="3" t="s">
        <v>56</v>
      </c>
      <c r="H93" s="3" t="s">
        <v>56</v>
      </c>
      <c r="I93" s="263"/>
      <c r="J93" s="263"/>
      <c r="K93" s="263"/>
      <c r="L93" s="263"/>
      <c r="M93" s="151" t="str">
        <f t="shared" si="5"/>
        <v/>
      </c>
      <c r="N93" s="151" t="str">
        <f t="shared" si="6"/>
        <v>/</v>
      </c>
      <c r="Q93" s="239" t="str">
        <f t="shared" ca="1" si="7"/>
        <v/>
      </c>
    </row>
    <row r="94" spans="2:17" ht="15.75" hidden="1" customHeight="1" outlineLevel="1" x14ac:dyDescent="0.25">
      <c r="D94" s="108">
        <v>42680</v>
      </c>
      <c r="E94" s="101" t="s">
        <v>15</v>
      </c>
      <c r="F94" s="213" t="s">
        <v>49</v>
      </c>
      <c r="G94" s="3" t="s">
        <v>56</v>
      </c>
      <c r="H94" s="3" t="s">
        <v>56</v>
      </c>
      <c r="I94" s="263"/>
      <c r="J94" s="263"/>
      <c r="K94" s="263"/>
      <c r="L94" s="263"/>
      <c r="M94" s="151" t="str">
        <f t="shared" si="5"/>
        <v>/</v>
      </c>
      <c r="N94" s="151" t="str">
        <f t="shared" si="6"/>
        <v/>
      </c>
      <c r="Q94" s="239" t="str">
        <f t="shared" ca="1" si="7"/>
        <v/>
      </c>
    </row>
    <row r="95" spans="2:17" ht="15.75" hidden="1" customHeight="1" outlineLevel="1" x14ac:dyDescent="0.25">
      <c r="D95" s="108">
        <v>42683</v>
      </c>
      <c r="E95" s="101" t="s">
        <v>13</v>
      </c>
      <c r="F95" s="213" t="s">
        <v>50</v>
      </c>
      <c r="G95" s="3" t="s">
        <v>56</v>
      </c>
      <c r="H95" s="3" t="s">
        <v>56</v>
      </c>
      <c r="M95" s="151" t="str">
        <f t="shared" si="5"/>
        <v/>
      </c>
      <c r="N95" s="151" t="str">
        <f t="shared" si="6"/>
        <v>/</v>
      </c>
      <c r="Q95" s="239" t="str">
        <f t="shared" ca="1" si="7"/>
        <v/>
      </c>
    </row>
    <row r="96" spans="2:17" ht="15.75" hidden="1" customHeight="1" outlineLevel="1" x14ac:dyDescent="0.25">
      <c r="D96" s="108">
        <v>42685</v>
      </c>
      <c r="E96" s="101" t="s">
        <v>9</v>
      </c>
      <c r="F96" s="213" t="s">
        <v>49</v>
      </c>
      <c r="G96" s="3" t="s">
        <v>56</v>
      </c>
      <c r="H96" s="3" t="s">
        <v>56</v>
      </c>
      <c r="M96" s="151" t="str">
        <f t="shared" si="5"/>
        <v>/</v>
      </c>
      <c r="N96" s="151" t="str">
        <f t="shared" si="6"/>
        <v/>
      </c>
      <c r="Q96" s="239" t="str">
        <f t="shared" ca="1" si="7"/>
        <v/>
      </c>
    </row>
    <row r="97" spans="4:17" ht="15.75" hidden="1" customHeight="1" outlineLevel="1" x14ac:dyDescent="0.25">
      <c r="D97" s="108">
        <v>42686</v>
      </c>
      <c r="E97" s="101" t="s">
        <v>7</v>
      </c>
      <c r="F97" s="213" t="s">
        <v>50</v>
      </c>
      <c r="G97" s="3" t="s">
        <v>56</v>
      </c>
      <c r="H97" s="3" t="s">
        <v>56</v>
      </c>
      <c r="M97" s="151" t="str">
        <f t="shared" si="5"/>
        <v/>
      </c>
      <c r="N97" s="151" t="str">
        <f t="shared" si="6"/>
        <v>/</v>
      </c>
      <c r="Q97" s="239" t="str">
        <f t="shared" ca="1" si="7"/>
        <v/>
      </c>
    </row>
    <row r="98" spans="4:17" ht="15.75" hidden="1" customHeight="1" outlineLevel="1" x14ac:dyDescent="0.25">
      <c r="D98" s="108">
        <v>42688</v>
      </c>
      <c r="E98" s="101" t="s">
        <v>22</v>
      </c>
      <c r="F98" s="213" t="s">
        <v>50</v>
      </c>
      <c r="G98" s="3" t="s">
        <v>56</v>
      </c>
      <c r="H98" s="3" t="s">
        <v>56</v>
      </c>
      <c r="M98" s="151" t="str">
        <f t="shared" si="5"/>
        <v/>
      </c>
      <c r="N98" s="151" t="str">
        <f t="shared" si="6"/>
        <v>/</v>
      </c>
      <c r="Q98" s="239" t="str">
        <f t="shared" ca="1" si="7"/>
        <v/>
      </c>
    </row>
    <row r="99" spans="4:17" ht="15.75" hidden="1" customHeight="1" outlineLevel="1" x14ac:dyDescent="0.25">
      <c r="D99" s="108">
        <v>42690</v>
      </c>
      <c r="E99" s="101" t="s">
        <v>14</v>
      </c>
      <c r="F99" s="213" t="s">
        <v>49</v>
      </c>
      <c r="G99" s="3" t="s">
        <v>56</v>
      </c>
      <c r="H99" s="3" t="s">
        <v>56</v>
      </c>
      <c r="M99" s="151" t="str">
        <f t="shared" si="5"/>
        <v>/</v>
      </c>
      <c r="N99" s="151" t="str">
        <f t="shared" si="6"/>
        <v/>
      </c>
      <c r="Q99" s="239" t="str">
        <f t="shared" ca="1" si="7"/>
        <v/>
      </c>
    </row>
    <row r="100" spans="4:17" ht="15.75" hidden="1" customHeight="1" outlineLevel="1" x14ac:dyDescent="0.25">
      <c r="D100" s="108">
        <v>42692</v>
      </c>
      <c r="E100" s="101" t="s">
        <v>16</v>
      </c>
      <c r="F100" s="213" t="s">
        <v>49</v>
      </c>
      <c r="G100" s="3" t="s">
        <v>56</v>
      </c>
      <c r="H100" s="3" t="s">
        <v>56</v>
      </c>
      <c r="M100" s="151" t="str">
        <f t="shared" si="5"/>
        <v>/</v>
      </c>
      <c r="N100" s="151" t="str">
        <f t="shared" si="6"/>
        <v/>
      </c>
      <c r="Q100" s="239" t="str">
        <f t="shared" ca="1" si="7"/>
        <v/>
      </c>
    </row>
    <row r="101" spans="4:17" ht="15.75" hidden="1" customHeight="1" outlineLevel="1" x14ac:dyDescent="0.25">
      <c r="D101" s="108">
        <v>42693</v>
      </c>
      <c r="E101" s="101" t="s">
        <v>5</v>
      </c>
      <c r="F101" s="213" t="s">
        <v>50</v>
      </c>
      <c r="G101" s="3" t="s">
        <v>56</v>
      </c>
      <c r="H101" s="3" t="s">
        <v>56</v>
      </c>
      <c r="M101" s="151" t="str">
        <f t="shared" si="5"/>
        <v/>
      </c>
      <c r="N101" s="151" t="str">
        <f t="shared" si="6"/>
        <v>/</v>
      </c>
      <c r="Q101" s="239" t="str">
        <f t="shared" ca="1" si="7"/>
        <v/>
      </c>
    </row>
    <row r="102" spans="4:17" ht="15.75" hidden="1" customHeight="1" outlineLevel="1" x14ac:dyDescent="0.25">
      <c r="D102" s="108">
        <v>42695</v>
      </c>
      <c r="E102" s="101" t="s">
        <v>21</v>
      </c>
      <c r="F102" s="213" t="s">
        <v>50</v>
      </c>
      <c r="G102" s="3" t="s">
        <v>56</v>
      </c>
      <c r="H102" s="3" t="s">
        <v>56</v>
      </c>
      <c r="M102" s="151" t="str">
        <f t="shared" si="5"/>
        <v/>
      </c>
      <c r="N102" s="151" t="str">
        <f t="shared" si="6"/>
        <v>/</v>
      </c>
      <c r="Q102" s="239" t="str">
        <f t="shared" ca="1" si="7"/>
        <v/>
      </c>
    </row>
    <row r="103" spans="4:17" ht="15.75" hidden="1" customHeight="1" outlineLevel="1" x14ac:dyDescent="0.25">
      <c r="D103" s="108">
        <v>42697</v>
      </c>
      <c r="E103" s="101" t="s">
        <v>45</v>
      </c>
      <c r="F103" s="213" t="s">
        <v>50</v>
      </c>
      <c r="G103" s="3" t="s">
        <v>56</v>
      </c>
      <c r="H103" s="3" t="s">
        <v>56</v>
      </c>
      <c r="M103" s="151" t="str">
        <f t="shared" si="5"/>
        <v/>
      </c>
      <c r="N103" s="151" t="str">
        <f t="shared" si="6"/>
        <v>/</v>
      </c>
      <c r="Q103" s="239" t="str">
        <f t="shared" ca="1" si="7"/>
        <v/>
      </c>
    </row>
    <row r="104" spans="4:17" ht="15.75" hidden="1" customHeight="1" outlineLevel="1" x14ac:dyDescent="0.25">
      <c r="D104" s="108">
        <v>42699</v>
      </c>
      <c r="E104" s="101" t="s">
        <v>47</v>
      </c>
      <c r="F104" s="213" t="s">
        <v>49</v>
      </c>
      <c r="G104" s="3" t="s">
        <v>56</v>
      </c>
      <c r="H104" s="3" t="s">
        <v>56</v>
      </c>
      <c r="M104" s="151" t="str">
        <f t="shared" si="5"/>
        <v>/</v>
      </c>
      <c r="N104" s="151" t="str">
        <f t="shared" si="6"/>
        <v/>
      </c>
      <c r="Q104" s="239" t="str">
        <f t="shared" ca="1" si="7"/>
        <v/>
      </c>
    </row>
    <row r="105" spans="4:17" ht="15.75" hidden="1" customHeight="1" outlineLevel="1" x14ac:dyDescent="0.25">
      <c r="D105" s="108">
        <v>42702</v>
      </c>
      <c r="E105" s="101" t="s">
        <v>6</v>
      </c>
      <c r="F105" s="213" t="s">
        <v>50</v>
      </c>
      <c r="G105" s="3" t="s">
        <v>56</v>
      </c>
      <c r="H105" s="3" t="s">
        <v>56</v>
      </c>
      <c r="M105" s="151" t="str">
        <f t="shared" si="5"/>
        <v/>
      </c>
      <c r="N105" s="151" t="str">
        <f t="shared" si="6"/>
        <v>/</v>
      </c>
      <c r="Q105" s="239" t="str">
        <f t="shared" ca="1" si="7"/>
        <v/>
      </c>
    </row>
    <row r="106" spans="4:17" ht="15.75" hidden="1" customHeight="1" outlineLevel="1" x14ac:dyDescent="0.25">
      <c r="D106" s="108">
        <v>42704</v>
      </c>
      <c r="E106" s="101" t="s">
        <v>5</v>
      </c>
      <c r="F106" s="213" t="s">
        <v>49</v>
      </c>
      <c r="G106" s="3" t="s">
        <v>56</v>
      </c>
      <c r="H106" s="3" t="s">
        <v>56</v>
      </c>
      <c r="M106" s="151" t="str">
        <f t="shared" si="5"/>
        <v>/</v>
      </c>
      <c r="N106" s="151" t="str">
        <f t="shared" si="6"/>
        <v/>
      </c>
      <c r="Q106" s="239" t="str">
        <f t="shared" ca="1" si="7"/>
        <v/>
      </c>
    </row>
    <row r="107" spans="4:17" ht="15.75" hidden="1" customHeight="1" outlineLevel="1" x14ac:dyDescent="0.25">
      <c r="D107" s="108">
        <v>42706</v>
      </c>
      <c r="E107" s="101" t="s">
        <v>26</v>
      </c>
      <c r="F107" s="213" t="s">
        <v>49</v>
      </c>
      <c r="G107" s="3" t="s">
        <v>56</v>
      </c>
      <c r="H107" s="3" t="s">
        <v>56</v>
      </c>
      <c r="M107" s="151" t="str">
        <f t="shared" si="5"/>
        <v>/</v>
      </c>
      <c r="N107" s="151" t="str">
        <f t="shared" si="6"/>
        <v/>
      </c>
      <c r="Q107" s="239" t="str">
        <f t="shared" ca="1" si="7"/>
        <v/>
      </c>
    </row>
    <row r="108" spans="4:17" ht="15.75" hidden="1" customHeight="1" outlineLevel="1" x14ac:dyDescent="0.25">
      <c r="D108" s="108">
        <v>42707</v>
      </c>
      <c r="E108" s="101" t="s">
        <v>11</v>
      </c>
      <c r="F108" s="213" t="s">
        <v>50</v>
      </c>
      <c r="G108" s="3" t="s">
        <v>56</v>
      </c>
      <c r="H108" s="3" t="s">
        <v>56</v>
      </c>
      <c r="M108" s="151" t="str">
        <f t="shared" si="5"/>
        <v/>
      </c>
      <c r="N108" s="151" t="str">
        <f t="shared" si="6"/>
        <v>/</v>
      </c>
      <c r="Q108" s="239" t="str">
        <f t="shared" ca="1" si="7"/>
        <v/>
      </c>
    </row>
    <row r="109" spans="4:17" ht="15.75" hidden="1" customHeight="1" outlineLevel="1" x14ac:dyDescent="0.25">
      <c r="D109" s="108">
        <v>42709</v>
      </c>
      <c r="E109" s="101" t="s">
        <v>17</v>
      </c>
      <c r="F109" s="213" t="s">
        <v>50</v>
      </c>
      <c r="G109" s="3" t="s">
        <v>56</v>
      </c>
      <c r="H109" s="3" t="s">
        <v>56</v>
      </c>
      <c r="M109" s="151" t="str">
        <f t="shared" si="5"/>
        <v/>
      </c>
      <c r="N109" s="151" t="str">
        <f t="shared" si="6"/>
        <v>/</v>
      </c>
      <c r="Q109" s="239" t="str">
        <f t="shared" ca="1" si="7"/>
        <v/>
      </c>
    </row>
    <row r="110" spans="4:17" ht="15.75" hidden="1" customHeight="1" outlineLevel="1" x14ac:dyDescent="0.25">
      <c r="D110" s="108">
        <v>42711</v>
      </c>
      <c r="E110" s="101" t="s">
        <v>10</v>
      </c>
      <c r="F110" s="213" t="s">
        <v>50</v>
      </c>
      <c r="G110" s="3" t="s">
        <v>56</v>
      </c>
      <c r="H110" s="3" t="s">
        <v>56</v>
      </c>
      <c r="M110" s="151" t="str">
        <f t="shared" si="5"/>
        <v/>
      </c>
      <c r="N110" s="151" t="str">
        <f t="shared" si="6"/>
        <v>/</v>
      </c>
      <c r="Q110" s="239" t="str">
        <f t="shared" ca="1" si="7"/>
        <v/>
      </c>
    </row>
    <row r="111" spans="4:17" ht="15.75" hidden="1" customHeight="1" outlineLevel="1" x14ac:dyDescent="0.25">
      <c r="D111" s="108">
        <v>42713</v>
      </c>
      <c r="E111" s="101" t="s">
        <v>12</v>
      </c>
      <c r="F111" s="213" t="s">
        <v>49</v>
      </c>
      <c r="G111" s="3" t="s">
        <v>56</v>
      </c>
      <c r="H111" s="3" t="s">
        <v>56</v>
      </c>
      <c r="M111" s="151" t="str">
        <f t="shared" si="5"/>
        <v>/</v>
      </c>
      <c r="N111" s="151" t="str">
        <f t="shared" si="6"/>
        <v/>
      </c>
      <c r="Q111" s="239" t="str">
        <f t="shared" ca="1" si="7"/>
        <v/>
      </c>
    </row>
    <row r="112" spans="4:17" ht="15.75" hidden="1" customHeight="1" outlineLevel="1" x14ac:dyDescent="0.25">
      <c r="D112" s="108">
        <v>42715</v>
      </c>
      <c r="E112" s="101" t="s">
        <v>23</v>
      </c>
      <c r="F112" s="213" t="s">
        <v>50</v>
      </c>
      <c r="G112" s="3" t="s">
        <v>56</v>
      </c>
      <c r="H112" s="3" t="s">
        <v>56</v>
      </c>
      <c r="M112" s="151" t="str">
        <f t="shared" si="5"/>
        <v/>
      </c>
      <c r="N112" s="151" t="str">
        <f t="shared" si="6"/>
        <v>/</v>
      </c>
      <c r="Q112" s="239" t="str">
        <f t="shared" ca="1" si="7"/>
        <v/>
      </c>
    </row>
    <row r="113" spans="4:17" ht="15.75" hidden="1" customHeight="1" outlineLevel="1" x14ac:dyDescent="0.25">
      <c r="D113" s="108">
        <v>42718</v>
      </c>
      <c r="E113" s="101" t="s">
        <v>48</v>
      </c>
      <c r="F113" s="213" t="s">
        <v>50</v>
      </c>
      <c r="G113" s="3" t="s">
        <v>56</v>
      </c>
      <c r="H113" s="3" t="s">
        <v>56</v>
      </c>
      <c r="M113" s="151" t="str">
        <f t="shared" si="5"/>
        <v/>
      </c>
      <c r="N113" s="151" t="str">
        <f t="shared" si="6"/>
        <v>/</v>
      </c>
      <c r="Q113" s="239" t="str">
        <f t="shared" ca="1" si="7"/>
        <v/>
      </c>
    </row>
    <row r="114" spans="4:17" ht="15.75" hidden="1" customHeight="1" outlineLevel="1" x14ac:dyDescent="0.25">
      <c r="D114" s="108">
        <v>42720</v>
      </c>
      <c r="E114" s="101" t="s">
        <v>3</v>
      </c>
      <c r="F114" s="213" t="s">
        <v>49</v>
      </c>
      <c r="G114" s="3" t="s">
        <v>56</v>
      </c>
      <c r="H114" s="3" t="s">
        <v>56</v>
      </c>
      <c r="M114" s="151" t="str">
        <f t="shared" si="5"/>
        <v>/</v>
      </c>
      <c r="N114" s="151" t="str">
        <f t="shared" si="6"/>
        <v/>
      </c>
      <c r="Q114" s="239" t="str">
        <f t="shared" ca="1" si="7"/>
        <v/>
      </c>
    </row>
    <row r="115" spans="4:17" ht="15.75" hidden="1" customHeight="1" outlineLevel="1" x14ac:dyDescent="0.25">
      <c r="D115" s="108">
        <v>42722</v>
      </c>
      <c r="E115" s="101" t="s">
        <v>6</v>
      </c>
      <c r="F115" s="213" t="s">
        <v>50</v>
      </c>
      <c r="G115" s="3" t="s">
        <v>56</v>
      </c>
      <c r="H115" s="3" t="s">
        <v>56</v>
      </c>
      <c r="M115" s="151" t="str">
        <f t="shared" si="5"/>
        <v/>
      </c>
      <c r="N115" s="151" t="str">
        <f t="shared" si="6"/>
        <v>/</v>
      </c>
      <c r="Q115" s="239" t="str">
        <f t="shared" ca="1" si="7"/>
        <v/>
      </c>
    </row>
    <row r="116" spans="4:17" ht="15.75" hidden="1" customHeight="1" outlineLevel="1" x14ac:dyDescent="0.25">
      <c r="D116" s="108">
        <v>42724</v>
      </c>
      <c r="E116" s="101" t="s">
        <v>20</v>
      </c>
      <c r="F116" s="213" t="s">
        <v>50</v>
      </c>
      <c r="G116" s="3" t="s">
        <v>56</v>
      </c>
      <c r="H116" s="3" t="s">
        <v>56</v>
      </c>
      <c r="M116" s="151" t="str">
        <f t="shared" si="5"/>
        <v/>
      </c>
      <c r="N116" s="151" t="str">
        <f t="shared" si="6"/>
        <v>/</v>
      </c>
      <c r="Q116" s="239" t="str">
        <f t="shared" ca="1" si="7"/>
        <v/>
      </c>
    </row>
    <row r="117" spans="4:17" ht="15.75" hidden="1" customHeight="1" outlineLevel="1" x14ac:dyDescent="0.25">
      <c r="D117" s="108">
        <v>42726</v>
      </c>
      <c r="E117" s="101" t="s">
        <v>7</v>
      </c>
      <c r="F117" s="213" t="s">
        <v>50</v>
      </c>
      <c r="G117" s="3" t="s">
        <v>56</v>
      </c>
      <c r="H117" s="3" t="s">
        <v>56</v>
      </c>
      <c r="M117" s="151" t="str">
        <f t="shared" si="5"/>
        <v/>
      </c>
      <c r="N117" s="151" t="str">
        <f t="shared" si="6"/>
        <v>/</v>
      </c>
      <c r="Q117" s="239" t="str">
        <f t="shared" ca="1" si="7"/>
        <v/>
      </c>
    </row>
    <row r="118" spans="4:17" ht="15.75" hidden="1" customHeight="1" outlineLevel="1" x14ac:dyDescent="0.25">
      <c r="D118" s="108">
        <v>42727</v>
      </c>
      <c r="E118" s="101" t="s">
        <v>23</v>
      </c>
      <c r="F118" s="213" t="s">
        <v>49</v>
      </c>
      <c r="G118" s="3" t="s">
        <v>56</v>
      </c>
      <c r="H118" s="3" t="s">
        <v>56</v>
      </c>
      <c r="M118" s="151" t="str">
        <f t="shared" si="5"/>
        <v>/</v>
      </c>
      <c r="N118" s="151" t="str">
        <f t="shared" si="6"/>
        <v/>
      </c>
      <c r="Q118" s="239" t="str">
        <f t="shared" ca="1" si="7"/>
        <v/>
      </c>
    </row>
    <row r="119" spans="4:17" ht="15.75" hidden="1" customHeight="1" outlineLevel="1" x14ac:dyDescent="0.25">
      <c r="D119" s="108">
        <v>42729</v>
      </c>
      <c r="E119" s="101" t="s">
        <v>9</v>
      </c>
      <c r="F119" s="213" t="s">
        <v>50</v>
      </c>
      <c r="G119" s="3" t="s">
        <v>56</v>
      </c>
      <c r="H119" s="3" t="s">
        <v>56</v>
      </c>
      <c r="M119" s="151" t="str">
        <f t="shared" si="5"/>
        <v/>
      </c>
      <c r="N119" s="151" t="str">
        <f t="shared" si="6"/>
        <v>/</v>
      </c>
      <c r="Q119" s="239" t="str">
        <f t="shared" ca="1" si="7"/>
        <v/>
      </c>
    </row>
    <row r="120" spans="4:17" ht="15.75" hidden="1" customHeight="1" outlineLevel="1" x14ac:dyDescent="0.25">
      <c r="D120" s="108">
        <v>42731</v>
      </c>
      <c r="E120" s="101" t="s">
        <v>20</v>
      </c>
      <c r="F120" s="213" t="s">
        <v>49</v>
      </c>
      <c r="G120" s="3" t="s">
        <v>56</v>
      </c>
      <c r="H120" s="3" t="s">
        <v>56</v>
      </c>
      <c r="M120" s="151" t="str">
        <f t="shared" si="5"/>
        <v>/</v>
      </c>
      <c r="N120" s="151" t="str">
        <f t="shared" si="6"/>
        <v/>
      </c>
      <c r="Q120" s="239" t="str">
        <f t="shared" ca="1" si="7"/>
        <v/>
      </c>
    </row>
    <row r="121" spans="4:17" ht="15.75" hidden="1" customHeight="1" outlineLevel="1" x14ac:dyDescent="0.25">
      <c r="D121" s="108">
        <v>42733</v>
      </c>
      <c r="E121" s="101" t="s">
        <v>4</v>
      </c>
      <c r="F121" s="213" t="s">
        <v>50</v>
      </c>
      <c r="G121" s="3" t="s">
        <v>56</v>
      </c>
      <c r="H121" s="3" t="s">
        <v>56</v>
      </c>
      <c r="M121" s="151" t="str">
        <f t="shared" si="5"/>
        <v/>
      </c>
      <c r="N121" s="151" t="str">
        <f t="shared" si="6"/>
        <v>/</v>
      </c>
      <c r="Q121" s="239" t="str">
        <f t="shared" ref="Q121:Q152" ca="1" si="8">IF(D121=TODAY(),1,"")</f>
        <v/>
      </c>
    </row>
    <row r="122" spans="4:17" ht="15.75" hidden="1" customHeight="1" outlineLevel="1" x14ac:dyDescent="0.25">
      <c r="D122" s="108">
        <v>42734</v>
      </c>
      <c r="E122" s="101" t="s">
        <v>6</v>
      </c>
      <c r="F122" s="213" t="s">
        <v>49</v>
      </c>
      <c r="G122" s="3" t="s">
        <v>56</v>
      </c>
      <c r="H122" s="3" t="s">
        <v>56</v>
      </c>
      <c r="M122" s="151" t="str">
        <f t="shared" si="5"/>
        <v>/</v>
      </c>
      <c r="N122" s="151" t="str">
        <f t="shared" si="6"/>
        <v/>
      </c>
      <c r="Q122" s="239" t="str">
        <f t="shared" ca="1" si="8"/>
        <v/>
      </c>
    </row>
    <row r="123" spans="4:17" ht="15.75" hidden="1" customHeight="1" outlineLevel="1" x14ac:dyDescent="0.25">
      <c r="D123" s="108">
        <v>42372</v>
      </c>
      <c r="E123" s="101" t="s">
        <v>28</v>
      </c>
      <c r="F123" s="213" t="s">
        <v>49</v>
      </c>
      <c r="G123" s="3" t="s">
        <v>56</v>
      </c>
      <c r="H123" s="3" t="s">
        <v>56</v>
      </c>
      <c r="M123" s="151" t="str">
        <f t="shared" si="5"/>
        <v>/</v>
      </c>
      <c r="N123" s="151" t="str">
        <f t="shared" si="6"/>
        <v/>
      </c>
      <c r="Q123" s="239" t="str">
        <f t="shared" ca="1" si="8"/>
        <v/>
      </c>
    </row>
    <row r="124" spans="4:17" ht="15.75" hidden="1" customHeight="1" outlineLevel="1" x14ac:dyDescent="0.25">
      <c r="D124" s="108">
        <v>42375</v>
      </c>
      <c r="E124" s="101" t="s">
        <v>11</v>
      </c>
      <c r="F124" s="213" t="s">
        <v>49</v>
      </c>
      <c r="G124" s="3" t="s">
        <v>56</v>
      </c>
      <c r="H124" s="3" t="s">
        <v>56</v>
      </c>
      <c r="M124" s="151" t="str">
        <f t="shared" si="5"/>
        <v>/</v>
      </c>
      <c r="N124" s="151" t="str">
        <f t="shared" si="6"/>
        <v/>
      </c>
      <c r="Q124" s="239" t="str">
        <f t="shared" ca="1" si="8"/>
        <v/>
      </c>
    </row>
    <row r="125" spans="4:17" ht="15.75" hidden="1" customHeight="1" outlineLevel="1" x14ac:dyDescent="0.25">
      <c r="D125" s="108">
        <v>42376</v>
      </c>
      <c r="E125" s="101" t="s">
        <v>22</v>
      </c>
      <c r="F125" s="213" t="s">
        <v>49</v>
      </c>
      <c r="G125" s="3" t="s">
        <v>56</v>
      </c>
      <c r="H125" s="3" t="s">
        <v>56</v>
      </c>
      <c r="M125" s="151" t="str">
        <f t="shared" si="5"/>
        <v>/</v>
      </c>
      <c r="N125" s="151" t="str">
        <f t="shared" si="6"/>
        <v/>
      </c>
      <c r="Q125" s="239" t="str">
        <f t="shared" ca="1" si="8"/>
        <v/>
      </c>
    </row>
    <row r="126" spans="4:17" ht="15.75" hidden="1" customHeight="1" outlineLevel="1" x14ac:dyDescent="0.25">
      <c r="D126" s="108">
        <v>42379</v>
      </c>
      <c r="E126" s="101" t="s">
        <v>12</v>
      </c>
      <c r="F126" s="213" t="s">
        <v>50</v>
      </c>
      <c r="G126" s="3" t="s">
        <v>56</v>
      </c>
      <c r="H126" s="3" t="s">
        <v>56</v>
      </c>
      <c r="M126" s="151" t="str">
        <f t="shared" si="5"/>
        <v/>
      </c>
      <c r="N126" s="151" t="str">
        <f t="shared" si="6"/>
        <v>/</v>
      </c>
      <c r="Q126" s="239" t="str">
        <f t="shared" ca="1" si="8"/>
        <v/>
      </c>
    </row>
    <row r="127" spans="4:17" ht="15.75" hidden="1" customHeight="1" outlineLevel="1" x14ac:dyDescent="0.25">
      <c r="D127" s="108">
        <v>42380</v>
      </c>
      <c r="E127" s="101" t="s">
        <v>13</v>
      </c>
      <c r="F127" s="213" t="s">
        <v>49</v>
      </c>
      <c r="G127" s="3" t="s">
        <v>56</v>
      </c>
      <c r="H127" s="3" t="s">
        <v>56</v>
      </c>
      <c r="M127" s="151" t="str">
        <f t="shared" si="5"/>
        <v>/</v>
      </c>
      <c r="N127" s="151" t="str">
        <f t="shared" si="6"/>
        <v/>
      </c>
      <c r="Q127" s="239" t="str">
        <f t="shared" ca="1" si="8"/>
        <v/>
      </c>
    </row>
    <row r="128" spans="4:17" ht="15.75" hidden="1" customHeight="1" outlineLevel="1" x14ac:dyDescent="0.25">
      <c r="D128" s="108">
        <v>42382</v>
      </c>
      <c r="E128" s="101" t="s">
        <v>0</v>
      </c>
      <c r="F128" s="213" t="s">
        <v>50</v>
      </c>
      <c r="G128" s="3" t="s">
        <v>56</v>
      </c>
      <c r="H128" s="3" t="s">
        <v>56</v>
      </c>
      <c r="M128" s="151" t="str">
        <f t="shared" si="5"/>
        <v/>
      </c>
      <c r="N128" s="151" t="str">
        <f t="shared" si="6"/>
        <v>/</v>
      </c>
      <c r="Q128" s="239" t="str">
        <f t="shared" ca="1" si="8"/>
        <v/>
      </c>
    </row>
    <row r="129" spans="4:17" ht="15.75" hidden="1" customHeight="1" outlineLevel="1" x14ac:dyDescent="0.25">
      <c r="D129" s="108">
        <v>42385</v>
      </c>
      <c r="E129" s="101" t="s">
        <v>3</v>
      </c>
      <c r="F129" s="213" t="s">
        <v>49</v>
      </c>
      <c r="G129" s="3" t="s">
        <v>56</v>
      </c>
      <c r="H129" s="3" t="s">
        <v>56</v>
      </c>
      <c r="M129" s="151" t="str">
        <f t="shared" si="5"/>
        <v>/</v>
      </c>
      <c r="N129" s="151" t="str">
        <f t="shared" si="6"/>
        <v/>
      </c>
      <c r="Q129" s="239" t="str">
        <f t="shared" ca="1" si="8"/>
        <v/>
      </c>
    </row>
    <row r="130" spans="4:17" ht="15.75" hidden="1" customHeight="1" outlineLevel="1" x14ac:dyDescent="0.25">
      <c r="D130" s="108">
        <v>42387</v>
      </c>
      <c r="E130" s="101" t="s">
        <v>9</v>
      </c>
      <c r="F130" s="213" t="s">
        <v>49</v>
      </c>
      <c r="G130" s="3" t="s">
        <v>56</v>
      </c>
      <c r="H130" s="3" t="s">
        <v>56</v>
      </c>
      <c r="M130" s="151" t="str">
        <f t="shared" si="5"/>
        <v>/</v>
      </c>
      <c r="N130" s="151" t="str">
        <f t="shared" si="6"/>
        <v/>
      </c>
      <c r="Q130" s="239" t="str">
        <f t="shared" ca="1" si="8"/>
        <v/>
      </c>
    </row>
    <row r="131" spans="4:17" ht="15.75" hidden="1" customHeight="1" outlineLevel="1" x14ac:dyDescent="0.25">
      <c r="D131" s="108">
        <v>42390</v>
      </c>
      <c r="E131" s="101" t="s">
        <v>24</v>
      </c>
      <c r="F131" s="213" t="s">
        <v>49</v>
      </c>
      <c r="G131" s="3" t="s">
        <v>56</v>
      </c>
      <c r="H131" s="3" t="s">
        <v>56</v>
      </c>
      <c r="M131" s="151" t="str">
        <f t="shared" si="5"/>
        <v>/</v>
      </c>
      <c r="N131" s="151" t="str">
        <f t="shared" si="6"/>
        <v/>
      </c>
      <c r="Q131" s="239" t="str">
        <f t="shared" ca="1" si="8"/>
        <v/>
      </c>
    </row>
    <row r="132" spans="4:17" ht="15.75" hidden="1" customHeight="1" outlineLevel="1" x14ac:dyDescent="0.25">
      <c r="D132" s="108">
        <v>42393</v>
      </c>
      <c r="E132" s="101" t="s">
        <v>13</v>
      </c>
      <c r="F132" s="213" t="s">
        <v>50</v>
      </c>
      <c r="G132" s="3" t="s">
        <v>56</v>
      </c>
      <c r="H132" s="3" t="s">
        <v>56</v>
      </c>
      <c r="M132" s="151" t="str">
        <f t="shared" si="5"/>
        <v/>
      </c>
      <c r="N132" s="151" t="str">
        <f t="shared" si="6"/>
        <v>/</v>
      </c>
      <c r="Q132" s="239" t="str">
        <f t="shared" ca="1" si="8"/>
        <v/>
      </c>
    </row>
    <row r="133" spans="4:17" ht="15.75" hidden="1" customHeight="1" outlineLevel="1" x14ac:dyDescent="0.25">
      <c r="D133" s="108">
        <v>42394</v>
      </c>
      <c r="E133" s="101" t="s">
        <v>17</v>
      </c>
      <c r="F133" s="213" t="s">
        <v>49</v>
      </c>
      <c r="G133" s="3" t="s">
        <v>56</v>
      </c>
      <c r="H133" s="3" t="s">
        <v>56</v>
      </c>
      <c r="M133" s="151" t="str">
        <f t="shared" si="5"/>
        <v>/</v>
      </c>
      <c r="N133" s="151" t="str">
        <f t="shared" si="6"/>
        <v/>
      </c>
      <c r="Q133" s="239" t="str">
        <f t="shared" ca="1" si="8"/>
        <v/>
      </c>
    </row>
    <row r="134" spans="4:17" ht="15.75" hidden="1" customHeight="1" outlineLevel="1" x14ac:dyDescent="0.25">
      <c r="D134" s="108">
        <v>42396</v>
      </c>
      <c r="E134" s="101" t="s">
        <v>10</v>
      </c>
      <c r="F134" s="213" t="s">
        <v>49</v>
      </c>
      <c r="G134" s="3" t="s">
        <v>56</v>
      </c>
      <c r="H134" s="3" t="s">
        <v>56</v>
      </c>
      <c r="M134" s="151" t="str">
        <f t="shared" si="5"/>
        <v>/</v>
      </c>
      <c r="N134" s="151" t="str">
        <f t="shared" si="6"/>
        <v/>
      </c>
      <c r="Q134" s="239" t="str">
        <f t="shared" ca="1" si="8"/>
        <v/>
      </c>
    </row>
    <row r="135" spans="4:17" ht="15.75" hidden="1" customHeight="1" outlineLevel="1" x14ac:dyDescent="0.25">
      <c r="D135" s="108">
        <v>42397</v>
      </c>
      <c r="E135" s="101" t="s">
        <v>8</v>
      </c>
      <c r="F135" s="213" t="s">
        <v>50</v>
      </c>
      <c r="G135" s="3" t="s">
        <v>56</v>
      </c>
      <c r="H135" s="3" t="s">
        <v>56</v>
      </c>
      <c r="M135" s="151" t="str">
        <f t="shared" ref="M135:M198" si="9">IF(F135="D",H135,"")</f>
        <v/>
      </c>
      <c r="N135" s="151" t="str">
        <f t="shared" ref="N135:N198" si="10">IF(F135="E",H135,"")</f>
        <v>/</v>
      </c>
      <c r="Q135" s="239" t="str">
        <f t="shared" ca="1" si="8"/>
        <v/>
      </c>
    </row>
    <row r="136" spans="4:17" ht="15.75" hidden="1" customHeight="1" outlineLevel="1" x14ac:dyDescent="0.25">
      <c r="D136" s="108">
        <v>42399</v>
      </c>
      <c r="E136" s="101" t="s">
        <v>5</v>
      </c>
      <c r="F136" s="213" t="s">
        <v>49</v>
      </c>
      <c r="G136" s="3" t="s">
        <v>56</v>
      </c>
      <c r="H136" s="3" t="s">
        <v>56</v>
      </c>
      <c r="M136" s="151" t="str">
        <f t="shared" si="9"/>
        <v>/</v>
      </c>
      <c r="N136" s="151" t="str">
        <f t="shared" si="10"/>
        <v/>
      </c>
      <c r="Q136" s="239" t="str">
        <f t="shared" ca="1" si="8"/>
        <v/>
      </c>
    </row>
    <row r="137" spans="4:17" ht="15.75" hidden="1" customHeight="1" outlineLevel="1" x14ac:dyDescent="0.25">
      <c r="D137" s="108">
        <v>42401</v>
      </c>
      <c r="E137" s="101" t="s">
        <v>12</v>
      </c>
      <c r="F137" s="213" t="s">
        <v>49</v>
      </c>
      <c r="G137" s="3" t="s">
        <v>56</v>
      </c>
      <c r="H137" s="3" t="s">
        <v>56</v>
      </c>
      <c r="M137" s="151" t="str">
        <f t="shared" si="9"/>
        <v>/</v>
      </c>
      <c r="N137" s="151" t="str">
        <f t="shared" si="10"/>
        <v/>
      </c>
      <c r="Q137" s="239" t="str">
        <f t="shared" ca="1" si="8"/>
        <v/>
      </c>
    </row>
    <row r="138" spans="4:17" ht="15.75" hidden="1" customHeight="1" outlineLevel="1" x14ac:dyDescent="0.25">
      <c r="D138" s="108">
        <v>42403</v>
      </c>
      <c r="E138" s="101" t="s">
        <v>19</v>
      </c>
      <c r="F138" s="213" t="s">
        <v>49</v>
      </c>
      <c r="G138" s="3" t="s">
        <v>56</v>
      </c>
      <c r="H138" s="3" t="s">
        <v>56</v>
      </c>
      <c r="M138" s="151" t="str">
        <f t="shared" si="9"/>
        <v>/</v>
      </c>
      <c r="N138" s="151" t="str">
        <f t="shared" si="10"/>
        <v/>
      </c>
      <c r="Q138" s="239" t="str">
        <f t="shared" ca="1" si="8"/>
        <v/>
      </c>
    </row>
    <row r="139" spans="4:17" ht="15.75" hidden="1" customHeight="1" outlineLevel="1" x14ac:dyDescent="0.25">
      <c r="D139" s="108">
        <v>42405</v>
      </c>
      <c r="E139" s="101" t="s">
        <v>18</v>
      </c>
      <c r="F139" s="213" t="s">
        <v>49</v>
      </c>
      <c r="G139" s="3" t="s">
        <v>56</v>
      </c>
      <c r="H139" s="3" t="s">
        <v>56</v>
      </c>
      <c r="M139" s="151" t="str">
        <f t="shared" si="9"/>
        <v>/</v>
      </c>
      <c r="N139" s="151" t="str">
        <f t="shared" si="10"/>
        <v/>
      </c>
      <c r="Q139" s="239" t="str">
        <f t="shared" ca="1" si="8"/>
        <v/>
      </c>
    </row>
    <row r="140" spans="4:17" ht="15.75" hidden="1" customHeight="1" outlineLevel="1" x14ac:dyDescent="0.25">
      <c r="D140" s="108">
        <v>42408</v>
      </c>
      <c r="E140" s="101" t="s">
        <v>26</v>
      </c>
      <c r="F140" s="213" t="s">
        <v>50</v>
      </c>
      <c r="G140" s="3" t="s">
        <v>56</v>
      </c>
      <c r="H140" s="3" t="s">
        <v>56</v>
      </c>
      <c r="M140" s="151" t="str">
        <f t="shared" si="9"/>
        <v/>
      </c>
      <c r="N140" s="151" t="str">
        <f t="shared" si="10"/>
        <v>/</v>
      </c>
      <c r="Q140" s="239" t="str">
        <f t="shared" ca="1" si="8"/>
        <v/>
      </c>
    </row>
    <row r="141" spans="4:17" ht="15.75" hidden="1" customHeight="1" outlineLevel="1" x14ac:dyDescent="0.25">
      <c r="D141" s="108">
        <v>42409</v>
      </c>
      <c r="E141" s="101" t="s">
        <v>24</v>
      </c>
      <c r="F141" s="213" t="s">
        <v>50</v>
      </c>
      <c r="G141" s="3" t="s">
        <v>56</v>
      </c>
      <c r="H141" s="3" t="s">
        <v>56</v>
      </c>
      <c r="M141" s="151" t="str">
        <f t="shared" si="9"/>
        <v/>
      </c>
      <c r="N141" s="151" t="str">
        <f t="shared" si="10"/>
        <v>/</v>
      </c>
      <c r="Q141" s="239" t="str">
        <f t="shared" ca="1" si="8"/>
        <v/>
      </c>
    </row>
    <row r="142" spans="4:17" ht="15.75" hidden="1" customHeight="1" outlineLevel="1" x14ac:dyDescent="0.25">
      <c r="D142" s="108">
        <v>42411</v>
      </c>
      <c r="E142" s="101" t="s">
        <v>28</v>
      </c>
      <c r="F142" s="213" t="s">
        <v>50</v>
      </c>
      <c r="G142" s="3" t="s">
        <v>56</v>
      </c>
      <c r="H142" s="3" t="s">
        <v>56</v>
      </c>
      <c r="M142" s="151" t="str">
        <f t="shared" si="9"/>
        <v/>
      </c>
      <c r="N142" s="151" t="str">
        <f t="shared" si="10"/>
        <v>/</v>
      </c>
      <c r="Q142" s="239" t="str">
        <f t="shared" ca="1" si="8"/>
        <v/>
      </c>
    </row>
    <row r="143" spans="4:17" ht="15.75" hidden="1" customHeight="1" outlineLevel="1" x14ac:dyDescent="0.25">
      <c r="D143" s="108">
        <v>42413</v>
      </c>
      <c r="E143" s="101" t="s">
        <v>14</v>
      </c>
      <c r="F143" s="213" t="s">
        <v>50</v>
      </c>
      <c r="G143" s="3" t="s">
        <v>56</v>
      </c>
      <c r="H143" s="3" t="s">
        <v>56</v>
      </c>
      <c r="M143" s="151" t="str">
        <f t="shared" si="9"/>
        <v/>
      </c>
      <c r="N143" s="151" t="str">
        <f t="shared" si="10"/>
        <v>/</v>
      </c>
      <c r="Q143" s="239" t="str">
        <f t="shared" ca="1" si="8"/>
        <v/>
      </c>
    </row>
    <row r="144" spans="4:17" ht="15.75" hidden="1" customHeight="1" outlineLevel="1" x14ac:dyDescent="0.25">
      <c r="D144" s="108">
        <v>42415</v>
      </c>
      <c r="E144" s="101" t="s">
        <v>11</v>
      </c>
      <c r="F144" s="213" t="s">
        <v>49</v>
      </c>
      <c r="G144" s="3" t="s">
        <v>56</v>
      </c>
      <c r="H144" s="3" t="s">
        <v>56</v>
      </c>
      <c r="M144" s="151" t="str">
        <f t="shared" si="9"/>
        <v>/</v>
      </c>
      <c r="N144" s="151" t="str">
        <f t="shared" si="10"/>
        <v/>
      </c>
      <c r="Q144" s="239" t="str">
        <f t="shared" ca="1" si="8"/>
        <v/>
      </c>
    </row>
    <row r="145" spans="4:17" ht="15.75" hidden="1" customHeight="1" outlineLevel="1" x14ac:dyDescent="0.25">
      <c r="D145" s="108">
        <v>42416</v>
      </c>
      <c r="E145" s="101" t="s">
        <v>2</v>
      </c>
      <c r="F145" s="213" t="s">
        <v>50</v>
      </c>
      <c r="G145" s="3" t="s">
        <v>56</v>
      </c>
      <c r="H145" s="3" t="s">
        <v>56</v>
      </c>
      <c r="M145" s="151" t="str">
        <f t="shared" si="9"/>
        <v/>
      </c>
      <c r="N145" s="151" t="str">
        <f t="shared" si="10"/>
        <v>/</v>
      </c>
      <c r="Q145" s="239" t="str">
        <f t="shared" ca="1" si="8"/>
        <v/>
      </c>
    </row>
    <row r="146" spans="4:17" ht="15.75" hidden="1" customHeight="1" outlineLevel="1" x14ac:dyDescent="0.25">
      <c r="D146" s="108">
        <v>42424</v>
      </c>
      <c r="E146" s="101" t="s">
        <v>12</v>
      </c>
      <c r="F146" s="213" t="s">
        <v>50</v>
      </c>
      <c r="G146" s="3" t="s">
        <v>56</v>
      </c>
      <c r="H146" s="3" t="s">
        <v>56</v>
      </c>
      <c r="M146" s="151" t="str">
        <f t="shared" si="9"/>
        <v/>
      </c>
      <c r="N146" s="151" t="str">
        <f t="shared" si="10"/>
        <v>/</v>
      </c>
      <c r="Q146" s="239" t="str">
        <f t="shared" ca="1" si="8"/>
        <v/>
      </c>
    </row>
    <row r="147" spans="4:17" ht="15.75" hidden="1" customHeight="1" outlineLevel="1" x14ac:dyDescent="0.25">
      <c r="D147" s="108">
        <v>42426</v>
      </c>
      <c r="E147" s="101" t="s">
        <v>5</v>
      </c>
      <c r="F147" s="213" t="s">
        <v>50</v>
      </c>
      <c r="G147" s="3" t="s">
        <v>56</v>
      </c>
      <c r="H147" s="3" t="s">
        <v>56</v>
      </c>
      <c r="M147" s="151" t="str">
        <f t="shared" si="9"/>
        <v/>
      </c>
      <c r="N147" s="151" t="str">
        <f t="shared" si="10"/>
        <v>/</v>
      </c>
      <c r="Q147" s="239" t="str">
        <f t="shared" ca="1" si="8"/>
        <v/>
      </c>
    </row>
    <row r="148" spans="4:17" ht="15.75" hidden="1" customHeight="1" outlineLevel="1" x14ac:dyDescent="0.25">
      <c r="D148" s="108">
        <v>42427</v>
      </c>
      <c r="E148" s="101" t="s">
        <v>0</v>
      </c>
      <c r="F148" s="213" t="s">
        <v>49</v>
      </c>
      <c r="G148" s="3" t="s">
        <v>56</v>
      </c>
      <c r="H148" s="3" t="s">
        <v>56</v>
      </c>
      <c r="M148" s="151" t="str">
        <f t="shared" si="9"/>
        <v>/</v>
      </c>
      <c r="N148" s="151" t="str">
        <f t="shared" si="10"/>
        <v/>
      </c>
      <c r="Q148" s="239" t="str">
        <f t="shared" ca="1" si="8"/>
        <v/>
      </c>
    </row>
    <row r="149" spans="4:17" ht="15.75" hidden="1" customHeight="1" outlineLevel="1" x14ac:dyDescent="0.25">
      <c r="D149" s="108">
        <v>42430</v>
      </c>
      <c r="E149" s="101" t="s">
        <v>4</v>
      </c>
      <c r="F149" s="213" t="s">
        <v>49</v>
      </c>
      <c r="G149" s="3" t="s">
        <v>56</v>
      </c>
      <c r="H149" s="3" t="s">
        <v>56</v>
      </c>
      <c r="M149" s="151" t="str">
        <f t="shared" si="9"/>
        <v>/</v>
      </c>
      <c r="N149" s="151" t="str">
        <f t="shared" si="10"/>
        <v/>
      </c>
      <c r="Q149" s="239" t="str">
        <f t="shared" ca="1" si="8"/>
        <v/>
      </c>
    </row>
    <row r="150" spans="4:17" ht="15.75" hidden="1" customHeight="1" outlineLevel="1" x14ac:dyDescent="0.25">
      <c r="D150" s="108">
        <v>42432</v>
      </c>
      <c r="E150" s="101" t="s">
        <v>19</v>
      </c>
      <c r="F150" s="213" t="s">
        <v>50</v>
      </c>
      <c r="G150" s="3" t="s">
        <v>56</v>
      </c>
      <c r="H150" s="3" t="s">
        <v>56</v>
      </c>
      <c r="M150" s="151" t="str">
        <f t="shared" si="9"/>
        <v/>
      </c>
      <c r="N150" s="151" t="str">
        <f t="shared" si="10"/>
        <v>/</v>
      </c>
      <c r="Q150" s="239" t="str">
        <f t="shared" ca="1" si="8"/>
        <v/>
      </c>
    </row>
    <row r="151" spans="4:17" ht="15.75" hidden="1" customHeight="1" outlineLevel="1" x14ac:dyDescent="0.25">
      <c r="D151" s="108">
        <v>42434</v>
      </c>
      <c r="E151" s="101" t="s">
        <v>25</v>
      </c>
      <c r="F151" s="213" t="s">
        <v>50</v>
      </c>
      <c r="G151" s="3" t="s">
        <v>56</v>
      </c>
      <c r="H151" s="3" t="s">
        <v>56</v>
      </c>
      <c r="M151" s="151" t="str">
        <f t="shared" si="9"/>
        <v/>
      </c>
      <c r="N151" s="151" t="str">
        <f t="shared" si="10"/>
        <v>/</v>
      </c>
      <c r="Q151" s="239" t="str">
        <f t="shared" ca="1" si="8"/>
        <v/>
      </c>
    </row>
    <row r="152" spans="4:17" ht="15.75" hidden="1" customHeight="1" outlineLevel="1" x14ac:dyDescent="0.25">
      <c r="D152" s="108">
        <v>42435</v>
      </c>
      <c r="E152" s="101" t="s">
        <v>18</v>
      </c>
      <c r="F152" s="213" t="s">
        <v>50</v>
      </c>
      <c r="G152" s="3" t="s">
        <v>56</v>
      </c>
      <c r="H152" s="3" t="s">
        <v>56</v>
      </c>
      <c r="M152" s="151" t="str">
        <f t="shared" si="9"/>
        <v/>
      </c>
      <c r="N152" s="151" t="str">
        <f t="shared" si="10"/>
        <v>/</v>
      </c>
      <c r="Q152" s="239" t="str">
        <f t="shared" ca="1" si="8"/>
        <v/>
      </c>
    </row>
    <row r="153" spans="4:17" ht="15.75" hidden="1" customHeight="1" outlineLevel="1" x14ac:dyDescent="0.25">
      <c r="D153" s="108">
        <v>42437</v>
      </c>
      <c r="E153" s="101" t="s">
        <v>16</v>
      </c>
      <c r="F153" s="213" t="s">
        <v>50</v>
      </c>
      <c r="G153" s="3" t="s">
        <v>56</v>
      </c>
      <c r="H153" s="3" t="s">
        <v>56</v>
      </c>
      <c r="M153" s="151" t="str">
        <f t="shared" si="9"/>
        <v/>
      </c>
      <c r="N153" s="151" t="str">
        <f t="shared" si="10"/>
        <v>/</v>
      </c>
      <c r="Q153" s="239" t="str">
        <f t="shared" ref="Q153:Q170" ca="1" si="11">IF(D153=TODAY(),1,"")</f>
        <v/>
      </c>
    </row>
    <row r="154" spans="4:17" ht="15.75" hidden="1" customHeight="1" outlineLevel="1" x14ac:dyDescent="0.25">
      <c r="D154" s="108">
        <v>42439</v>
      </c>
      <c r="E154" s="101" t="s">
        <v>15</v>
      </c>
      <c r="F154" s="213" t="s">
        <v>50</v>
      </c>
      <c r="G154" s="3" t="s">
        <v>56</v>
      </c>
      <c r="H154" s="3" t="s">
        <v>56</v>
      </c>
      <c r="M154" s="151" t="str">
        <f t="shared" si="9"/>
        <v/>
      </c>
      <c r="N154" s="151" t="str">
        <f t="shared" si="10"/>
        <v>/</v>
      </c>
      <c r="Q154" s="239" t="str">
        <f t="shared" ca="1" si="11"/>
        <v/>
      </c>
    </row>
    <row r="155" spans="4:17" ht="15.75" hidden="1" customHeight="1" outlineLevel="1" x14ac:dyDescent="0.25">
      <c r="D155" s="108">
        <v>42441</v>
      </c>
      <c r="E155" s="101" t="s">
        <v>2</v>
      </c>
      <c r="F155" s="213" t="s">
        <v>49</v>
      </c>
      <c r="G155" s="3" t="s">
        <v>56</v>
      </c>
      <c r="H155" s="3" t="s">
        <v>56</v>
      </c>
      <c r="M155" s="151" t="str">
        <f t="shared" si="9"/>
        <v>/</v>
      </c>
      <c r="N155" s="151" t="str">
        <f t="shared" si="10"/>
        <v/>
      </c>
      <c r="Q155" s="239" t="str">
        <f t="shared" ca="1" si="11"/>
        <v/>
      </c>
    </row>
    <row r="156" spans="4:17" ht="15.75" hidden="1" customHeight="1" outlineLevel="1" x14ac:dyDescent="0.25">
      <c r="D156" s="108">
        <v>42444</v>
      </c>
      <c r="E156" s="101" t="s">
        <v>21</v>
      </c>
      <c r="F156" s="213" t="s">
        <v>49</v>
      </c>
      <c r="G156" s="3" t="s">
        <v>56</v>
      </c>
      <c r="H156" s="3" t="s">
        <v>56</v>
      </c>
      <c r="M156" s="151" t="str">
        <f t="shared" si="9"/>
        <v>/</v>
      </c>
      <c r="N156" s="151" t="str">
        <f t="shared" si="10"/>
        <v/>
      </c>
      <c r="Q156" s="239" t="str">
        <f t="shared" ca="1" si="11"/>
        <v/>
      </c>
    </row>
    <row r="157" spans="4:17" ht="15.75" hidden="1" customHeight="1" outlineLevel="1" x14ac:dyDescent="0.25">
      <c r="D157" s="108">
        <v>42446</v>
      </c>
      <c r="E157" s="101" t="s">
        <v>45</v>
      </c>
      <c r="F157" s="213" t="s">
        <v>50</v>
      </c>
      <c r="G157" s="3" t="s">
        <v>56</v>
      </c>
      <c r="H157" s="3" t="s">
        <v>56</v>
      </c>
      <c r="M157" s="151" t="str">
        <f t="shared" si="9"/>
        <v/>
      </c>
      <c r="N157" s="151" t="str">
        <f t="shared" si="10"/>
        <v>/</v>
      </c>
      <c r="Q157" s="239" t="str">
        <f t="shared" ca="1" si="11"/>
        <v/>
      </c>
    </row>
    <row r="158" spans="4:17" ht="15.75" hidden="1" customHeight="1" outlineLevel="1" x14ac:dyDescent="0.25">
      <c r="D158" s="108">
        <v>42448</v>
      </c>
      <c r="E158" s="101" t="s">
        <v>11</v>
      </c>
      <c r="F158" s="213" t="s">
        <v>50</v>
      </c>
      <c r="G158" s="3" t="s">
        <v>56</v>
      </c>
      <c r="H158" s="3" t="s">
        <v>56</v>
      </c>
      <c r="M158" s="151" t="str">
        <f t="shared" si="9"/>
        <v/>
      </c>
      <c r="N158" s="151" t="str">
        <f t="shared" si="10"/>
        <v>/</v>
      </c>
      <c r="Q158" s="239" t="str">
        <f t="shared" ca="1" si="11"/>
        <v/>
      </c>
    </row>
    <row r="159" spans="4:17" ht="15.75" hidden="1" customHeight="1" outlineLevel="1" x14ac:dyDescent="0.25">
      <c r="D159" s="108">
        <v>42449</v>
      </c>
      <c r="E159" s="101" t="s">
        <v>13</v>
      </c>
      <c r="F159" s="213" t="s">
        <v>49</v>
      </c>
      <c r="G159" s="3" t="s">
        <v>56</v>
      </c>
      <c r="H159" s="3" t="s">
        <v>56</v>
      </c>
      <c r="M159" s="151" t="str">
        <f t="shared" si="9"/>
        <v>/</v>
      </c>
      <c r="N159" s="151" t="str">
        <f t="shared" si="10"/>
        <v/>
      </c>
      <c r="Q159" s="239" t="str">
        <f t="shared" ca="1" si="11"/>
        <v/>
      </c>
    </row>
    <row r="160" spans="4:17" ht="15.75" hidden="1" customHeight="1" outlineLevel="1" x14ac:dyDescent="0.25">
      <c r="D160" s="108">
        <v>42451</v>
      </c>
      <c r="E160" s="101" t="s">
        <v>7</v>
      </c>
      <c r="F160" s="213" t="s">
        <v>49</v>
      </c>
      <c r="G160" s="3" t="s">
        <v>56</v>
      </c>
      <c r="H160" s="3" t="s">
        <v>56</v>
      </c>
      <c r="M160" s="151" t="str">
        <f t="shared" si="9"/>
        <v>/</v>
      </c>
      <c r="N160" s="151" t="str">
        <f t="shared" si="10"/>
        <v/>
      </c>
      <c r="Q160" s="239" t="str">
        <f t="shared" ca="1" si="11"/>
        <v/>
      </c>
    </row>
    <row r="161" spans="1:17" ht="15.75" hidden="1" customHeight="1" outlineLevel="1" x14ac:dyDescent="0.25">
      <c r="D161" s="108">
        <v>42453</v>
      </c>
      <c r="E161" s="101" t="s">
        <v>25</v>
      </c>
      <c r="F161" s="213" t="s">
        <v>49</v>
      </c>
      <c r="G161" s="3" t="s">
        <v>56</v>
      </c>
      <c r="H161" s="3" t="s">
        <v>56</v>
      </c>
      <c r="M161" s="151" t="str">
        <f t="shared" si="9"/>
        <v>/</v>
      </c>
      <c r="N161" s="151" t="str">
        <f t="shared" si="10"/>
        <v/>
      </c>
      <c r="Q161" s="239" t="str">
        <f t="shared" ca="1" si="11"/>
        <v/>
      </c>
    </row>
    <row r="162" spans="1:17" ht="15.75" hidden="1" customHeight="1" outlineLevel="1" x14ac:dyDescent="0.25">
      <c r="D162" s="108">
        <v>42455</v>
      </c>
      <c r="E162" s="101" t="s">
        <v>6</v>
      </c>
      <c r="F162" s="213" t="s">
        <v>49</v>
      </c>
      <c r="G162" s="3" t="s">
        <v>56</v>
      </c>
      <c r="H162" s="3" t="s">
        <v>56</v>
      </c>
      <c r="M162" s="151" t="str">
        <f t="shared" si="9"/>
        <v>/</v>
      </c>
      <c r="N162" s="151" t="str">
        <f t="shared" si="10"/>
        <v/>
      </c>
      <c r="Q162" s="239" t="str">
        <f t="shared" ca="1" si="11"/>
        <v/>
      </c>
    </row>
    <row r="163" spans="1:17" ht="15.75" hidden="1" customHeight="1" outlineLevel="1" x14ac:dyDescent="0.25">
      <c r="D163" s="108">
        <v>293</v>
      </c>
      <c r="E163" s="101" t="s">
        <v>8</v>
      </c>
      <c r="F163" s="213" t="s">
        <v>49</v>
      </c>
      <c r="G163" s="3" t="s">
        <v>56</v>
      </c>
      <c r="H163" s="3" t="s">
        <v>56</v>
      </c>
      <c r="M163" s="151" t="str">
        <f t="shared" si="9"/>
        <v>/</v>
      </c>
      <c r="N163" s="151" t="str">
        <f t="shared" si="10"/>
        <v/>
      </c>
      <c r="Q163" s="239" t="str">
        <f t="shared" ca="1" si="11"/>
        <v/>
      </c>
    </row>
    <row r="164" spans="1:17" ht="15.75" hidden="1" customHeight="1" outlineLevel="1" x14ac:dyDescent="0.25">
      <c r="D164" s="108">
        <v>42460</v>
      </c>
      <c r="E164" s="101" t="s">
        <v>10</v>
      </c>
      <c r="F164" s="213" t="s">
        <v>49</v>
      </c>
      <c r="G164" s="3" t="s">
        <v>56</v>
      </c>
      <c r="H164" s="3" t="s">
        <v>56</v>
      </c>
      <c r="M164" s="151" t="str">
        <f t="shared" si="9"/>
        <v>/</v>
      </c>
      <c r="N164" s="151" t="str">
        <f t="shared" si="10"/>
        <v/>
      </c>
      <c r="Q164" s="239" t="str">
        <f t="shared" ca="1" si="11"/>
        <v/>
      </c>
    </row>
    <row r="165" spans="1:17" ht="15.75" hidden="1" customHeight="1" outlineLevel="1" x14ac:dyDescent="0.25">
      <c r="D165" s="108">
        <v>42462</v>
      </c>
      <c r="E165" s="101" t="s">
        <v>9</v>
      </c>
      <c r="F165" s="213" t="s">
        <v>50</v>
      </c>
      <c r="G165" s="3" t="s">
        <v>56</v>
      </c>
      <c r="H165" s="3" t="s">
        <v>56</v>
      </c>
      <c r="M165" s="151" t="str">
        <f t="shared" si="9"/>
        <v/>
      </c>
      <c r="N165" s="151" t="str">
        <f t="shared" si="10"/>
        <v>/</v>
      </c>
      <c r="Q165" s="239" t="str">
        <f t="shared" ca="1" si="11"/>
        <v/>
      </c>
    </row>
    <row r="166" spans="1:17" ht="15.75" hidden="1" customHeight="1" outlineLevel="1" x14ac:dyDescent="0.25">
      <c r="D166" s="108">
        <v>42465</v>
      </c>
      <c r="E166" s="101" t="s">
        <v>4</v>
      </c>
      <c r="F166" s="213" t="s">
        <v>49</v>
      </c>
      <c r="G166" s="3" t="s">
        <v>56</v>
      </c>
      <c r="H166" s="3" t="s">
        <v>56</v>
      </c>
      <c r="M166" s="151" t="str">
        <f t="shared" si="9"/>
        <v>/</v>
      </c>
      <c r="N166" s="151" t="str">
        <f t="shared" si="10"/>
        <v/>
      </c>
      <c r="Q166" s="239" t="str">
        <f t="shared" ca="1" si="11"/>
        <v/>
      </c>
    </row>
    <row r="167" spans="1:17" ht="15.75" hidden="1" customHeight="1" outlineLevel="1" x14ac:dyDescent="0.25">
      <c r="D167" s="108">
        <v>42466</v>
      </c>
      <c r="E167" s="101" t="s">
        <v>0</v>
      </c>
      <c r="F167" s="213" t="s">
        <v>50</v>
      </c>
      <c r="G167" s="3" t="s">
        <v>56</v>
      </c>
      <c r="H167" s="3" t="s">
        <v>56</v>
      </c>
      <c r="M167" s="151" t="str">
        <f t="shared" si="9"/>
        <v/>
      </c>
      <c r="N167" s="151" t="str">
        <f t="shared" si="10"/>
        <v>/</v>
      </c>
      <c r="Q167" s="239" t="str">
        <f t="shared" ca="1" si="11"/>
        <v/>
      </c>
    </row>
    <row r="168" spans="1:17" ht="15.75" hidden="1" customHeight="1" outlineLevel="1" x14ac:dyDescent="0.25">
      <c r="D168" s="108">
        <v>42468</v>
      </c>
      <c r="E168" s="101" t="s">
        <v>3</v>
      </c>
      <c r="F168" s="213" t="s">
        <v>50</v>
      </c>
      <c r="G168" s="3" t="s">
        <v>56</v>
      </c>
      <c r="H168" s="3" t="s">
        <v>56</v>
      </c>
      <c r="M168" s="151" t="str">
        <f t="shared" si="9"/>
        <v/>
      </c>
      <c r="N168" s="151" t="str">
        <f t="shared" si="10"/>
        <v>/</v>
      </c>
      <c r="Q168" s="239" t="str">
        <f t="shared" ca="1" si="11"/>
        <v/>
      </c>
    </row>
    <row r="169" spans="1:17" ht="15.75" hidden="1" customHeight="1" outlineLevel="1" x14ac:dyDescent="0.25">
      <c r="D169" s="108">
        <v>42470</v>
      </c>
      <c r="E169" s="101" t="s">
        <v>45</v>
      </c>
      <c r="F169" s="213" t="s">
        <v>49</v>
      </c>
      <c r="G169" s="3" t="s">
        <v>56</v>
      </c>
      <c r="H169" s="3" t="s">
        <v>56</v>
      </c>
      <c r="M169" s="151" t="str">
        <f t="shared" si="9"/>
        <v>/</v>
      </c>
      <c r="N169" s="151" t="str">
        <f t="shared" si="10"/>
        <v/>
      </c>
      <c r="Q169" s="239" t="str">
        <f t="shared" ca="1" si="11"/>
        <v/>
      </c>
    </row>
    <row r="170" spans="1:17" ht="15.75" hidden="1" customHeight="1" outlineLevel="1" x14ac:dyDescent="0.25">
      <c r="D170" s="108">
        <v>42472</v>
      </c>
      <c r="E170" s="102" t="s">
        <v>8</v>
      </c>
      <c r="F170" s="214" t="s">
        <v>49</v>
      </c>
      <c r="G170" s="3" t="s">
        <v>56</v>
      </c>
      <c r="H170" s="3" t="s">
        <v>56</v>
      </c>
      <c r="M170" s="151" t="str">
        <f t="shared" si="9"/>
        <v>/</v>
      </c>
      <c r="N170" s="151" t="str">
        <f t="shared" si="10"/>
        <v/>
      </c>
      <c r="Q170" s="239" t="str">
        <f t="shared" ca="1" si="11"/>
        <v/>
      </c>
    </row>
    <row r="171" spans="1:17" collapsed="1" x14ac:dyDescent="0.25">
      <c r="A171" s="99"/>
      <c r="B171" s="416" t="str">
        <f ca="1">"- "&amp;INDEX(E172:E253,MATCH(TODAY(),D172:D253,0))</f>
        <v>- Indiana</v>
      </c>
      <c r="C171" s="416"/>
      <c r="D171" s="406" t="s">
        <v>45</v>
      </c>
      <c r="E171" s="407"/>
      <c r="F171" s="408"/>
      <c r="H171" s="3"/>
      <c r="Q171" s="239" t="str">
        <f t="shared" ref="Q171:Q234" ca="1" si="12">IF(D171=TODAY(),1,"")</f>
        <v/>
      </c>
    </row>
    <row r="172" spans="1:17" ht="16.5" hidden="1" customHeight="1" outlineLevel="1" x14ac:dyDescent="0.25">
      <c r="C172" s="106"/>
      <c r="D172" s="105">
        <v>42669</v>
      </c>
      <c r="E172" s="103" t="s">
        <v>1</v>
      </c>
      <c r="F172" s="209" t="s">
        <v>50</v>
      </c>
      <c r="G172" s="3">
        <v>0</v>
      </c>
      <c r="H172" s="3">
        <v>117</v>
      </c>
      <c r="I172" s="151">
        <v>34</v>
      </c>
      <c r="J172" s="151">
        <v>53</v>
      </c>
      <c r="K172" s="151">
        <v>80</v>
      </c>
      <c r="L172" s="151">
        <v>44</v>
      </c>
      <c r="M172" s="151" t="str">
        <f t="shared" si="9"/>
        <v/>
      </c>
      <c r="N172" s="151">
        <f t="shared" si="10"/>
        <v>117</v>
      </c>
      <c r="P172" s="151">
        <v>122</v>
      </c>
      <c r="Q172" s="239" t="str">
        <f t="shared" ca="1" si="12"/>
        <v/>
      </c>
    </row>
    <row r="173" spans="1:17" ht="15.75" hidden="1" customHeight="1" outlineLevel="1" x14ac:dyDescent="0.25">
      <c r="C173" s="106"/>
      <c r="D173" s="105">
        <v>42671</v>
      </c>
      <c r="E173" s="101" t="s">
        <v>7</v>
      </c>
      <c r="F173" s="210" t="s">
        <v>49</v>
      </c>
      <c r="G173" s="3" t="s">
        <v>56</v>
      </c>
      <c r="H173" s="3" t="s">
        <v>56</v>
      </c>
      <c r="M173" s="151" t="str">
        <f t="shared" si="9"/>
        <v>/</v>
      </c>
      <c r="N173" s="151" t="str">
        <f t="shared" si="10"/>
        <v/>
      </c>
      <c r="Q173" s="239">
        <f t="shared" ca="1" si="12"/>
        <v>1</v>
      </c>
    </row>
    <row r="174" spans="1:17" ht="15.75" hidden="1" customHeight="1" outlineLevel="1" x14ac:dyDescent="0.25">
      <c r="C174" s="106"/>
      <c r="D174" s="105">
        <v>42672</v>
      </c>
      <c r="E174" s="101" t="s">
        <v>8</v>
      </c>
      <c r="F174" s="210" t="s">
        <v>50</v>
      </c>
      <c r="G174" s="3" t="s">
        <v>56</v>
      </c>
      <c r="H174" s="3" t="s">
        <v>56</v>
      </c>
      <c r="M174" s="151" t="str">
        <f t="shared" si="9"/>
        <v/>
      </c>
      <c r="N174" s="151" t="str">
        <f t="shared" si="10"/>
        <v>/</v>
      </c>
      <c r="Q174" s="239" t="str">
        <f t="shared" ca="1" si="12"/>
        <v/>
      </c>
    </row>
    <row r="175" spans="1:17" ht="15.75" hidden="1" customHeight="1" outlineLevel="1" x14ac:dyDescent="0.25">
      <c r="C175" s="106"/>
      <c r="D175" s="105">
        <v>42674</v>
      </c>
      <c r="E175" s="101" t="s">
        <v>2</v>
      </c>
      <c r="F175" s="210" t="s">
        <v>49</v>
      </c>
      <c r="G175" s="3" t="s">
        <v>56</v>
      </c>
      <c r="H175" s="3" t="s">
        <v>56</v>
      </c>
      <c r="M175" s="151" t="str">
        <f t="shared" si="9"/>
        <v>/</v>
      </c>
      <c r="N175" s="151" t="str">
        <f t="shared" si="10"/>
        <v/>
      </c>
      <c r="Q175" s="239" t="str">
        <f t="shared" ca="1" si="12"/>
        <v/>
      </c>
    </row>
    <row r="176" spans="1:17" ht="15.75" hidden="1" customHeight="1" outlineLevel="1" x14ac:dyDescent="0.25">
      <c r="C176" s="106"/>
      <c r="D176" s="105">
        <v>42676</v>
      </c>
      <c r="E176" s="101" t="s">
        <v>5</v>
      </c>
      <c r="F176" s="210" t="s">
        <v>49</v>
      </c>
      <c r="G176" s="3" t="s">
        <v>56</v>
      </c>
      <c r="H176" s="3" t="s">
        <v>56</v>
      </c>
      <c r="M176" s="151" t="str">
        <f t="shared" si="9"/>
        <v>/</v>
      </c>
      <c r="N176" s="151" t="str">
        <f t="shared" si="10"/>
        <v/>
      </c>
      <c r="Q176" s="239" t="str">
        <f t="shared" ca="1" si="12"/>
        <v/>
      </c>
    </row>
    <row r="177" spans="3:17" ht="15.75" hidden="1" customHeight="1" outlineLevel="1" x14ac:dyDescent="0.25">
      <c r="C177" s="106"/>
      <c r="D177" s="105">
        <v>42678</v>
      </c>
      <c r="E177" s="101" t="s">
        <v>3</v>
      </c>
      <c r="F177" s="210" t="s">
        <v>49</v>
      </c>
      <c r="G177" s="3" t="s">
        <v>56</v>
      </c>
      <c r="H177" s="3" t="s">
        <v>56</v>
      </c>
      <c r="M177" s="151" t="str">
        <f t="shared" si="9"/>
        <v>/</v>
      </c>
      <c r="N177" s="151" t="str">
        <f t="shared" si="10"/>
        <v/>
      </c>
      <c r="Q177" s="239" t="str">
        <f t="shared" ca="1" si="12"/>
        <v/>
      </c>
    </row>
    <row r="178" spans="3:17" ht="15.75" hidden="1" customHeight="1" outlineLevel="1" x14ac:dyDescent="0.25">
      <c r="C178" s="106"/>
      <c r="D178" s="105">
        <v>42682</v>
      </c>
      <c r="E178" s="101" t="s">
        <v>21</v>
      </c>
      <c r="F178" s="210" t="s">
        <v>49</v>
      </c>
      <c r="G178" s="3" t="s">
        <v>56</v>
      </c>
      <c r="H178" s="3" t="s">
        <v>56</v>
      </c>
      <c r="M178" s="151" t="str">
        <f t="shared" si="9"/>
        <v>/</v>
      </c>
      <c r="N178" s="151" t="str">
        <f t="shared" si="10"/>
        <v/>
      </c>
      <c r="Q178" s="239" t="str">
        <f t="shared" ca="1" si="12"/>
        <v/>
      </c>
    </row>
    <row r="179" spans="3:17" ht="15.75" hidden="1" customHeight="1" outlineLevel="1" x14ac:dyDescent="0.25">
      <c r="C179" s="106"/>
      <c r="D179" s="105">
        <v>42683</v>
      </c>
      <c r="E179" s="101" t="s">
        <v>9</v>
      </c>
      <c r="F179" s="210" t="s">
        <v>50</v>
      </c>
      <c r="G179" s="3" t="s">
        <v>56</v>
      </c>
      <c r="H179" s="3" t="s">
        <v>56</v>
      </c>
      <c r="M179" s="151" t="str">
        <f t="shared" si="9"/>
        <v/>
      </c>
      <c r="N179" s="151" t="str">
        <f t="shared" si="10"/>
        <v>/</v>
      </c>
      <c r="Q179" s="239" t="str">
        <f t="shared" ca="1" si="12"/>
        <v/>
      </c>
    </row>
    <row r="180" spans="3:17" ht="15.75" hidden="1" customHeight="1" outlineLevel="1" x14ac:dyDescent="0.25">
      <c r="C180" s="106"/>
      <c r="D180" s="105">
        <v>42686</v>
      </c>
      <c r="E180" s="101" t="s">
        <v>25</v>
      </c>
      <c r="F180" s="210" t="s">
        <v>50</v>
      </c>
      <c r="G180" s="3" t="s">
        <v>56</v>
      </c>
      <c r="H180" s="3" t="s">
        <v>56</v>
      </c>
      <c r="M180" s="151" t="str">
        <f t="shared" si="9"/>
        <v/>
      </c>
      <c r="N180" s="151" t="str">
        <f t="shared" si="10"/>
        <v>/</v>
      </c>
      <c r="Q180" s="239" t="str">
        <f t="shared" ca="1" si="12"/>
        <v/>
      </c>
    </row>
    <row r="181" spans="3:17" ht="15.75" hidden="1" customHeight="1" outlineLevel="1" x14ac:dyDescent="0.25">
      <c r="C181" s="106"/>
      <c r="D181" s="105">
        <v>42688</v>
      </c>
      <c r="E181" s="101" t="s">
        <v>18</v>
      </c>
      <c r="F181" s="210" t="s">
        <v>50</v>
      </c>
      <c r="G181" s="3" t="s">
        <v>56</v>
      </c>
      <c r="H181" s="3" t="s">
        <v>56</v>
      </c>
      <c r="M181" s="151" t="str">
        <f t="shared" si="9"/>
        <v/>
      </c>
      <c r="N181" s="151" t="str">
        <f t="shared" si="10"/>
        <v>/</v>
      </c>
      <c r="Q181" s="239" t="str">
        <f t="shared" ca="1" si="12"/>
        <v/>
      </c>
    </row>
    <row r="182" spans="3:17" ht="15.75" hidden="1" customHeight="1" outlineLevel="1" x14ac:dyDescent="0.25">
      <c r="C182" s="106"/>
      <c r="D182" s="105">
        <v>42689</v>
      </c>
      <c r="E182" s="101" t="s">
        <v>19</v>
      </c>
      <c r="F182" s="210" t="s">
        <v>50</v>
      </c>
      <c r="G182" s="3" t="s">
        <v>56</v>
      </c>
      <c r="H182" s="3" t="s">
        <v>56</v>
      </c>
      <c r="M182" s="151" t="str">
        <f t="shared" si="9"/>
        <v/>
      </c>
      <c r="N182" s="151" t="str">
        <f t="shared" si="10"/>
        <v>/</v>
      </c>
      <c r="Q182" s="239" t="str">
        <f t="shared" ca="1" si="12"/>
        <v/>
      </c>
    </row>
    <row r="183" spans="3:17" ht="15.75" hidden="1" customHeight="1" outlineLevel="1" x14ac:dyDescent="0.25">
      <c r="C183" s="106"/>
      <c r="D183" s="105">
        <v>42692</v>
      </c>
      <c r="E183" s="101" t="s">
        <v>23</v>
      </c>
      <c r="F183" s="210" t="s">
        <v>50</v>
      </c>
      <c r="G183" s="3" t="s">
        <v>56</v>
      </c>
      <c r="H183" s="3" t="s">
        <v>56</v>
      </c>
      <c r="M183" s="151" t="str">
        <f t="shared" si="9"/>
        <v/>
      </c>
      <c r="N183" s="151" t="str">
        <f t="shared" si="10"/>
        <v>/</v>
      </c>
      <c r="Q183" s="239" t="str">
        <f t="shared" ca="1" si="12"/>
        <v/>
      </c>
    </row>
    <row r="184" spans="3:17" ht="15.75" hidden="1" customHeight="1" outlineLevel="1" x14ac:dyDescent="0.25">
      <c r="C184" s="106"/>
      <c r="D184" s="105">
        <v>42694</v>
      </c>
      <c r="E184" s="101" t="s">
        <v>24</v>
      </c>
      <c r="F184" s="210" t="s">
        <v>49</v>
      </c>
      <c r="G184" s="3" t="s">
        <v>56</v>
      </c>
      <c r="H184" s="3" t="s">
        <v>56</v>
      </c>
      <c r="M184" s="151" t="str">
        <f t="shared" si="9"/>
        <v>/</v>
      </c>
      <c r="N184" s="151" t="str">
        <f t="shared" si="10"/>
        <v/>
      </c>
      <c r="Q184" s="239" t="str">
        <f t="shared" ca="1" si="12"/>
        <v/>
      </c>
    </row>
    <row r="185" spans="3:17" ht="15.75" hidden="1" customHeight="1" outlineLevel="1" x14ac:dyDescent="0.25">
      <c r="C185" s="106"/>
      <c r="D185" s="105">
        <v>42697</v>
      </c>
      <c r="E185" s="101" t="s">
        <v>1</v>
      </c>
      <c r="F185" s="210" t="s">
        <v>49</v>
      </c>
      <c r="G185" s="3" t="s">
        <v>56</v>
      </c>
      <c r="H185" s="3" t="s">
        <v>56</v>
      </c>
      <c r="M185" s="151" t="str">
        <f t="shared" si="9"/>
        <v>/</v>
      </c>
      <c r="N185" s="151" t="str">
        <f t="shared" si="10"/>
        <v/>
      </c>
      <c r="Q185" s="239" t="str">
        <f t="shared" ca="1" si="12"/>
        <v/>
      </c>
    </row>
    <row r="186" spans="3:17" ht="15.75" hidden="1" customHeight="1" outlineLevel="1" x14ac:dyDescent="0.25">
      <c r="C186" s="106"/>
      <c r="D186" s="105">
        <v>42699</v>
      </c>
      <c r="E186" s="101" t="s">
        <v>7</v>
      </c>
      <c r="F186" s="210" t="s">
        <v>50</v>
      </c>
      <c r="G186" s="3" t="s">
        <v>56</v>
      </c>
      <c r="H186" s="3" t="s">
        <v>56</v>
      </c>
      <c r="M186" s="151" t="str">
        <f t="shared" si="9"/>
        <v/>
      </c>
      <c r="N186" s="151" t="str">
        <f t="shared" si="10"/>
        <v>/</v>
      </c>
      <c r="Q186" s="239" t="str">
        <f t="shared" ca="1" si="12"/>
        <v/>
      </c>
    </row>
    <row r="187" spans="3:17" ht="15.75" hidden="1" customHeight="1" outlineLevel="1" x14ac:dyDescent="0.25">
      <c r="C187" s="106"/>
      <c r="D187" s="105">
        <v>42701</v>
      </c>
      <c r="E187" s="101" t="s">
        <v>26</v>
      </c>
      <c r="F187" s="210" t="s">
        <v>49</v>
      </c>
      <c r="G187" s="3" t="s">
        <v>56</v>
      </c>
      <c r="H187" s="3" t="s">
        <v>56</v>
      </c>
      <c r="M187" s="151" t="str">
        <f t="shared" si="9"/>
        <v>/</v>
      </c>
      <c r="N187" s="151" t="str">
        <f t="shared" si="10"/>
        <v/>
      </c>
      <c r="Q187" s="239" t="str">
        <f t="shared" ca="1" si="12"/>
        <v/>
      </c>
    </row>
    <row r="188" spans="3:17" ht="15.75" hidden="1" customHeight="1" outlineLevel="1" x14ac:dyDescent="0.25">
      <c r="C188" s="106"/>
      <c r="D188" s="105">
        <v>42703</v>
      </c>
      <c r="E188" s="101" t="s">
        <v>18</v>
      </c>
      <c r="F188" s="210" t="s">
        <v>49</v>
      </c>
      <c r="G188" s="3" t="s">
        <v>56</v>
      </c>
      <c r="H188" s="3" t="s">
        <v>56</v>
      </c>
      <c r="M188" s="151" t="str">
        <f t="shared" si="9"/>
        <v>/</v>
      </c>
      <c r="N188" s="151" t="str">
        <f t="shared" si="10"/>
        <v/>
      </c>
      <c r="Q188" s="239" t="str">
        <f t="shared" ca="1" si="12"/>
        <v/>
      </c>
    </row>
    <row r="189" spans="3:17" ht="15.75" hidden="1" customHeight="1" outlineLevel="1" x14ac:dyDescent="0.25">
      <c r="C189" s="107"/>
      <c r="D189" s="105">
        <v>42705</v>
      </c>
      <c r="E189" s="101" t="s">
        <v>8</v>
      </c>
      <c r="F189" s="210" t="s">
        <v>49</v>
      </c>
      <c r="G189" s="3" t="s">
        <v>56</v>
      </c>
      <c r="H189" s="3" t="s">
        <v>56</v>
      </c>
      <c r="M189" s="151" t="str">
        <f t="shared" si="9"/>
        <v>/</v>
      </c>
      <c r="N189" s="151" t="str">
        <f t="shared" si="10"/>
        <v/>
      </c>
      <c r="Q189" s="239" t="str">
        <f t="shared" ca="1" si="12"/>
        <v/>
      </c>
    </row>
    <row r="190" spans="3:17" ht="15.75" hidden="1" customHeight="1" outlineLevel="1" x14ac:dyDescent="0.25">
      <c r="C190" s="107"/>
      <c r="D190" s="105">
        <v>42707</v>
      </c>
      <c r="E190" s="101" t="s">
        <v>8</v>
      </c>
      <c r="F190" s="210" t="s">
        <v>50</v>
      </c>
      <c r="G190" s="3" t="s">
        <v>56</v>
      </c>
      <c r="H190" s="3" t="s">
        <v>56</v>
      </c>
      <c r="M190" s="151" t="str">
        <f t="shared" si="9"/>
        <v/>
      </c>
      <c r="N190" s="151" t="str">
        <f t="shared" si="10"/>
        <v>/</v>
      </c>
      <c r="Q190" s="239" t="str">
        <f t="shared" ca="1" si="12"/>
        <v/>
      </c>
    </row>
    <row r="191" spans="3:17" ht="15.75" hidden="1" customHeight="1" outlineLevel="1" x14ac:dyDescent="0.25">
      <c r="C191" s="107"/>
      <c r="D191" s="105">
        <v>42709</v>
      </c>
      <c r="E191" s="101" t="s">
        <v>13</v>
      </c>
      <c r="F191" s="210" t="s">
        <v>49</v>
      </c>
      <c r="G191" s="3" t="s">
        <v>56</v>
      </c>
      <c r="H191" s="3" t="s">
        <v>56</v>
      </c>
      <c r="M191" s="151" t="str">
        <f t="shared" si="9"/>
        <v>/</v>
      </c>
      <c r="N191" s="151" t="str">
        <f t="shared" si="10"/>
        <v/>
      </c>
      <c r="Q191" s="239" t="str">
        <f t="shared" ca="1" si="12"/>
        <v/>
      </c>
    </row>
    <row r="192" spans="3:17" ht="15.75" hidden="1" customHeight="1" outlineLevel="1" x14ac:dyDescent="0.25">
      <c r="C192" s="107"/>
      <c r="D192" s="105">
        <v>42711</v>
      </c>
      <c r="E192" s="101" t="s">
        <v>15</v>
      </c>
      <c r="F192" s="210" t="s">
        <v>49</v>
      </c>
      <c r="G192" s="3" t="s">
        <v>56</v>
      </c>
      <c r="H192" s="3" t="s">
        <v>56</v>
      </c>
      <c r="M192" s="151" t="str">
        <f t="shared" si="9"/>
        <v>/</v>
      </c>
      <c r="N192" s="151" t="str">
        <f t="shared" si="10"/>
        <v/>
      </c>
      <c r="Q192" s="239" t="str">
        <f t="shared" ca="1" si="12"/>
        <v/>
      </c>
    </row>
    <row r="193" spans="3:17" ht="15.75" hidden="1" customHeight="1" outlineLevel="1" x14ac:dyDescent="0.25">
      <c r="C193" s="107"/>
      <c r="D193" s="105">
        <v>42714</v>
      </c>
      <c r="E193" s="101" t="s">
        <v>48</v>
      </c>
      <c r="F193" s="210" t="s">
        <v>50</v>
      </c>
      <c r="G193" s="3" t="s">
        <v>56</v>
      </c>
      <c r="H193" s="3" t="s">
        <v>56</v>
      </c>
      <c r="M193" s="151" t="str">
        <f t="shared" si="9"/>
        <v/>
      </c>
      <c r="N193" s="151" t="str">
        <f t="shared" si="10"/>
        <v>/</v>
      </c>
      <c r="Q193" s="239" t="str">
        <f t="shared" ca="1" si="12"/>
        <v/>
      </c>
    </row>
    <row r="194" spans="3:17" ht="15.75" hidden="1" customHeight="1" outlineLevel="1" x14ac:dyDescent="0.25">
      <c r="C194" s="107"/>
      <c r="D194" s="105">
        <v>42716</v>
      </c>
      <c r="E194" s="101" t="s">
        <v>17</v>
      </c>
      <c r="F194" s="210" t="s">
        <v>50</v>
      </c>
      <c r="G194" s="3" t="s">
        <v>56</v>
      </c>
      <c r="H194" s="3" t="s">
        <v>56</v>
      </c>
      <c r="M194" s="151" t="str">
        <f t="shared" si="9"/>
        <v/>
      </c>
      <c r="N194" s="151" t="str">
        <f t="shared" si="10"/>
        <v>/</v>
      </c>
      <c r="Q194" s="239" t="str">
        <f t="shared" ca="1" si="12"/>
        <v/>
      </c>
    </row>
    <row r="195" spans="3:17" ht="15.75" hidden="1" customHeight="1" outlineLevel="1" x14ac:dyDescent="0.25">
      <c r="C195" s="107"/>
      <c r="D195" s="105">
        <v>42718</v>
      </c>
      <c r="E195" s="101" t="s">
        <v>19</v>
      </c>
      <c r="F195" s="210" t="s">
        <v>49</v>
      </c>
      <c r="G195" s="3" t="s">
        <v>56</v>
      </c>
      <c r="H195" s="3" t="s">
        <v>56</v>
      </c>
      <c r="M195" s="151" t="str">
        <f t="shared" si="9"/>
        <v>/</v>
      </c>
      <c r="N195" s="151" t="str">
        <f t="shared" si="10"/>
        <v/>
      </c>
      <c r="Q195" s="239" t="str">
        <f t="shared" ca="1" si="12"/>
        <v/>
      </c>
    </row>
    <row r="196" spans="3:17" ht="15.75" hidden="1" customHeight="1" outlineLevel="1" x14ac:dyDescent="0.25">
      <c r="C196" s="107"/>
      <c r="D196" s="105">
        <v>42720</v>
      </c>
      <c r="E196" s="101" t="s">
        <v>10</v>
      </c>
      <c r="F196" s="210" t="s">
        <v>50</v>
      </c>
      <c r="G196" s="3" t="s">
        <v>56</v>
      </c>
      <c r="H196" s="3" t="s">
        <v>56</v>
      </c>
      <c r="M196" s="151" t="str">
        <f t="shared" si="9"/>
        <v/>
      </c>
      <c r="N196" s="151" t="str">
        <f t="shared" si="10"/>
        <v>/</v>
      </c>
      <c r="Q196" s="239" t="str">
        <f t="shared" ca="1" si="12"/>
        <v/>
      </c>
    </row>
    <row r="197" spans="3:17" ht="15.75" hidden="1" customHeight="1" outlineLevel="1" x14ac:dyDescent="0.25">
      <c r="C197" s="107"/>
      <c r="D197" s="105">
        <v>42722</v>
      </c>
      <c r="E197" s="101" t="s">
        <v>11</v>
      </c>
      <c r="F197" s="210" t="s">
        <v>50</v>
      </c>
      <c r="G197" s="3" t="s">
        <v>56</v>
      </c>
      <c r="H197" s="3" t="s">
        <v>56</v>
      </c>
      <c r="M197" s="151" t="str">
        <f t="shared" si="9"/>
        <v/>
      </c>
      <c r="N197" s="151" t="str">
        <f t="shared" si="10"/>
        <v>/</v>
      </c>
      <c r="Q197" s="239" t="str">
        <f t="shared" ca="1" si="12"/>
        <v/>
      </c>
    </row>
    <row r="198" spans="3:17" ht="15.75" hidden="1" customHeight="1" outlineLevel="1" x14ac:dyDescent="0.25">
      <c r="C198" s="107"/>
      <c r="D198" s="105">
        <v>42724</v>
      </c>
      <c r="E198" s="101" t="s">
        <v>12</v>
      </c>
      <c r="F198" s="210" t="s">
        <v>50</v>
      </c>
      <c r="G198" s="3" t="s">
        <v>56</v>
      </c>
      <c r="H198" s="3" t="s">
        <v>56</v>
      </c>
      <c r="M198" s="151" t="str">
        <f t="shared" si="9"/>
        <v/>
      </c>
      <c r="N198" s="151" t="str">
        <f t="shared" si="10"/>
        <v>/</v>
      </c>
      <c r="Q198" s="239" t="str">
        <f t="shared" ca="1" si="12"/>
        <v/>
      </c>
    </row>
    <row r="199" spans="3:17" ht="15.75" hidden="1" customHeight="1" outlineLevel="1" x14ac:dyDescent="0.25">
      <c r="C199" s="107"/>
      <c r="D199" s="105">
        <v>42726</v>
      </c>
      <c r="E199" s="101" t="s">
        <v>16</v>
      </c>
      <c r="F199" s="210" t="s">
        <v>49</v>
      </c>
      <c r="G199" s="3" t="s">
        <v>56</v>
      </c>
      <c r="H199" s="3" t="s">
        <v>56</v>
      </c>
      <c r="M199" s="151" t="str">
        <f t="shared" ref="M199:M262" si="13">IF(F199="D",H199,"")</f>
        <v>/</v>
      </c>
      <c r="N199" s="151" t="str">
        <f t="shared" ref="N199:N262" si="14">IF(F199="E",H199,"")</f>
        <v/>
      </c>
      <c r="Q199" s="239" t="str">
        <f t="shared" ca="1" si="12"/>
        <v/>
      </c>
    </row>
    <row r="200" spans="3:17" ht="15.75" hidden="1" customHeight="1" outlineLevel="1" x14ac:dyDescent="0.25">
      <c r="C200" s="107"/>
      <c r="D200" s="105">
        <v>42727</v>
      </c>
      <c r="E200" s="101" t="s">
        <v>4</v>
      </c>
      <c r="F200" s="210" t="s">
        <v>50</v>
      </c>
      <c r="G200" s="3" t="s">
        <v>56</v>
      </c>
      <c r="H200" s="3" t="s">
        <v>56</v>
      </c>
      <c r="M200" s="151" t="str">
        <f t="shared" si="13"/>
        <v/>
      </c>
      <c r="N200" s="151" t="str">
        <f t="shared" si="14"/>
        <v>/</v>
      </c>
      <c r="Q200" s="239" t="str">
        <f t="shared" ca="1" si="12"/>
        <v/>
      </c>
    </row>
    <row r="201" spans="3:17" ht="15.75" hidden="1" customHeight="1" outlineLevel="1" x14ac:dyDescent="0.25">
      <c r="C201" s="107"/>
      <c r="D201" s="105">
        <v>42730</v>
      </c>
      <c r="E201" s="101" t="s">
        <v>3</v>
      </c>
      <c r="F201" s="210" t="s">
        <v>49</v>
      </c>
      <c r="G201" s="3" t="s">
        <v>56</v>
      </c>
      <c r="H201" s="3" t="s">
        <v>56</v>
      </c>
      <c r="M201" s="151" t="str">
        <f t="shared" si="13"/>
        <v>/</v>
      </c>
      <c r="N201" s="151" t="str">
        <f t="shared" si="14"/>
        <v/>
      </c>
      <c r="Q201" s="239" t="str">
        <f t="shared" ca="1" si="12"/>
        <v/>
      </c>
    </row>
    <row r="202" spans="3:17" ht="15.75" hidden="1" customHeight="1" outlineLevel="1" x14ac:dyDescent="0.25">
      <c r="C202" s="107"/>
      <c r="D202" s="105">
        <v>42732</v>
      </c>
      <c r="E202" s="101" t="s">
        <v>2</v>
      </c>
      <c r="F202" s="210" t="s">
        <v>50</v>
      </c>
      <c r="G202" s="3" t="s">
        <v>56</v>
      </c>
      <c r="H202" s="3" t="s">
        <v>56</v>
      </c>
      <c r="M202" s="151" t="str">
        <f t="shared" si="13"/>
        <v/>
      </c>
      <c r="N202" s="151" t="str">
        <f t="shared" si="14"/>
        <v>/</v>
      </c>
      <c r="Q202" s="239" t="str">
        <f t="shared" ca="1" si="12"/>
        <v/>
      </c>
    </row>
    <row r="203" spans="3:17" ht="15.75" hidden="1" customHeight="1" outlineLevel="1" x14ac:dyDescent="0.25">
      <c r="C203" s="107"/>
      <c r="D203" s="105">
        <v>42734</v>
      </c>
      <c r="E203" s="101" t="s">
        <v>13</v>
      </c>
      <c r="F203" s="210" t="s">
        <v>50</v>
      </c>
      <c r="G203" s="3" t="s">
        <v>56</v>
      </c>
      <c r="H203" s="3" t="s">
        <v>56</v>
      </c>
      <c r="M203" s="151" t="str">
        <f t="shared" si="13"/>
        <v/>
      </c>
      <c r="N203" s="151" t="str">
        <f t="shared" si="14"/>
        <v>/</v>
      </c>
      <c r="Q203" s="239" t="str">
        <f t="shared" ca="1" si="12"/>
        <v/>
      </c>
    </row>
    <row r="204" spans="3:17" ht="15.75" hidden="1" customHeight="1" outlineLevel="1" x14ac:dyDescent="0.25">
      <c r="C204" s="106"/>
      <c r="D204" s="105">
        <v>42371</v>
      </c>
      <c r="E204" s="101" t="s">
        <v>28</v>
      </c>
      <c r="F204" s="210" t="s">
        <v>49</v>
      </c>
      <c r="G204" s="3" t="s">
        <v>56</v>
      </c>
      <c r="H204" s="3" t="s">
        <v>56</v>
      </c>
      <c r="M204" s="151" t="str">
        <f t="shared" si="13"/>
        <v>/</v>
      </c>
      <c r="N204" s="151" t="str">
        <f t="shared" si="14"/>
        <v/>
      </c>
      <c r="Q204" s="239" t="str">
        <f t="shared" ca="1" si="12"/>
        <v/>
      </c>
    </row>
    <row r="205" spans="3:17" ht="15.75" hidden="1" customHeight="1" outlineLevel="1" x14ac:dyDescent="0.25">
      <c r="C205" s="106"/>
      <c r="D205" s="105">
        <v>42374</v>
      </c>
      <c r="E205" s="101" t="s">
        <v>7</v>
      </c>
      <c r="F205" s="210" t="s">
        <v>50</v>
      </c>
      <c r="G205" s="3" t="s">
        <v>56</v>
      </c>
      <c r="H205" s="3" t="s">
        <v>56</v>
      </c>
      <c r="M205" s="151" t="str">
        <f t="shared" si="13"/>
        <v/>
      </c>
      <c r="N205" s="151" t="str">
        <f t="shared" si="14"/>
        <v>/</v>
      </c>
      <c r="Q205" s="239" t="str">
        <f t="shared" ca="1" si="12"/>
        <v/>
      </c>
    </row>
    <row r="206" spans="3:17" ht="15.75" hidden="1" customHeight="1" outlineLevel="1" x14ac:dyDescent="0.25">
      <c r="C206" s="106"/>
      <c r="D206" s="105">
        <v>42375</v>
      </c>
      <c r="E206" s="101" t="s">
        <v>4</v>
      </c>
      <c r="F206" s="210" t="s">
        <v>49</v>
      </c>
      <c r="G206" s="3" t="s">
        <v>56</v>
      </c>
      <c r="H206" s="3" t="s">
        <v>56</v>
      </c>
      <c r="M206" s="151" t="str">
        <f t="shared" si="13"/>
        <v>/</v>
      </c>
      <c r="N206" s="151" t="str">
        <f t="shared" si="14"/>
        <v/>
      </c>
      <c r="Q206" s="239" t="str">
        <f t="shared" ca="1" si="12"/>
        <v/>
      </c>
    </row>
    <row r="207" spans="3:17" ht="15.75" hidden="1" customHeight="1" outlineLevel="1" x14ac:dyDescent="0.25">
      <c r="C207" s="106"/>
      <c r="D207" s="105">
        <v>42377</v>
      </c>
      <c r="E207" s="101" t="s">
        <v>11</v>
      </c>
      <c r="F207" s="210" t="s">
        <v>49</v>
      </c>
      <c r="G207" s="3" t="s">
        <v>56</v>
      </c>
      <c r="H207" s="3" t="s">
        <v>56</v>
      </c>
      <c r="M207" s="151" t="str">
        <f t="shared" si="13"/>
        <v>/</v>
      </c>
      <c r="N207" s="151" t="str">
        <f t="shared" si="14"/>
        <v/>
      </c>
      <c r="Q207" s="239" t="str">
        <f t="shared" ca="1" si="12"/>
        <v/>
      </c>
    </row>
    <row r="208" spans="3:17" ht="15.75" hidden="1" customHeight="1" outlineLevel="1" x14ac:dyDescent="0.25">
      <c r="C208" s="106"/>
      <c r="D208" s="105">
        <v>42379</v>
      </c>
      <c r="E208" s="101" t="s">
        <v>0</v>
      </c>
      <c r="F208" s="210" t="s">
        <v>49</v>
      </c>
      <c r="G208" s="3" t="s">
        <v>56</v>
      </c>
      <c r="H208" s="3" t="s">
        <v>56</v>
      </c>
      <c r="M208" s="151" t="str">
        <f t="shared" si="13"/>
        <v>/</v>
      </c>
      <c r="N208" s="151" t="str">
        <f t="shared" si="14"/>
        <v/>
      </c>
      <c r="Q208" s="239" t="str">
        <f t="shared" ca="1" si="12"/>
        <v/>
      </c>
    </row>
    <row r="209" spans="3:17" ht="15.75" hidden="1" customHeight="1" outlineLevel="1" x14ac:dyDescent="0.25">
      <c r="C209" s="106"/>
      <c r="D209" s="105">
        <v>42381</v>
      </c>
      <c r="E209" s="101" t="s">
        <v>22</v>
      </c>
      <c r="F209" s="210" t="s">
        <v>49</v>
      </c>
      <c r="G209" s="3" t="s">
        <v>56</v>
      </c>
      <c r="H209" s="3" t="s">
        <v>56</v>
      </c>
      <c r="M209" s="151" t="str">
        <f t="shared" si="13"/>
        <v>/</v>
      </c>
      <c r="N209" s="151" t="str">
        <f t="shared" si="14"/>
        <v/>
      </c>
      <c r="Q209" s="239" t="str">
        <f t="shared" ca="1" si="12"/>
        <v/>
      </c>
    </row>
    <row r="210" spans="3:17" ht="15.75" hidden="1" customHeight="1" outlineLevel="1" x14ac:dyDescent="0.25">
      <c r="C210" s="106"/>
      <c r="D210" s="105">
        <v>42382</v>
      </c>
      <c r="E210" s="101" t="s">
        <v>12</v>
      </c>
      <c r="F210" s="210" t="s">
        <v>50</v>
      </c>
      <c r="G210" s="3" t="s">
        <v>56</v>
      </c>
      <c r="H210" s="3" t="s">
        <v>56</v>
      </c>
      <c r="M210" s="151" t="str">
        <f t="shared" si="13"/>
        <v/>
      </c>
      <c r="N210" s="151" t="str">
        <f t="shared" si="14"/>
        <v>/</v>
      </c>
      <c r="Q210" s="239" t="str">
        <f t="shared" ca="1" si="12"/>
        <v/>
      </c>
    </row>
    <row r="211" spans="3:17" ht="15.75" hidden="1" customHeight="1" outlineLevel="1" x14ac:dyDescent="0.25">
      <c r="C211" s="106"/>
      <c r="D211" s="105">
        <v>42384</v>
      </c>
      <c r="E211" s="101" t="s">
        <v>17</v>
      </c>
      <c r="F211" s="210" t="s">
        <v>49</v>
      </c>
      <c r="G211" s="3" t="s">
        <v>56</v>
      </c>
      <c r="H211" s="3" t="s">
        <v>56</v>
      </c>
      <c r="M211" s="151" t="str">
        <f t="shared" si="13"/>
        <v>/</v>
      </c>
      <c r="N211" s="151" t="str">
        <f t="shared" si="14"/>
        <v/>
      </c>
      <c r="Q211" s="239" t="str">
        <f t="shared" ca="1" si="12"/>
        <v/>
      </c>
    </row>
    <row r="212" spans="3:17" ht="15.75" hidden="1" customHeight="1" outlineLevel="1" x14ac:dyDescent="0.25">
      <c r="C212" s="106"/>
      <c r="D212" s="105">
        <v>42386</v>
      </c>
      <c r="E212" s="101" t="s">
        <v>12</v>
      </c>
      <c r="F212" s="210" t="s">
        <v>49</v>
      </c>
      <c r="G212" s="3" t="s">
        <v>56</v>
      </c>
      <c r="H212" s="3" t="s">
        <v>56</v>
      </c>
      <c r="M212" s="151" t="str">
        <f t="shared" si="13"/>
        <v>/</v>
      </c>
      <c r="N212" s="151" t="str">
        <f t="shared" si="14"/>
        <v/>
      </c>
      <c r="Q212" s="239" t="str">
        <f t="shared" ca="1" si="12"/>
        <v/>
      </c>
    </row>
    <row r="213" spans="3:17" ht="15.75" hidden="1" customHeight="1" outlineLevel="1" x14ac:dyDescent="0.25">
      <c r="C213" s="106"/>
      <c r="D213" s="105">
        <v>42389</v>
      </c>
      <c r="E213" s="101" t="s">
        <v>22</v>
      </c>
      <c r="F213" s="210" t="s">
        <v>50</v>
      </c>
      <c r="G213" s="3" t="s">
        <v>56</v>
      </c>
      <c r="H213" s="3" t="s">
        <v>56</v>
      </c>
      <c r="M213" s="151" t="str">
        <f t="shared" si="13"/>
        <v/>
      </c>
      <c r="N213" s="151" t="str">
        <f t="shared" si="14"/>
        <v>/</v>
      </c>
      <c r="Q213" s="239" t="str">
        <f t="shared" ca="1" si="12"/>
        <v/>
      </c>
    </row>
    <row r="214" spans="3:17" ht="15.75" hidden="1" customHeight="1" outlineLevel="1" x14ac:dyDescent="0.25">
      <c r="C214" s="106"/>
      <c r="D214" s="105">
        <v>42390</v>
      </c>
      <c r="E214" s="101" t="s">
        <v>3</v>
      </c>
      <c r="F214" s="210" t="s">
        <v>50</v>
      </c>
      <c r="G214" s="3" t="s">
        <v>56</v>
      </c>
      <c r="H214" s="3" t="s">
        <v>56</v>
      </c>
      <c r="M214" s="151" t="str">
        <f t="shared" si="13"/>
        <v/>
      </c>
      <c r="N214" s="151" t="str">
        <f t="shared" si="14"/>
        <v>/</v>
      </c>
      <c r="Q214" s="239" t="str">
        <f t="shared" ca="1" si="12"/>
        <v/>
      </c>
    </row>
    <row r="215" spans="3:17" ht="15.75" hidden="1" customHeight="1" outlineLevel="1" x14ac:dyDescent="0.25">
      <c r="C215" s="106"/>
      <c r="D215" s="105">
        <v>42392</v>
      </c>
      <c r="E215" s="101" t="s">
        <v>47</v>
      </c>
      <c r="F215" s="210" t="s">
        <v>49</v>
      </c>
      <c r="G215" s="3" t="s">
        <v>56</v>
      </c>
      <c r="H215" s="3" t="s">
        <v>56</v>
      </c>
      <c r="M215" s="151" t="str">
        <f t="shared" si="13"/>
        <v>/</v>
      </c>
      <c r="N215" s="151" t="str">
        <f t="shared" si="14"/>
        <v/>
      </c>
      <c r="Q215" s="239" t="str">
        <f t="shared" ca="1" si="12"/>
        <v/>
      </c>
    </row>
    <row r="216" spans="3:17" ht="15.75" hidden="1" customHeight="1" outlineLevel="1" x14ac:dyDescent="0.25">
      <c r="C216" s="106"/>
      <c r="D216" s="105">
        <v>42394</v>
      </c>
      <c r="E216" s="101" t="s">
        <v>6</v>
      </c>
      <c r="F216" s="210" t="s">
        <v>49</v>
      </c>
      <c r="G216" s="3" t="s">
        <v>56</v>
      </c>
      <c r="H216" s="3" t="s">
        <v>56</v>
      </c>
      <c r="M216" s="151" t="str">
        <f t="shared" si="13"/>
        <v>/</v>
      </c>
      <c r="N216" s="151" t="str">
        <f t="shared" si="14"/>
        <v/>
      </c>
      <c r="Q216" s="239" t="str">
        <f t="shared" ca="1" si="12"/>
        <v/>
      </c>
    </row>
    <row r="217" spans="3:17" ht="15.75" hidden="1" customHeight="1" outlineLevel="1" x14ac:dyDescent="0.25">
      <c r="C217" s="106"/>
      <c r="D217" s="105">
        <v>42396</v>
      </c>
      <c r="E217" s="101" t="s">
        <v>4</v>
      </c>
      <c r="F217" s="210" t="s">
        <v>50</v>
      </c>
      <c r="G217" s="3" t="s">
        <v>56</v>
      </c>
      <c r="H217" s="3" t="s">
        <v>56</v>
      </c>
      <c r="M217" s="151" t="str">
        <f t="shared" si="13"/>
        <v/>
      </c>
      <c r="N217" s="151" t="str">
        <f t="shared" si="14"/>
        <v>/</v>
      </c>
      <c r="Q217" s="239" t="str">
        <f t="shared" ca="1" si="12"/>
        <v/>
      </c>
    </row>
    <row r="218" spans="3:17" ht="15.75" hidden="1" customHeight="1" outlineLevel="1" x14ac:dyDescent="0.25">
      <c r="C218" s="106"/>
      <c r="D218" s="105">
        <v>42397</v>
      </c>
      <c r="E218" s="101" t="s">
        <v>21</v>
      </c>
      <c r="F218" s="210" t="s">
        <v>50</v>
      </c>
      <c r="G218" s="3" t="s">
        <v>56</v>
      </c>
      <c r="H218" s="3" t="s">
        <v>56</v>
      </c>
      <c r="M218" s="151" t="str">
        <f t="shared" si="13"/>
        <v/>
      </c>
      <c r="N218" s="151" t="str">
        <f t="shared" si="14"/>
        <v>/</v>
      </c>
      <c r="Q218" s="239" t="str">
        <f t="shared" ca="1" si="12"/>
        <v/>
      </c>
    </row>
    <row r="219" spans="3:17" ht="15.75" hidden="1" customHeight="1" outlineLevel="1" x14ac:dyDescent="0.25">
      <c r="C219" s="106"/>
      <c r="D219" s="105">
        <v>42399</v>
      </c>
      <c r="E219" s="101" t="s">
        <v>6</v>
      </c>
      <c r="F219" s="210" t="s">
        <v>50</v>
      </c>
      <c r="G219" s="3" t="s">
        <v>56</v>
      </c>
      <c r="H219" s="3" t="s">
        <v>56</v>
      </c>
      <c r="M219" s="151" t="str">
        <f t="shared" si="13"/>
        <v/>
      </c>
      <c r="N219" s="151" t="str">
        <f t="shared" si="14"/>
        <v>/</v>
      </c>
      <c r="Q219" s="239" t="str">
        <f t="shared" ca="1" si="12"/>
        <v/>
      </c>
    </row>
    <row r="220" spans="3:17" ht="15.75" hidden="1" customHeight="1" outlineLevel="1" x14ac:dyDescent="0.25">
      <c r="C220" s="107"/>
      <c r="D220" s="105">
        <v>42401</v>
      </c>
      <c r="E220" s="101" t="s">
        <v>9</v>
      </c>
      <c r="F220" s="210" t="s">
        <v>49</v>
      </c>
      <c r="G220" s="3" t="s">
        <v>56</v>
      </c>
      <c r="H220" s="3" t="s">
        <v>56</v>
      </c>
      <c r="M220" s="151" t="str">
        <f t="shared" si="13"/>
        <v>/</v>
      </c>
      <c r="N220" s="151" t="str">
        <f t="shared" si="14"/>
        <v/>
      </c>
      <c r="Q220" s="239" t="str">
        <f t="shared" ca="1" si="12"/>
        <v/>
      </c>
    </row>
    <row r="221" spans="3:17" ht="15.75" hidden="1" customHeight="1" outlineLevel="1" x14ac:dyDescent="0.25">
      <c r="C221" s="107"/>
      <c r="D221" s="105">
        <v>42403</v>
      </c>
      <c r="E221" s="101" t="s">
        <v>7</v>
      </c>
      <c r="F221" s="210" t="s">
        <v>49</v>
      </c>
      <c r="G221" s="3" t="s">
        <v>56</v>
      </c>
      <c r="H221" s="3" t="s">
        <v>56</v>
      </c>
      <c r="M221" s="151" t="str">
        <f t="shared" si="13"/>
        <v>/</v>
      </c>
      <c r="N221" s="151" t="str">
        <f t="shared" si="14"/>
        <v/>
      </c>
      <c r="Q221" s="239" t="str">
        <f t="shared" ca="1" si="12"/>
        <v/>
      </c>
    </row>
    <row r="222" spans="3:17" ht="15.75" hidden="1" customHeight="1" outlineLevel="1" x14ac:dyDescent="0.25">
      <c r="C222" s="107"/>
      <c r="D222" s="105">
        <v>42405</v>
      </c>
      <c r="E222" s="101" t="s">
        <v>12</v>
      </c>
      <c r="F222" s="210" t="s">
        <v>49</v>
      </c>
      <c r="G222" s="3" t="s">
        <v>56</v>
      </c>
      <c r="H222" s="3" t="s">
        <v>56</v>
      </c>
      <c r="M222" s="151" t="str">
        <f t="shared" si="13"/>
        <v>/</v>
      </c>
      <c r="N222" s="151" t="str">
        <f t="shared" si="14"/>
        <v/>
      </c>
      <c r="Q222" s="239" t="str">
        <f t="shared" ca="1" si="12"/>
        <v/>
      </c>
    </row>
    <row r="223" spans="3:17" ht="15.75" hidden="1" customHeight="1" outlineLevel="1" x14ac:dyDescent="0.25">
      <c r="C223" s="107"/>
      <c r="D223" s="105">
        <v>42407</v>
      </c>
      <c r="E223" s="101" t="s">
        <v>3</v>
      </c>
      <c r="F223" s="210" t="s">
        <v>50</v>
      </c>
      <c r="G223" s="3" t="s">
        <v>56</v>
      </c>
      <c r="H223" s="3" t="s">
        <v>56</v>
      </c>
      <c r="M223" s="151" t="str">
        <f t="shared" si="13"/>
        <v/>
      </c>
      <c r="N223" s="151" t="str">
        <f t="shared" si="14"/>
        <v>/</v>
      </c>
      <c r="Q223" s="239" t="str">
        <f t="shared" ca="1" si="12"/>
        <v/>
      </c>
    </row>
    <row r="224" spans="3:17" ht="15.75" hidden="1" customHeight="1" outlineLevel="1" x14ac:dyDescent="0.25">
      <c r="C224" s="107"/>
      <c r="D224" s="105">
        <v>42408</v>
      </c>
      <c r="E224" s="101" t="s">
        <v>13</v>
      </c>
      <c r="F224" s="210" t="s">
        <v>49</v>
      </c>
      <c r="G224" s="3" t="s">
        <v>56</v>
      </c>
      <c r="H224" s="3" t="s">
        <v>56</v>
      </c>
      <c r="M224" s="151" t="str">
        <f t="shared" si="13"/>
        <v>/</v>
      </c>
      <c r="N224" s="151" t="str">
        <f t="shared" si="14"/>
        <v/>
      </c>
      <c r="Q224" s="239" t="str">
        <f t="shared" ca="1" si="12"/>
        <v/>
      </c>
    </row>
    <row r="225" spans="3:17" ht="15.75" hidden="1" customHeight="1" outlineLevel="1" x14ac:dyDescent="0.25">
      <c r="C225" s="107"/>
      <c r="D225" s="105">
        <v>42410</v>
      </c>
      <c r="E225" s="101" t="s">
        <v>6</v>
      </c>
      <c r="F225" s="210" t="s">
        <v>49</v>
      </c>
      <c r="G225" s="3" t="s">
        <v>56</v>
      </c>
      <c r="H225" s="3" t="s">
        <v>56</v>
      </c>
      <c r="M225" s="151" t="str">
        <f t="shared" si="13"/>
        <v>/</v>
      </c>
      <c r="N225" s="151" t="str">
        <f t="shared" si="14"/>
        <v/>
      </c>
      <c r="Q225" s="239" t="str">
        <f t="shared" ca="1" si="12"/>
        <v/>
      </c>
    </row>
    <row r="226" spans="3:17" ht="15.75" hidden="1" customHeight="1" outlineLevel="1" x14ac:dyDescent="0.25">
      <c r="C226" s="107"/>
      <c r="D226" s="105">
        <v>42413</v>
      </c>
      <c r="E226" s="101" t="s">
        <v>20</v>
      </c>
      <c r="F226" s="210" t="s">
        <v>49</v>
      </c>
      <c r="G226" s="3" t="s">
        <v>56</v>
      </c>
      <c r="H226" s="3" t="s">
        <v>56</v>
      </c>
      <c r="M226" s="151" t="str">
        <f t="shared" si="13"/>
        <v>/</v>
      </c>
      <c r="N226" s="151" t="str">
        <f t="shared" si="14"/>
        <v/>
      </c>
      <c r="Q226" s="239" t="str">
        <f t="shared" ca="1" si="12"/>
        <v/>
      </c>
    </row>
    <row r="227" spans="3:17" ht="15.75" hidden="1" customHeight="1" outlineLevel="1" x14ac:dyDescent="0.25">
      <c r="C227" s="107"/>
      <c r="D227" s="105">
        <v>42415</v>
      </c>
      <c r="E227" s="101" t="s">
        <v>8</v>
      </c>
      <c r="F227" s="210" t="s">
        <v>49</v>
      </c>
      <c r="G227" s="3" t="s">
        <v>56</v>
      </c>
      <c r="H227" s="3" t="s">
        <v>56</v>
      </c>
      <c r="M227" s="151" t="str">
        <f t="shared" si="13"/>
        <v>/</v>
      </c>
      <c r="N227" s="151" t="str">
        <f t="shared" si="14"/>
        <v/>
      </c>
      <c r="Q227" s="239" t="str">
        <f t="shared" ca="1" si="12"/>
        <v/>
      </c>
    </row>
    <row r="228" spans="3:17" ht="15.75" hidden="1" customHeight="1" outlineLevel="1" x14ac:dyDescent="0.25">
      <c r="C228" s="107"/>
      <c r="D228" s="105">
        <v>42424</v>
      </c>
      <c r="E228" s="101" t="s">
        <v>15</v>
      </c>
      <c r="F228" s="210" t="s">
        <v>50</v>
      </c>
      <c r="G228" s="3" t="s">
        <v>56</v>
      </c>
      <c r="H228" s="3" t="s">
        <v>56</v>
      </c>
      <c r="M228" s="151" t="str">
        <f t="shared" si="13"/>
        <v/>
      </c>
      <c r="N228" s="151" t="str">
        <f t="shared" si="14"/>
        <v>/</v>
      </c>
      <c r="Q228" s="239" t="str">
        <f t="shared" ca="1" si="12"/>
        <v/>
      </c>
    </row>
    <row r="229" spans="3:17" ht="15.75" hidden="1" customHeight="1" outlineLevel="1" x14ac:dyDescent="0.25">
      <c r="C229" s="107"/>
      <c r="D229" s="105">
        <v>42425</v>
      </c>
      <c r="E229" s="101" t="s">
        <v>16</v>
      </c>
      <c r="F229" s="210" t="s">
        <v>50</v>
      </c>
      <c r="G229" s="3" t="s">
        <v>56</v>
      </c>
      <c r="H229" s="3" t="s">
        <v>56</v>
      </c>
      <c r="M229" s="151" t="str">
        <f t="shared" si="13"/>
        <v/>
      </c>
      <c r="N229" s="151" t="str">
        <f t="shared" si="14"/>
        <v>/</v>
      </c>
      <c r="Q229" s="239" t="str">
        <f t="shared" ca="1" si="12"/>
        <v/>
      </c>
    </row>
    <row r="230" spans="3:17" ht="15.75" hidden="1" customHeight="1" outlineLevel="1" x14ac:dyDescent="0.25">
      <c r="C230" s="106"/>
      <c r="D230" s="105">
        <v>42430</v>
      </c>
      <c r="E230" s="101" t="s">
        <v>26</v>
      </c>
      <c r="F230" s="210" t="s">
        <v>50</v>
      </c>
      <c r="G230" s="3" t="s">
        <v>56</v>
      </c>
      <c r="H230" s="3" t="s">
        <v>56</v>
      </c>
      <c r="M230" s="151" t="str">
        <f t="shared" si="13"/>
        <v/>
      </c>
      <c r="N230" s="151" t="str">
        <f t="shared" si="14"/>
        <v>/</v>
      </c>
      <c r="Q230" s="239" t="str">
        <f t="shared" ca="1" si="12"/>
        <v/>
      </c>
    </row>
    <row r="231" spans="3:17" ht="15.75" hidden="1" customHeight="1" outlineLevel="1" x14ac:dyDescent="0.25">
      <c r="C231" s="106"/>
      <c r="D231" s="105">
        <v>42432</v>
      </c>
      <c r="E231" s="101" t="s">
        <v>28</v>
      </c>
      <c r="F231" s="210" t="s">
        <v>50</v>
      </c>
      <c r="G231" s="3" t="s">
        <v>56</v>
      </c>
      <c r="H231" s="3" t="s">
        <v>56</v>
      </c>
      <c r="M231" s="151" t="str">
        <f t="shared" si="13"/>
        <v/>
      </c>
      <c r="N231" s="151" t="str">
        <f t="shared" si="14"/>
        <v>/</v>
      </c>
      <c r="Q231" s="239" t="str">
        <f t="shared" ca="1" si="12"/>
        <v/>
      </c>
    </row>
    <row r="232" spans="3:17" ht="15.75" hidden="1" customHeight="1" outlineLevel="1" x14ac:dyDescent="0.25">
      <c r="C232" s="106"/>
      <c r="D232" s="105">
        <v>42433</v>
      </c>
      <c r="E232" s="101" t="s">
        <v>24</v>
      </c>
      <c r="F232" s="210" t="s">
        <v>50</v>
      </c>
      <c r="G232" s="3" t="s">
        <v>56</v>
      </c>
      <c r="H232" s="3" t="s">
        <v>56</v>
      </c>
      <c r="M232" s="151" t="str">
        <f t="shared" si="13"/>
        <v/>
      </c>
      <c r="N232" s="151" t="str">
        <f t="shared" si="14"/>
        <v>/</v>
      </c>
      <c r="Q232" s="239" t="str">
        <f t="shared" ca="1" si="12"/>
        <v/>
      </c>
    </row>
    <row r="233" spans="3:17" ht="15.75" hidden="1" customHeight="1" outlineLevel="1" x14ac:dyDescent="0.25">
      <c r="C233" s="106"/>
      <c r="D233" s="105">
        <v>42435</v>
      </c>
      <c r="E233" s="101" t="s">
        <v>20</v>
      </c>
      <c r="F233" s="210" t="s">
        <v>50</v>
      </c>
      <c r="G233" s="3" t="s">
        <v>56</v>
      </c>
      <c r="H233" s="3" t="s">
        <v>56</v>
      </c>
      <c r="M233" s="151" t="str">
        <f t="shared" si="13"/>
        <v/>
      </c>
      <c r="N233" s="151" t="str">
        <f t="shared" si="14"/>
        <v>/</v>
      </c>
      <c r="Q233" s="239" t="str">
        <f t="shared" ca="1" si="12"/>
        <v/>
      </c>
    </row>
    <row r="234" spans="3:17" ht="15.75" hidden="1" customHeight="1" outlineLevel="1" x14ac:dyDescent="0.25">
      <c r="C234" s="106"/>
      <c r="D234" s="105">
        <v>42437</v>
      </c>
      <c r="E234" s="101" t="s">
        <v>0</v>
      </c>
      <c r="F234" s="210" t="s">
        <v>50</v>
      </c>
      <c r="G234" s="3" t="s">
        <v>56</v>
      </c>
      <c r="H234" s="3" t="s">
        <v>56</v>
      </c>
      <c r="M234" s="151" t="str">
        <f t="shared" si="13"/>
        <v/>
      </c>
      <c r="N234" s="151" t="str">
        <f t="shared" si="14"/>
        <v>/</v>
      </c>
      <c r="Q234" s="239" t="str">
        <f t="shared" ca="1" si="12"/>
        <v/>
      </c>
    </row>
    <row r="235" spans="3:17" ht="15.75" hidden="1" customHeight="1" outlineLevel="1" x14ac:dyDescent="0.25">
      <c r="C235" s="106"/>
      <c r="D235" s="105">
        <v>42439</v>
      </c>
      <c r="E235" s="101" t="s">
        <v>14</v>
      </c>
      <c r="F235" s="210" t="s">
        <v>50</v>
      </c>
      <c r="G235" s="3" t="s">
        <v>56</v>
      </c>
      <c r="H235" s="3" t="s">
        <v>56</v>
      </c>
      <c r="M235" s="151" t="str">
        <f t="shared" si="13"/>
        <v/>
      </c>
      <c r="N235" s="151" t="str">
        <f t="shared" si="14"/>
        <v>/</v>
      </c>
      <c r="Q235" s="239" t="str">
        <f t="shared" ref="Q235:Q298" ca="1" si="15">IF(D235=TODAY(),1,"")</f>
        <v/>
      </c>
    </row>
    <row r="236" spans="3:17" ht="15.75" hidden="1" customHeight="1" outlineLevel="1" x14ac:dyDescent="0.25">
      <c r="C236" s="106"/>
      <c r="D236" s="105">
        <v>42441</v>
      </c>
      <c r="E236" s="101" t="s">
        <v>9</v>
      </c>
      <c r="F236" s="210" t="s">
        <v>49</v>
      </c>
      <c r="G236" s="3" t="s">
        <v>56</v>
      </c>
      <c r="H236" s="3" t="s">
        <v>56</v>
      </c>
      <c r="M236" s="151" t="str">
        <f t="shared" si="13"/>
        <v>/</v>
      </c>
      <c r="N236" s="151" t="str">
        <f t="shared" si="14"/>
        <v/>
      </c>
      <c r="Q236" s="239" t="str">
        <f t="shared" ca="1" si="15"/>
        <v/>
      </c>
    </row>
    <row r="237" spans="3:17" ht="15.75" hidden="1" customHeight="1" outlineLevel="1" x14ac:dyDescent="0.25">
      <c r="C237" s="106"/>
      <c r="D237" s="105">
        <v>42443</v>
      </c>
      <c r="E237" s="101" t="s">
        <v>23</v>
      </c>
      <c r="F237" s="210" t="s">
        <v>49</v>
      </c>
      <c r="G237" s="3" t="s">
        <v>56</v>
      </c>
      <c r="H237" s="3" t="s">
        <v>56</v>
      </c>
      <c r="M237" s="151" t="str">
        <f t="shared" si="13"/>
        <v>/</v>
      </c>
      <c r="N237" s="151" t="str">
        <f t="shared" si="14"/>
        <v/>
      </c>
      <c r="Q237" s="239" t="str">
        <f t="shared" ca="1" si="15"/>
        <v/>
      </c>
    </row>
    <row r="238" spans="3:17" ht="15.75" hidden="1" customHeight="1" outlineLevel="1" x14ac:dyDescent="0.25">
      <c r="C238" s="106"/>
      <c r="D238" s="105">
        <v>42445</v>
      </c>
      <c r="E238" s="101" t="s">
        <v>9</v>
      </c>
      <c r="F238" s="210" t="s">
        <v>50</v>
      </c>
      <c r="G238" s="3" t="s">
        <v>56</v>
      </c>
      <c r="H238" s="3" t="s">
        <v>56</v>
      </c>
      <c r="M238" s="151" t="str">
        <f t="shared" si="13"/>
        <v/>
      </c>
      <c r="N238" s="151" t="str">
        <f t="shared" si="14"/>
        <v>/</v>
      </c>
      <c r="Q238" s="239" t="str">
        <f t="shared" ca="1" si="15"/>
        <v/>
      </c>
    </row>
    <row r="239" spans="3:17" ht="15.75" hidden="1" customHeight="1" outlineLevel="1" x14ac:dyDescent="0.25">
      <c r="C239" s="106"/>
      <c r="D239" s="105">
        <v>42446</v>
      </c>
      <c r="E239" s="101" t="s">
        <v>1</v>
      </c>
      <c r="F239" s="210" t="s">
        <v>49</v>
      </c>
      <c r="G239" s="3" t="s">
        <v>56</v>
      </c>
      <c r="H239" s="3" t="s">
        <v>56</v>
      </c>
      <c r="M239" s="151" t="str">
        <f t="shared" si="13"/>
        <v>/</v>
      </c>
      <c r="N239" s="151" t="str">
        <f t="shared" si="14"/>
        <v/>
      </c>
      <c r="Q239" s="239" t="str">
        <f t="shared" ca="1" si="15"/>
        <v/>
      </c>
    </row>
    <row r="240" spans="3:17" ht="15.75" hidden="1" customHeight="1" outlineLevel="1" x14ac:dyDescent="0.25">
      <c r="C240" s="106"/>
      <c r="D240" s="105">
        <v>42448</v>
      </c>
      <c r="E240" s="101" t="s">
        <v>14</v>
      </c>
      <c r="F240" s="210" t="s">
        <v>49</v>
      </c>
      <c r="G240" s="3" t="s">
        <v>56</v>
      </c>
      <c r="H240" s="3" t="s">
        <v>56</v>
      </c>
      <c r="M240" s="151" t="str">
        <f t="shared" si="13"/>
        <v>/</v>
      </c>
      <c r="N240" s="151" t="str">
        <f t="shared" si="14"/>
        <v/>
      </c>
      <c r="Q240" s="239" t="str">
        <f t="shared" ca="1" si="15"/>
        <v/>
      </c>
    </row>
    <row r="241" spans="2:17" ht="15.75" hidden="1" customHeight="1" outlineLevel="1" x14ac:dyDescent="0.25">
      <c r="C241" s="106"/>
      <c r="D241" s="105">
        <v>42450</v>
      </c>
      <c r="E241" s="101" t="s">
        <v>5</v>
      </c>
      <c r="F241" s="210" t="s">
        <v>49</v>
      </c>
      <c r="G241" s="3" t="s">
        <v>56</v>
      </c>
      <c r="H241" s="3" t="s">
        <v>56</v>
      </c>
      <c r="M241" s="151" t="str">
        <f t="shared" si="13"/>
        <v>/</v>
      </c>
      <c r="N241" s="151" t="str">
        <f t="shared" si="14"/>
        <v/>
      </c>
      <c r="Q241" s="239" t="str">
        <f t="shared" ca="1" si="15"/>
        <v/>
      </c>
    </row>
    <row r="242" spans="2:17" ht="15.75" hidden="1" customHeight="1" outlineLevel="1" x14ac:dyDescent="0.25">
      <c r="C242" s="106"/>
      <c r="D242" s="105">
        <v>42452</v>
      </c>
      <c r="E242" s="101" t="s">
        <v>25</v>
      </c>
      <c r="F242" s="210" t="s">
        <v>49</v>
      </c>
      <c r="G242" s="3" t="s">
        <v>56</v>
      </c>
      <c r="H242" s="3" t="s">
        <v>56</v>
      </c>
      <c r="M242" s="151" t="str">
        <f t="shared" si="13"/>
        <v>/</v>
      </c>
      <c r="N242" s="151" t="str">
        <f t="shared" si="14"/>
        <v/>
      </c>
      <c r="Q242" s="239" t="str">
        <f t="shared" ca="1" si="15"/>
        <v/>
      </c>
    </row>
    <row r="243" spans="2:17" ht="15.75" hidden="1" customHeight="1" outlineLevel="1" x14ac:dyDescent="0.25">
      <c r="C243" s="106"/>
      <c r="D243" s="105">
        <v>42453</v>
      </c>
      <c r="E243" s="101" t="s">
        <v>13</v>
      </c>
      <c r="F243" s="210" t="s">
        <v>50</v>
      </c>
      <c r="G243" s="3" t="s">
        <v>56</v>
      </c>
      <c r="H243" s="3" t="s">
        <v>56</v>
      </c>
      <c r="M243" s="151" t="str">
        <f t="shared" si="13"/>
        <v/>
      </c>
      <c r="N243" s="151" t="str">
        <f t="shared" si="14"/>
        <v>/</v>
      </c>
      <c r="Q243" s="239" t="str">
        <f t="shared" ca="1" si="15"/>
        <v/>
      </c>
    </row>
    <row r="244" spans="2:17" ht="15.75" hidden="1" customHeight="1" outlineLevel="1" x14ac:dyDescent="0.25">
      <c r="C244" s="106"/>
      <c r="D244" s="105">
        <v>42455</v>
      </c>
      <c r="E244" s="101" t="s">
        <v>0</v>
      </c>
      <c r="F244" s="210" t="s">
        <v>50</v>
      </c>
      <c r="G244" s="3" t="s">
        <v>56</v>
      </c>
      <c r="H244" s="3" t="s">
        <v>56</v>
      </c>
      <c r="M244" s="151" t="str">
        <f t="shared" si="13"/>
        <v/>
      </c>
      <c r="N244" s="151" t="str">
        <f t="shared" si="14"/>
        <v>/</v>
      </c>
      <c r="Q244" s="239" t="str">
        <f t="shared" ca="1" si="15"/>
        <v/>
      </c>
    </row>
    <row r="245" spans="2:17" ht="15.75" hidden="1" customHeight="1" outlineLevel="1" x14ac:dyDescent="0.25">
      <c r="C245" s="106"/>
      <c r="D245" s="105">
        <v>42457</v>
      </c>
      <c r="E245" s="101" t="s">
        <v>11</v>
      </c>
      <c r="F245" s="210" t="s">
        <v>49</v>
      </c>
      <c r="G245" s="3" t="s">
        <v>56</v>
      </c>
      <c r="H245" s="3" t="s">
        <v>56</v>
      </c>
      <c r="M245" s="151" t="str">
        <f t="shared" si="13"/>
        <v>/</v>
      </c>
      <c r="N245" s="151" t="str">
        <f t="shared" si="14"/>
        <v/>
      </c>
      <c r="Q245" s="239" t="str">
        <f t="shared" ca="1" si="15"/>
        <v/>
      </c>
    </row>
    <row r="246" spans="2:17" ht="15.75" hidden="1" customHeight="1" outlineLevel="1" x14ac:dyDescent="0.25">
      <c r="C246" s="106"/>
      <c r="D246" s="105">
        <v>42459</v>
      </c>
      <c r="E246" s="101" t="s">
        <v>5</v>
      </c>
      <c r="F246" s="210" t="s">
        <v>50</v>
      </c>
      <c r="G246" s="3" t="s">
        <v>56</v>
      </c>
      <c r="H246" s="3" t="s">
        <v>56</v>
      </c>
      <c r="M246" s="151" t="str">
        <f t="shared" si="13"/>
        <v/>
      </c>
      <c r="N246" s="151" t="str">
        <f t="shared" si="14"/>
        <v>/</v>
      </c>
      <c r="Q246" s="239" t="str">
        <f t="shared" ca="1" si="15"/>
        <v/>
      </c>
    </row>
    <row r="247" spans="2:17" ht="15.75" hidden="1" customHeight="1" outlineLevel="1" x14ac:dyDescent="0.25">
      <c r="C247" s="107"/>
      <c r="D247" s="105">
        <v>42461</v>
      </c>
      <c r="E247" s="101" t="s">
        <v>10</v>
      </c>
      <c r="F247" s="210" t="s">
        <v>49</v>
      </c>
      <c r="G247" s="3" t="s">
        <v>56</v>
      </c>
      <c r="H247" s="3" t="s">
        <v>56</v>
      </c>
      <c r="M247" s="151" t="str">
        <f t="shared" si="13"/>
        <v>/</v>
      </c>
      <c r="N247" s="151" t="str">
        <f t="shared" si="14"/>
        <v/>
      </c>
      <c r="Q247" s="239" t="str">
        <f t="shared" ca="1" si="15"/>
        <v/>
      </c>
    </row>
    <row r="248" spans="2:17" ht="15.75" hidden="1" customHeight="1" outlineLevel="1" x14ac:dyDescent="0.25">
      <c r="C248" s="107"/>
      <c r="D248" s="105">
        <v>42462</v>
      </c>
      <c r="E248" s="101" t="s">
        <v>0</v>
      </c>
      <c r="F248" s="210" t="s">
        <v>49</v>
      </c>
      <c r="G248" s="3" t="s">
        <v>56</v>
      </c>
      <c r="H248" s="3" t="s">
        <v>56</v>
      </c>
      <c r="M248" s="151" t="str">
        <f t="shared" si="13"/>
        <v>/</v>
      </c>
      <c r="N248" s="151" t="str">
        <f t="shared" si="14"/>
        <v/>
      </c>
      <c r="Q248" s="239" t="str">
        <f t="shared" ca="1" si="15"/>
        <v/>
      </c>
    </row>
    <row r="249" spans="2:17" ht="15.75" hidden="1" customHeight="1" outlineLevel="1" x14ac:dyDescent="0.25">
      <c r="C249" s="107"/>
      <c r="D249" s="105">
        <v>42464</v>
      </c>
      <c r="E249" s="101" t="s">
        <v>11</v>
      </c>
      <c r="F249" s="210" t="s">
        <v>50</v>
      </c>
      <c r="G249" s="3" t="s">
        <v>56</v>
      </c>
      <c r="H249" s="3" t="s">
        <v>56</v>
      </c>
      <c r="M249" s="151" t="str">
        <f t="shared" si="13"/>
        <v/>
      </c>
      <c r="N249" s="151" t="str">
        <f t="shared" si="14"/>
        <v>/</v>
      </c>
      <c r="Q249" s="239" t="str">
        <f t="shared" ca="1" si="15"/>
        <v/>
      </c>
    </row>
    <row r="250" spans="2:17" ht="15.75" hidden="1" customHeight="1" outlineLevel="1" x14ac:dyDescent="0.25">
      <c r="C250" s="107"/>
      <c r="D250" s="105">
        <v>42466</v>
      </c>
      <c r="E250" s="101" t="s">
        <v>10</v>
      </c>
      <c r="F250" s="210" t="s">
        <v>50</v>
      </c>
      <c r="G250" s="3" t="s">
        <v>56</v>
      </c>
      <c r="H250" s="3" t="s">
        <v>56</v>
      </c>
      <c r="M250" s="151" t="str">
        <f t="shared" si="13"/>
        <v/>
      </c>
      <c r="N250" s="151" t="str">
        <f t="shared" si="14"/>
        <v>/</v>
      </c>
      <c r="Q250" s="239" t="str">
        <f t="shared" ca="1" si="15"/>
        <v/>
      </c>
    </row>
    <row r="251" spans="2:17" ht="15.75" hidden="1" customHeight="1" outlineLevel="1" x14ac:dyDescent="0.25">
      <c r="C251" s="107"/>
      <c r="D251" s="105">
        <v>42468</v>
      </c>
      <c r="E251" s="101" t="s">
        <v>2</v>
      </c>
      <c r="F251" s="210" t="s">
        <v>49</v>
      </c>
      <c r="G251" s="3" t="s">
        <v>56</v>
      </c>
      <c r="H251" s="3" t="s">
        <v>56</v>
      </c>
      <c r="M251" s="151" t="str">
        <f t="shared" si="13"/>
        <v>/</v>
      </c>
      <c r="N251" s="151" t="str">
        <f t="shared" si="14"/>
        <v/>
      </c>
      <c r="Q251" s="239" t="str">
        <f t="shared" ca="1" si="15"/>
        <v/>
      </c>
    </row>
    <row r="252" spans="2:17" ht="15.75" hidden="1" customHeight="1" outlineLevel="1" x14ac:dyDescent="0.25">
      <c r="C252" s="107"/>
      <c r="D252" s="105">
        <v>42470</v>
      </c>
      <c r="E252" s="101" t="s">
        <v>1</v>
      </c>
      <c r="F252" s="210" t="s">
        <v>50</v>
      </c>
      <c r="G252" s="3" t="s">
        <v>56</v>
      </c>
      <c r="H252" s="3" t="s">
        <v>56</v>
      </c>
      <c r="M252" s="151" t="str">
        <f t="shared" si="13"/>
        <v/>
      </c>
      <c r="N252" s="151" t="str">
        <f t="shared" si="14"/>
        <v>/</v>
      </c>
      <c r="Q252" s="239" t="str">
        <f t="shared" ca="1" si="15"/>
        <v/>
      </c>
    </row>
    <row r="253" spans="2:17" ht="15.75" hidden="1" customHeight="1" outlineLevel="1" x14ac:dyDescent="0.25">
      <c r="C253" s="107"/>
      <c r="D253" s="105">
        <v>42472</v>
      </c>
      <c r="E253" s="102" t="s">
        <v>2</v>
      </c>
      <c r="F253" s="211" t="s">
        <v>50</v>
      </c>
      <c r="G253" s="3" t="s">
        <v>56</v>
      </c>
      <c r="H253" s="3" t="s">
        <v>56</v>
      </c>
      <c r="M253" s="151" t="str">
        <f t="shared" si="13"/>
        <v/>
      </c>
      <c r="N253" s="151" t="str">
        <f t="shared" si="14"/>
        <v>/</v>
      </c>
      <c r="Q253" s="239" t="str">
        <f t="shared" ca="1" si="15"/>
        <v/>
      </c>
    </row>
    <row r="254" spans="2:17" collapsed="1" x14ac:dyDescent="0.25">
      <c r="B254" s="404" t="e">
        <f ca="1">"- "&amp;INDEX(E255:E336,MATCH(TODAY(),D255:D336,0))</f>
        <v>#N/A</v>
      </c>
      <c r="C254" s="404"/>
      <c r="D254" s="413" t="s">
        <v>2</v>
      </c>
      <c r="E254" s="414"/>
      <c r="F254" s="415"/>
      <c r="H254" s="3"/>
      <c r="Q254" s="239" t="str">
        <f t="shared" ca="1" si="15"/>
        <v/>
      </c>
    </row>
    <row r="255" spans="2:17" ht="16.5" hidden="1" customHeight="1" outlineLevel="1" x14ac:dyDescent="0.25">
      <c r="C255" s="106"/>
      <c r="D255" s="105">
        <v>42670</v>
      </c>
      <c r="E255" s="103" t="s">
        <v>1</v>
      </c>
      <c r="F255" s="212" t="s">
        <v>49</v>
      </c>
      <c r="G255" s="3">
        <v>1</v>
      </c>
      <c r="H255" s="3">
        <v>105</v>
      </c>
      <c r="I255" s="151">
        <v>44</v>
      </c>
      <c r="J255" s="151">
        <v>37</v>
      </c>
      <c r="K255" s="151">
        <v>73</v>
      </c>
      <c r="L255" s="151">
        <v>39</v>
      </c>
      <c r="M255" s="151">
        <f t="shared" si="13"/>
        <v>105</v>
      </c>
      <c r="N255" s="151" t="str">
        <f t="shared" si="14"/>
        <v/>
      </c>
      <c r="O255" s="151">
        <v>99</v>
      </c>
      <c r="Q255" s="239" t="str">
        <f t="shared" ca="1" si="15"/>
        <v/>
      </c>
    </row>
    <row r="256" spans="2:17" ht="15.75" hidden="1" customHeight="1" outlineLevel="1" x14ac:dyDescent="0.25">
      <c r="C256" s="106"/>
      <c r="D256" s="105">
        <v>42672</v>
      </c>
      <c r="E256" s="101" t="s">
        <v>7</v>
      </c>
      <c r="F256" s="213" t="s">
        <v>49</v>
      </c>
      <c r="G256" s="3" t="s">
        <v>56</v>
      </c>
      <c r="H256" s="3" t="s">
        <v>56</v>
      </c>
      <c r="M256" s="151" t="str">
        <f t="shared" si="13"/>
        <v>/</v>
      </c>
      <c r="N256" s="151" t="str">
        <f t="shared" si="14"/>
        <v/>
      </c>
      <c r="Q256" s="239" t="str">
        <f t="shared" ca="1" si="15"/>
        <v/>
      </c>
    </row>
    <row r="257" spans="3:17" ht="15.75" hidden="1" customHeight="1" outlineLevel="1" x14ac:dyDescent="0.25">
      <c r="C257" s="106"/>
      <c r="D257" s="105">
        <v>42674</v>
      </c>
      <c r="E257" s="101" t="s">
        <v>45</v>
      </c>
      <c r="F257" s="213" t="s">
        <v>50</v>
      </c>
      <c r="G257" s="3" t="s">
        <v>56</v>
      </c>
      <c r="H257" s="3" t="s">
        <v>56</v>
      </c>
      <c r="M257" s="151" t="str">
        <f t="shared" si="13"/>
        <v/>
      </c>
      <c r="N257" s="151" t="str">
        <f t="shared" si="14"/>
        <v>/</v>
      </c>
      <c r="Q257" s="239" t="str">
        <f t="shared" ca="1" si="15"/>
        <v/>
      </c>
    </row>
    <row r="258" spans="3:17" ht="15.75" hidden="1" customHeight="1" outlineLevel="1" x14ac:dyDescent="0.25">
      <c r="C258" s="106"/>
      <c r="D258" s="105">
        <v>42676</v>
      </c>
      <c r="E258" s="101" t="s">
        <v>1</v>
      </c>
      <c r="F258" s="213" t="s">
        <v>50</v>
      </c>
      <c r="G258" s="3" t="s">
        <v>56</v>
      </c>
      <c r="H258" s="3" t="s">
        <v>56</v>
      </c>
      <c r="M258" s="151" t="str">
        <f t="shared" si="13"/>
        <v/>
      </c>
      <c r="N258" s="151" t="str">
        <f t="shared" si="14"/>
        <v>/</v>
      </c>
      <c r="Q258" s="239" t="str">
        <f t="shared" ca="1" si="15"/>
        <v/>
      </c>
    </row>
    <row r="259" spans="3:17" ht="15.75" hidden="1" customHeight="1" outlineLevel="1" x14ac:dyDescent="0.25">
      <c r="C259" s="106"/>
      <c r="D259" s="105">
        <v>42678</v>
      </c>
      <c r="E259" s="101" t="s">
        <v>9</v>
      </c>
      <c r="F259" s="213" t="s">
        <v>49</v>
      </c>
      <c r="G259" s="3" t="s">
        <v>56</v>
      </c>
      <c r="H259" s="3" t="s">
        <v>56</v>
      </c>
      <c r="M259" s="151" t="str">
        <f t="shared" si="13"/>
        <v>/</v>
      </c>
      <c r="N259" s="151" t="str">
        <f t="shared" si="14"/>
        <v/>
      </c>
      <c r="Q259" s="239" t="str">
        <f t="shared" ca="1" si="15"/>
        <v/>
      </c>
    </row>
    <row r="260" spans="3:17" ht="15.75" hidden="1" customHeight="1" outlineLevel="1" x14ac:dyDescent="0.25">
      <c r="C260" s="106"/>
      <c r="D260" s="105">
        <v>42679</v>
      </c>
      <c r="E260" s="101" t="s">
        <v>7</v>
      </c>
      <c r="F260" s="213" t="s">
        <v>50</v>
      </c>
      <c r="G260" s="3" t="s">
        <v>56</v>
      </c>
      <c r="H260" s="3" t="s">
        <v>56</v>
      </c>
      <c r="M260" s="151" t="str">
        <f t="shared" si="13"/>
        <v/>
      </c>
      <c r="N260" s="151" t="str">
        <f t="shared" si="14"/>
        <v>/</v>
      </c>
      <c r="Q260" s="239" t="str">
        <f t="shared" ca="1" si="15"/>
        <v/>
      </c>
    </row>
    <row r="261" spans="3:17" ht="15.75" hidden="1" customHeight="1" outlineLevel="1" x14ac:dyDescent="0.25">
      <c r="C261" s="106"/>
      <c r="D261" s="105">
        <v>42681</v>
      </c>
      <c r="E261" s="101" t="s">
        <v>10</v>
      </c>
      <c r="F261" s="213" t="s">
        <v>49</v>
      </c>
      <c r="G261" s="3" t="s">
        <v>56</v>
      </c>
      <c r="H261" s="3" t="s">
        <v>56</v>
      </c>
      <c r="M261" s="151" t="str">
        <f t="shared" si="13"/>
        <v>/</v>
      </c>
      <c r="N261" s="151" t="str">
        <f t="shared" si="14"/>
        <v/>
      </c>
      <c r="Q261" s="239" t="str">
        <f t="shared" ca="1" si="15"/>
        <v/>
      </c>
    </row>
    <row r="262" spans="3:17" ht="15.75" hidden="1" customHeight="1" outlineLevel="1" x14ac:dyDescent="0.25">
      <c r="C262" s="106"/>
      <c r="D262" s="105">
        <v>42683</v>
      </c>
      <c r="E262" s="101" t="s">
        <v>0</v>
      </c>
      <c r="F262" s="213" t="s">
        <v>50</v>
      </c>
      <c r="G262" s="3" t="s">
        <v>56</v>
      </c>
      <c r="H262" s="3" t="s">
        <v>56</v>
      </c>
      <c r="M262" s="151" t="str">
        <f t="shared" si="13"/>
        <v/>
      </c>
      <c r="N262" s="151" t="str">
        <f t="shared" si="14"/>
        <v>/</v>
      </c>
      <c r="Q262" s="239" t="str">
        <f t="shared" ca="1" si="15"/>
        <v/>
      </c>
    </row>
    <row r="263" spans="3:17" ht="15.75" hidden="1" customHeight="1" outlineLevel="1" x14ac:dyDescent="0.25">
      <c r="C263" s="106"/>
      <c r="D263" s="105">
        <v>42684</v>
      </c>
      <c r="E263" s="101" t="s">
        <v>6</v>
      </c>
      <c r="F263" s="213" t="s">
        <v>50</v>
      </c>
      <c r="G263" s="3" t="s">
        <v>56</v>
      </c>
      <c r="H263" s="3" t="s">
        <v>56</v>
      </c>
      <c r="M263" s="151" t="str">
        <f t="shared" ref="M263:M326" si="16">IF(F263="D",H263,"")</f>
        <v/>
      </c>
      <c r="N263" s="151" t="str">
        <f t="shared" ref="N263:N326" si="17">IF(F263="E",H263,"")</f>
        <v>/</v>
      </c>
      <c r="Q263" s="239" t="str">
        <f t="shared" ca="1" si="15"/>
        <v/>
      </c>
    </row>
    <row r="264" spans="3:17" ht="15.75" hidden="1" customHeight="1" outlineLevel="1" x14ac:dyDescent="0.25">
      <c r="C264" s="106"/>
      <c r="D264" s="105">
        <v>42686</v>
      </c>
      <c r="E264" s="101" t="s">
        <v>13</v>
      </c>
      <c r="F264" s="213" t="s">
        <v>49</v>
      </c>
      <c r="G264" s="3" t="s">
        <v>56</v>
      </c>
      <c r="H264" s="3" t="s">
        <v>56</v>
      </c>
      <c r="M264" s="151" t="str">
        <f t="shared" si="16"/>
        <v>/</v>
      </c>
      <c r="N264" s="151" t="str">
        <f t="shared" si="17"/>
        <v/>
      </c>
      <c r="Q264" s="239" t="str">
        <f t="shared" ca="1" si="15"/>
        <v/>
      </c>
    </row>
    <row r="265" spans="3:17" ht="15.75" hidden="1" customHeight="1" outlineLevel="1" x14ac:dyDescent="0.25">
      <c r="C265" s="106"/>
      <c r="D265" s="105">
        <v>42689</v>
      </c>
      <c r="E265" s="101" t="s">
        <v>24</v>
      </c>
      <c r="F265" s="213" t="s">
        <v>50</v>
      </c>
      <c r="G265" s="3" t="s">
        <v>56</v>
      </c>
      <c r="H265" s="3" t="s">
        <v>56</v>
      </c>
      <c r="M265" s="151" t="str">
        <f t="shared" si="16"/>
        <v/>
      </c>
      <c r="N265" s="151" t="str">
        <f t="shared" si="17"/>
        <v>/</v>
      </c>
      <c r="Q265" s="239" t="str">
        <f t="shared" ca="1" si="15"/>
        <v/>
      </c>
    </row>
    <row r="266" spans="3:17" ht="15.75" hidden="1" customHeight="1" outlineLevel="1" x14ac:dyDescent="0.25">
      <c r="C266" s="106"/>
      <c r="D266" s="105">
        <v>42691</v>
      </c>
      <c r="E266" s="101" t="s">
        <v>28</v>
      </c>
      <c r="F266" s="213" t="s">
        <v>50</v>
      </c>
      <c r="G266" s="3" t="s">
        <v>56</v>
      </c>
      <c r="H266" s="3" t="s">
        <v>56</v>
      </c>
      <c r="M266" s="151" t="str">
        <f t="shared" si="16"/>
        <v/>
      </c>
      <c r="N266" s="151" t="str">
        <f t="shared" si="17"/>
        <v>/</v>
      </c>
      <c r="Q266" s="239" t="str">
        <f t="shared" ca="1" si="15"/>
        <v/>
      </c>
    </row>
    <row r="267" spans="3:17" ht="15.75" hidden="1" customHeight="1" outlineLevel="1" x14ac:dyDescent="0.25">
      <c r="C267" s="106"/>
      <c r="D267" s="105">
        <v>42693</v>
      </c>
      <c r="E267" s="101" t="s">
        <v>18</v>
      </c>
      <c r="F267" s="213" t="s">
        <v>50</v>
      </c>
      <c r="G267" s="3" t="s">
        <v>56</v>
      </c>
      <c r="H267" s="3" t="s">
        <v>56</v>
      </c>
      <c r="M267" s="151" t="str">
        <f t="shared" si="16"/>
        <v/>
      </c>
      <c r="N267" s="151" t="str">
        <f t="shared" si="17"/>
        <v>/</v>
      </c>
      <c r="Q267" s="239" t="str">
        <f t="shared" ca="1" si="15"/>
        <v/>
      </c>
    </row>
    <row r="268" spans="3:17" ht="15.75" hidden="1" customHeight="1" outlineLevel="1" x14ac:dyDescent="0.25">
      <c r="C268" s="106"/>
      <c r="D268" s="105">
        <v>42694</v>
      </c>
      <c r="E268" s="101" t="s">
        <v>19</v>
      </c>
      <c r="F268" s="213" t="s">
        <v>50</v>
      </c>
      <c r="G268" s="3" t="s">
        <v>56</v>
      </c>
      <c r="H268" s="3" t="s">
        <v>56</v>
      </c>
      <c r="M268" s="151" t="str">
        <f t="shared" si="16"/>
        <v/>
      </c>
      <c r="N268" s="151" t="str">
        <f t="shared" si="17"/>
        <v>/</v>
      </c>
      <c r="Q268" s="239" t="str">
        <f t="shared" ca="1" si="15"/>
        <v/>
      </c>
    </row>
    <row r="269" spans="3:17" ht="15.75" hidden="1" customHeight="1" outlineLevel="1" x14ac:dyDescent="0.25">
      <c r="C269" s="106"/>
      <c r="D269" s="105">
        <v>42696</v>
      </c>
      <c r="E269" s="101" t="s">
        <v>15</v>
      </c>
      <c r="F269" s="213" t="s">
        <v>50</v>
      </c>
      <c r="G269" s="3" t="s">
        <v>56</v>
      </c>
      <c r="H269" s="3" t="s">
        <v>56</v>
      </c>
      <c r="M269" s="151" t="str">
        <f t="shared" si="16"/>
        <v/>
      </c>
      <c r="N269" s="151" t="str">
        <f t="shared" si="17"/>
        <v>/</v>
      </c>
      <c r="Q269" s="239" t="str">
        <f t="shared" ca="1" si="15"/>
        <v/>
      </c>
    </row>
    <row r="270" spans="3:17" ht="15.75" hidden="1" customHeight="1" outlineLevel="1" x14ac:dyDescent="0.25">
      <c r="C270" s="106"/>
      <c r="D270" s="105">
        <v>42699</v>
      </c>
      <c r="E270" s="101" t="s">
        <v>11</v>
      </c>
      <c r="F270" s="213" t="s">
        <v>50</v>
      </c>
      <c r="G270" s="3" t="s">
        <v>56</v>
      </c>
      <c r="H270" s="3" t="s">
        <v>56</v>
      </c>
      <c r="M270" s="151" t="str">
        <f t="shared" si="16"/>
        <v/>
      </c>
      <c r="N270" s="151" t="str">
        <f t="shared" si="17"/>
        <v>/</v>
      </c>
      <c r="Q270" s="239" t="str">
        <f t="shared" ca="1" si="15"/>
        <v/>
      </c>
    </row>
    <row r="271" spans="3:17" ht="15.75" hidden="1" customHeight="1" outlineLevel="1" x14ac:dyDescent="0.25">
      <c r="C271" s="106"/>
      <c r="D271" s="105">
        <v>42704</v>
      </c>
      <c r="E271" s="101" t="s">
        <v>19</v>
      </c>
      <c r="F271" s="213" t="s">
        <v>49</v>
      </c>
      <c r="G271" s="3" t="s">
        <v>56</v>
      </c>
      <c r="H271" s="3" t="s">
        <v>56</v>
      </c>
      <c r="M271" s="151" t="str">
        <f t="shared" si="16"/>
        <v>/</v>
      </c>
      <c r="N271" s="151" t="str">
        <f t="shared" si="17"/>
        <v/>
      </c>
      <c r="Q271" s="239" t="str">
        <f t="shared" ca="1" si="15"/>
        <v/>
      </c>
    </row>
    <row r="272" spans="3:17" ht="15.75" hidden="1" customHeight="1" outlineLevel="1" x14ac:dyDescent="0.25">
      <c r="C272" s="107"/>
      <c r="D272" s="105">
        <v>42706</v>
      </c>
      <c r="E272" s="101" t="s">
        <v>4</v>
      </c>
      <c r="F272" s="213" t="s">
        <v>49</v>
      </c>
      <c r="G272" s="3" t="s">
        <v>56</v>
      </c>
      <c r="H272" s="3" t="s">
        <v>56</v>
      </c>
      <c r="M272" s="151" t="str">
        <f t="shared" si="16"/>
        <v>/</v>
      </c>
      <c r="N272" s="151" t="str">
        <f t="shared" si="17"/>
        <v/>
      </c>
      <c r="Q272" s="239" t="str">
        <f t="shared" ca="1" si="15"/>
        <v/>
      </c>
    </row>
    <row r="273" spans="3:17" ht="15.75" hidden="1" customHeight="1" outlineLevel="1" x14ac:dyDescent="0.25">
      <c r="C273" s="107"/>
      <c r="D273" s="105">
        <v>42707</v>
      </c>
      <c r="E273" s="101" t="s">
        <v>14</v>
      </c>
      <c r="F273" s="213" t="s">
        <v>50</v>
      </c>
      <c r="G273" s="3" t="s">
        <v>56</v>
      </c>
      <c r="H273" s="3" t="s">
        <v>56</v>
      </c>
      <c r="M273" s="151" t="str">
        <f t="shared" si="16"/>
        <v/>
      </c>
      <c r="N273" s="151" t="str">
        <f t="shared" si="17"/>
        <v>/</v>
      </c>
      <c r="Q273" s="239" t="str">
        <f t="shared" ca="1" si="15"/>
        <v/>
      </c>
    </row>
    <row r="274" spans="3:17" ht="15.75" hidden="1" customHeight="1" outlineLevel="1" x14ac:dyDescent="0.25">
      <c r="C274" s="107"/>
      <c r="D274" s="105">
        <v>42709</v>
      </c>
      <c r="E274" s="101" t="s">
        <v>24</v>
      </c>
      <c r="F274" s="213" t="s">
        <v>49</v>
      </c>
      <c r="G274" s="3" t="s">
        <v>56</v>
      </c>
      <c r="H274" s="3" t="s">
        <v>56</v>
      </c>
      <c r="M274" s="151" t="str">
        <f t="shared" si="16"/>
        <v>/</v>
      </c>
      <c r="N274" s="151" t="str">
        <f t="shared" si="17"/>
        <v/>
      </c>
      <c r="Q274" s="239" t="str">
        <f t="shared" ca="1" si="15"/>
        <v/>
      </c>
    </row>
    <row r="275" spans="3:17" ht="15.75" hidden="1" customHeight="1" outlineLevel="1" x14ac:dyDescent="0.25">
      <c r="C275" s="107"/>
      <c r="D275" s="105">
        <v>42710</v>
      </c>
      <c r="E275" s="101" t="s">
        <v>5</v>
      </c>
      <c r="F275" s="213" t="s">
        <v>50</v>
      </c>
      <c r="G275" s="3" t="s">
        <v>56</v>
      </c>
      <c r="H275" s="3" t="s">
        <v>56</v>
      </c>
      <c r="M275" s="151" t="str">
        <f t="shared" si="16"/>
        <v/>
      </c>
      <c r="N275" s="151" t="str">
        <f t="shared" si="17"/>
        <v>/</v>
      </c>
      <c r="Q275" s="239" t="str">
        <f t="shared" ca="1" si="15"/>
        <v/>
      </c>
    </row>
    <row r="276" spans="3:17" ht="15.75" hidden="1" customHeight="1" outlineLevel="1" x14ac:dyDescent="0.25">
      <c r="C276" s="107"/>
      <c r="D276" s="105">
        <v>42712</v>
      </c>
      <c r="E276" s="101" t="s">
        <v>47</v>
      </c>
      <c r="F276" s="213" t="s">
        <v>49</v>
      </c>
      <c r="G276" s="3" t="s">
        <v>56</v>
      </c>
      <c r="H276" s="3" t="s">
        <v>56</v>
      </c>
      <c r="M276" s="151" t="str">
        <f t="shared" si="16"/>
        <v>/</v>
      </c>
      <c r="N276" s="151" t="str">
        <f t="shared" si="17"/>
        <v/>
      </c>
      <c r="Q276" s="239" t="str">
        <f t="shared" ca="1" si="15"/>
        <v/>
      </c>
    </row>
    <row r="277" spans="3:17" ht="15.75" hidden="1" customHeight="1" outlineLevel="1" x14ac:dyDescent="0.25">
      <c r="C277" s="107"/>
      <c r="D277" s="105">
        <v>42714</v>
      </c>
      <c r="E277" s="101" t="s">
        <v>6</v>
      </c>
      <c r="F277" s="213" t="s">
        <v>49</v>
      </c>
      <c r="G277" s="3" t="s">
        <v>56</v>
      </c>
      <c r="H277" s="3" t="s">
        <v>56</v>
      </c>
      <c r="M277" s="151" t="str">
        <f t="shared" si="16"/>
        <v>/</v>
      </c>
      <c r="N277" s="151" t="str">
        <f t="shared" si="17"/>
        <v/>
      </c>
      <c r="Q277" s="239" t="str">
        <f t="shared" ca="1" si="15"/>
        <v/>
      </c>
    </row>
    <row r="278" spans="3:17" ht="15.75" hidden="1" customHeight="1" outlineLevel="1" x14ac:dyDescent="0.25">
      <c r="C278" s="107"/>
      <c r="D278" s="105">
        <v>42717</v>
      </c>
      <c r="E278" s="101" t="s">
        <v>21</v>
      </c>
      <c r="F278" s="213" t="s">
        <v>49</v>
      </c>
      <c r="G278" s="3" t="s">
        <v>56</v>
      </c>
      <c r="H278" s="3" t="s">
        <v>56</v>
      </c>
      <c r="M278" s="151" t="str">
        <f t="shared" si="16"/>
        <v>/</v>
      </c>
      <c r="N278" s="151" t="str">
        <f t="shared" si="17"/>
        <v/>
      </c>
      <c r="Q278" s="239" t="str">
        <f t="shared" ca="1" si="15"/>
        <v/>
      </c>
    </row>
    <row r="279" spans="3:17" ht="15.75" hidden="1" customHeight="1" outlineLevel="1" x14ac:dyDescent="0.25">
      <c r="C279" s="107"/>
      <c r="D279" s="105">
        <v>42719</v>
      </c>
      <c r="E279" s="101" t="s">
        <v>8</v>
      </c>
      <c r="F279" s="213" t="s">
        <v>50</v>
      </c>
      <c r="G279" s="3" t="s">
        <v>56</v>
      </c>
      <c r="H279" s="3" t="s">
        <v>56</v>
      </c>
      <c r="M279" s="151" t="str">
        <f t="shared" si="16"/>
        <v/>
      </c>
      <c r="N279" s="151" t="str">
        <f t="shared" si="17"/>
        <v>/</v>
      </c>
      <c r="Q279" s="239" t="str">
        <f t="shared" ca="1" si="15"/>
        <v/>
      </c>
    </row>
    <row r="280" spans="3:17" ht="15.75" hidden="1" customHeight="1" outlineLevel="1" x14ac:dyDescent="0.25">
      <c r="C280" s="107"/>
      <c r="D280" s="105">
        <v>42720</v>
      </c>
      <c r="E280" s="101" t="s">
        <v>8</v>
      </c>
      <c r="F280" s="213" t="s">
        <v>49</v>
      </c>
      <c r="G280" s="3" t="s">
        <v>56</v>
      </c>
      <c r="H280" s="3" t="s">
        <v>56</v>
      </c>
      <c r="M280" s="151" t="str">
        <f t="shared" si="16"/>
        <v>/</v>
      </c>
      <c r="N280" s="151" t="str">
        <f t="shared" si="17"/>
        <v/>
      </c>
      <c r="Q280" s="239" t="str">
        <f t="shared" ca="1" si="15"/>
        <v/>
      </c>
    </row>
    <row r="281" spans="3:17" ht="15.75" hidden="1" customHeight="1" outlineLevel="1" x14ac:dyDescent="0.25">
      <c r="C281" s="107"/>
      <c r="D281" s="105">
        <v>42723</v>
      </c>
      <c r="E281" s="101" t="s">
        <v>5</v>
      </c>
      <c r="F281" s="213" t="s">
        <v>49</v>
      </c>
      <c r="G281" s="3" t="s">
        <v>56</v>
      </c>
      <c r="H281" s="3" t="s">
        <v>56</v>
      </c>
      <c r="M281" s="151" t="str">
        <f t="shared" si="16"/>
        <v>/</v>
      </c>
      <c r="N281" s="151" t="str">
        <f t="shared" si="17"/>
        <v/>
      </c>
      <c r="Q281" s="239" t="str">
        <f t="shared" ca="1" si="15"/>
        <v/>
      </c>
    </row>
    <row r="282" spans="3:17" ht="15.75" hidden="1" customHeight="1" outlineLevel="1" x14ac:dyDescent="0.25">
      <c r="C282" s="107"/>
      <c r="D282" s="105">
        <v>42725</v>
      </c>
      <c r="E282" s="101" t="s">
        <v>13</v>
      </c>
      <c r="F282" s="213" t="s">
        <v>49</v>
      </c>
      <c r="G282" s="3" t="s">
        <v>56</v>
      </c>
      <c r="H282" s="3" t="s">
        <v>56</v>
      </c>
      <c r="M282" s="151" t="str">
        <f t="shared" si="16"/>
        <v>/</v>
      </c>
      <c r="N282" s="151" t="str">
        <f t="shared" si="17"/>
        <v/>
      </c>
      <c r="Q282" s="239" t="str">
        <f t="shared" ca="1" si="15"/>
        <v/>
      </c>
    </row>
    <row r="283" spans="3:17" ht="15.75" hidden="1" customHeight="1" outlineLevel="1" x14ac:dyDescent="0.25">
      <c r="C283" s="107"/>
      <c r="D283" s="105">
        <v>42727</v>
      </c>
      <c r="E283" s="101" t="s">
        <v>3</v>
      </c>
      <c r="F283" s="213" t="s">
        <v>50</v>
      </c>
      <c r="G283" s="3" t="s">
        <v>56</v>
      </c>
      <c r="H283" s="3" t="s">
        <v>56</v>
      </c>
      <c r="M283" s="151" t="str">
        <f t="shared" si="16"/>
        <v/>
      </c>
      <c r="N283" s="151" t="str">
        <f t="shared" si="17"/>
        <v>/</v>
      </c>
      <c r="Q283" s="239" t="str">
        <f t="shared" ca="1" si="15"/>
        <v/>
      </c>
    </row>
    <row r="284" spans="3:17" ht="15.75" hidden="1" customHeight="1" outlineLevel="1" x14ac:dyDescent="0.25">
      <c r="C284" s="107"/>
      <c r="D284" s="105">
        <v>42729</v>
      </c>
      <c r="E284" s="101" t="s">
        <v>48</v>
      </c>
      <c r="F284" s="213" t="s">
        <v>50</v>
      </c>
      <c r="G284" s="3" t="s">
        <v>56</v>
      </c>
      <c r="H284" s="3" t="s">
        <v>56</v>
      </c>
      <c r="M284" s="151" t="str">
        <f t="shared" si="16"/>
        <v/>
      </c>
      <c r="N284" s="151" t="str">
        <f t="shared" si="17"/>
        <v>/</v>
      </c>
      <c r="Q284" s="239" t="str">
        <f t="shared" ca="1" si="15"/>
        <v/>
      </c>
    </row>
    <row r="285" spans="3:17" ht="15.75" hidden="1" customHeight="1" outlineLevel="1" x14ac:dyDescent="0.25">
      <c r="C285" s="107"/>
      <c r="D285" s="105">
        <v>42730</v>
      </c>
      <c r="E285" s="101" t="s">
        <v>7</v>
      </c>
      <c r="F285" s="213" t="s">
        <v>49</v>
      </c>
      <c r="G285" s="3" t="s">
        <v>56</v>
      </c>
      <c r="H285" s="3" t="s">
        <v>56</v>
      </c>
      <c r="M285" s="151" t="str">
        <f t="shared" si="16"/>
        <v>/</v>
      </c>
      <c r="N285" s="151" t="str">
        <f t="shared" si="17"/>
        <v/>
      </c>
      <c r="Q285" s="239" t="str">
        <f t="shared" ca="1" si="15"/>
        <v/>
      </c>
    </row>
    <row r="286" spans="3:17" ht="15.75" hidden="1" customHeight="1" outlineLevel="1" x14ac:dyDescent="0.25">
      <c r="C286" s="107"/>
      <c r="D286" s="105">
        <v>42732</v>
      </c>
      <c r="E286" s="101" t="s">
        <v>45</v>
      </c>
      <c r="F286" s="213" t="s">
        <v>49</v>
      </c>
      <c r="G286" s="3" t="s">
        <v>56</v>
      </c>
      <c r="H286" s="3" t="s">
        <v>56</v>
      </c>
      <c r="M286" s="151" t="str">
        <f t="shared" si="16"/>
        <v>/</v>
      </c>
      <c r="N286" s="151" t="str">
        <f t="shared" si="17"/>
        <v/>
      </c>
      <c r="Q286" s="239" t="str">
        <f t="shared" ca="1" si="15"/>
        <v/>
      </c>
    </row>
    <row r="287" spans="3:17" ht="15.75" hidden="1" customHeight="1" outlineLevel="1" x14ac:dyDescent="0.25">
      <c r="C287" s="107"/>
      <c r="D287" s="105">
        <v>42734</v>
      </c>
      <c r="E287" s="101" t="s">
        <v>7</v>
      </c>
      <c r="F287" s="213" t="s">
        <v>50</v>
      </c>
      <c r="G287" s="3" t="s">
        <v>56</v>
      </c>
      <c r="H287" s="3" t="s">
        <v>56</v>
      </c>
      <c r="M287" s="151" t="str">
        <f t="shared" si="16"/>
        <v/>
      </c>
      <c r="N287" s="151" t="str">
        <f t="shared" si="17"/>
        <v>/</v>
      </c>
      <c r="Q287" s="239" t="str">
        <f t="shared" ca="1" si="15"/>
        <v/>
      </c>
    </row>
    <row r="288" spans="3:17" ht="15.75" hidden="1" customHeight="1" outlineLevel="1" x14ac:dyDescent="0.25">
      <c r="C288" s="107"/>
      <c r="D288" s="105">
        <v>42735</v>
      </c>
      <c r="E288" s="101" t="s">
        <v>8</v>
      </c>
      <c r="F288" s="213" t="s">
        <v>49</v>
      </c>
      <c r="G288" s="3" t="s">
        <v>56</v>
      </c>
      <c r="H288" s="3" t="s">
        <v>56</v>
      </c>
      <c r="M288" s="151" t="str">
        <f t="shared" si="16"/>
        <v>/</v>
      </c>
      <c r="N288" s="151" t="str">
        <f t="shared" si="17"/>
        <v/>
      </c>
      <c r="Q288" s="239" t="str">
        <f t="shared" ca="1" si="15"/>
        <v/>
      </c>
    </row>
    <row r="289" spans="3:17" ht="15.75" hidden="1" customHeight="1" outlineLevel="1" x14ac:dyDescent="0.25">
      <c r="C289" s="106"/>
      <c r="D289" s="105">
        <v>42371</v>
      </c>
      <c r="E289" s="101" t="s">
        <v>3</v>
      </c>
      <c r="F289" s="213" t="s">
        <v>49</v>
      </c>
      <c r="G289" s="3" t="s">
        <v>56</v>
      </c>
      <c r="H289" s="3" t="s">
        <v>56</v>
      </c>
      <c r="M289" s="151" t="str">
        <f t="shared" si="16"/>
        <v>/</v>
      </c>
      <c r="N289" s="151" t="str">
        <f t="shared" si="17"/>
        <v/>
      </c>
      <c r="Q289" s="239" t="str">
        <f t="shared" ca="1" si="15"/>
        <v/>
      </c>
    </row>
    <row r="290" spans="3:17" ht="15.75" hidden="1" customHeight="1" outlineLevel="1" x14ac:dyDescent="0.25">
      <c r="C290" s="106"/>
      <c r="D290" s="105">
        <v>42373</v>
      </c>
      <c r="E290" s="101" t="s">
        <v>4</v>
      </c>
      <c r="F290" s="213" t="s">
        <v>50</v>
      </c>
      <c r="G290" s="3" t="s">
        <v>56</v>
      </c>
      <c r="H290" s="3" t="s">
        <v>56</v>
      </c>
      <c r="M290" s="151" t="str">
        <f t="shared" si="16"/>
        <v/>
      </c>
      <c r="N290" s="151" t="str">
        <f t="shared" si="17"/>
        <v>/</v>
      </c>
      <c r="Q290" s="239" t="str">
        <f t="shared" ca="1" si="15"/>
        <v/>
      </c>
    </row>
    <row r="291" spans="3:17" ht="15.75" hidden="1" customHeight="1" outlineLevel="1" x14ac:dyDescent="0.25">
      <c r="C291" s="106"/>
      <c r="D291" s="105">
        <v>42376</v>
      </c>
      <c r="E291" s="101" t="s">
        <v>12</v>
      </c>
      <c r="F291" s="213" t="s">
        <v>49</v>
      </c>
      <c r="G291" s="3" t="s">
        <v>56</v>
      </c>
      <c r="H291" s="3" t="s">
        <v>56</v>
      </c>
      <c r="M291" s="151" t="str">
        <f t="shared" si="16"/>
        <v>/</v>
      </c>
      <c r="N291" s="151" t="str">
        <f t="shared" si="17"/>
        <v/>
      </c>
      <c r="Q291" s="239" t="str">
        <f t="shared" ca="1" si="15"/>
        <v/>
      </c>
    </row>
    <row r="292" spans="3:17" ht="15.75" hidden="1" customHeight="1" outlineLevel="1" x14ac:dyDescent="0.25">
      <c r="C292" s="106"/>
      <c r="D292" s="105">
        <v>42378</v>
      </c>
      <c r="E292" s="101" t="s">
        <v>23</v>
      </c>
      <c r="F292" s="213" t="s">
        <v>49</v>
      </c>
      <c r="G292" s="3" t="s">
        <v>56</v>
      </c>
      <c r="H292" s="3" t="s">
        <v>56</v>
      </c>
      <c r="M292" s="151" t="str">
        <f t="shared" si="16"/>
        <v>/</v>
      </c>
      <c r="N292" s="151" t="str">
        <f t="shared" si="17"/>
        <v/>
      </c>
      <c r="Q292" s="239" t="str">
        <f t="shared" ca="1" si="15"/>
        <v/>
      </c>
    </row>
    <row r="293" spans="3:17" ht="15.75" hidden="1" customHeight="1" outlineLevel="1" x14ac:dyDescent="0.25">
      <c r="C293" s="106"/>
      <c r="D293" s="105">
        <v>42379</v>
      </c>
      <c r="E293" s="101" t="s">
        <v>13</v>
      </c>
      <c r="F293" s="213" t="s">
        <v>50</v>
      </c>
      <c r="G293" s="3" t="s">
        <v>56</v>
      </c>
      <c r="H293" s="3" t="s">
        <v>56</v>
      </c>
      <c r="M293" s="151" t="str">
        <f t="shared" si="16"/>
        <v/>
      </c>
      <c r="N293" s="151" t="str">
        <f t="shared" si="17"/>
        <v>/</v>
      </c>
      <c r="Q293" s="239" t="str">
        <f t="shared" ca="1" si="15"/>
        <v/>
      </c>
    </row>
    <row r="294" spans="3:17" ht="15.75" hidden="1" customHeight="1" outlineLevel="1" x14ac:dyDescent="0.25">
      <c r="C294" s="106"/>
      <c r="D294" s="105">
        <v>42381</v>
      </c>
      <c r="E294" s="101" t="s">
        <v>9</v>
      </c>
      <c r="F294" s="213" t="s">
        <v>50</v>
      </c>
      <c r="G294" s="3" t="s">
        <v>56</v>
      </c>
      <c r="H294" s="3" t="s">
        <v>56</v>
      </c>
      <c r="M294" s="151" t="str">
        <f t="shared" si="16"/>
        <v/>
      </c>
      <c r="N294" s="151" t="str">
        <f t="shared" si="17"/>
        <v>/</v>
      </c>
      <c r="Q294" s="239" t="str">
        <f t="shared" ca="1" si="15"/>
        <v/>
      </c>
    </row>
    <row r="295" spans="3:17" ht="15.75" hidden="1" customHeight="1" outlineLevel="1" x14ac:dyDescent="0.25">
      <c r="C295" s="106"/>
      <c r="D295" s="105">
        <v>42383</v>
      </c>
      <c r="E295" s="101" t="s">
        <v>22</v>
      </c>
      <c r="F295" s="213" t="s">
        <v>49</v>
      </c>
      <c r="G295" s="3" t="s">
        <v>56</v>
      </c>
      <c r="H295" s="3" t="s">
        <v>56</v>
      </c>
      <c r="M295" s="151" t="str">
        <f t="shared" si="16"/>
        <v>/</v>
      </c>
      <c r="N295" s="151" t="str">
        <f t="shared" si="17"/>
        <v/>
      </c>
      <c r="Q295" s="239" t="str">
        <f t="shared" ca="1" si="15"/>
        <v/>
      </c>
    </row>
    <row r="296" spans="3:17" ht="15.75" hidden="1" customHeight="1" outlineLevel="1" x14ac:dyDescent="0.25">
      <c r="C296" s="106"/>
      <c r="D296" s="105">
        <v>42384</v>
      </c>
      <c r="E296" s="101" t="s">
        <v>20</v>
      </c>
      <c r="F296" s="213" t="s">
        <v>50</v>
      </c>
      <c r="G296" s="3" t="s">
        <v>56</v>
      </c>
      <c r="H296" s="3" t="s">
        <v>56</v>
      </c>
      <c r="M296" s="151" t="str">
        <f t="shared" si="16"/>
        <v/>
      </c>
      <c r="N296" s="151" t="str">
        <f t="shared" si="17"/>
        <v>/</v>
      </c>
      <c r="Q296" s="239" t="str">
        <f t="shared" ca="1" si="15"/>
        <v/>
      </c>
    </row>
    <row r="297" spans="3:17" ht="15.75" hidden="1" customHeight="1" outlineLevel="1" x14ac:dyDescent="0.25">
      <c r="C297" s="106"/>
      <c r="D297" s="105">
        <v>42386</v>
      </c>
      <c r="E297" s="101" t="s">
        <v>14</v>
      </c>
      <c r="F297" s="213" t="s">
        <v>49</v>
      </c>
      <c r="G297" s="3" t="s">
        <v>56</v>
      </c>
      <c r="H297" s="3" t="s">
        <v>56</v>
      </c>
      <c r="M297" s="151" t="str">
        <f t="shared" si="16"/>
        <v>/</v>
      </c>
      <c r="N297" s="151" t="str">
        <f t="shared" si="17"/>
        <v/>
      </c>
      <c r="Q297" s="239" t="str">
        <f t="shared" ca="1" si="15"/>
        <v/>
      </c>
    </row>
    <row r="298" spans="3:17" ht="15.75" hidden="1" customHeight="1" outlineLevel="1" x14ac:dyDescent="0.25">
      <c r="C298" s="106"/>
      <c r="D298" s="105">
        <v>42389</v>
      </c>
      <c r="E298" s="101" t="s">
        <v>0</v>
      </c>
      <c r="F298" s="213" t="s">
        <v>50</v>
      </c>
      <c r="G298" s="3" t="s">
        <v>56</v>
      </c>
      <c r="H298" s="3" t="s">
        <v>56</v>
      </c>
      <c r="M298" s="151" t="str">
        <f t="shared" si="16"/>
        <v/>
      </c>
      <c r="N298" s="151" t="str">
        <f t="shared" si="17"/>
        <v>/</v>
      </c>
      <c r="Q298" s="239" t="str">
        <f t="shared" ca="1" si="15"/>
        <v/>
      </c>
    </row>
    <row r="299" spans="3:17" ht="15.75" hidden="1" customHeight="1" outlineLevel="1" x14ac:dyDescent="0.25">
      <c r="C299" s="106"/>
      <c r="D299" s="105">
        <v>42390</v>
      </c>
      <c r="E299" s="101" t="s">
        <v>26</v>
      </c>
      <c r="F299" s="213" t="s">
        <v>49</v>
      </c>
      <c r="G299" s="3" t="s">
        <v>56</v>
      </c>
      <c r="H299" s="3" t="s">
        <v>56</v>
      </c>
      <c r="M299" s="151" t="str">
        <f t="shared" si="16"/>
        <v>/</v>
      </c>
      <c r="N299" s="151" t="str">
        <f t="shared" si="17"/>
        <v/>
      </c>
      <c r="Q299" s="239" t="str">
        <f t="shared" ref="Q299:Q362" ca="1" si="18">IF(D299=TODAY(),1,"")</f>
        <v/>
      </c>
    </row>
    <row r="300" spans="3:17" ht="15.75" hidden="1" customHeight="1" outlineLevel="1" x14ac:dyDescent="0.25">
      <c r="C300" s="106"/>
      <c r="D300" s="105">
        <v>42393</v>
      </c>
      <c r="E300" s="101" t="s">
        <v>10</v>
      </c>
      <c r="F300" s="213" t="s">
        <v>50</v>
      </c>
      <c r="G300" s="3" t="s">
        <v>56</v>
      </c>
      <c r="H300" s="3" t="s">
        <v>56</v>
      </c>
      <c r="M300" s="151" t="str">
        <f t="shared" si="16"/>
        <v/>
      </c>
      <c r="N300" s="151" t="str">
        <f t="shared" si="17"/>
        <v>/</v>
      </c>
      <c r="Q300" s="239" t="str">
        <f t="shared" ca="1" si="18"/>
        <v/>
      </c>
    </row>
    <row r="301" spans="3:17" ht="15.75" hidden="1" customHeight="1" outlineLevel="1" x14ac:dyDescent="0.25">
      <c r="C301" s="106"/>
      <c r="D301" s="105">
        <v>42394</v>
      </c>
      <c r="E301" s="101" t="s">
        <v>0</v>
      </c>
      <c r="F301" s="213" t="s">
        <v>49</v>
      </c>
      <c r="G301" s="3" t="s">
        <v>56</v>
      </c>
      <c r="H301" s="3" t="s">
        <v>56</v>
      </c>
      <c r="M301" s="151" t="str">
        <f t="shared" si="16"/>
        <v>/</v>
      </c>
      <c r="N301" s="151" t="str">
        <f t="shared" si="17"/>
        <v/>
      </c>
      <c r="Q301" s="239" t="str">
        <f t="shared" ca="1" si="18"/>
        <v/>
      </c>
    </row>
    <row r="302" spans="3:17" ht="15.75" hidden="1" customHeight="1" outlineLevel="1" x14ac:dyDescent="0.25">
      <c r="C302" s="106"/>
      <c r="D302" s="105">
        <v>42396</v>
      </c>
      <c r="E302" s="101" t="s">
        <v>6</v>
      </c>
      <c r="F302" s="213" t="s">
        <v>49</v>
      </c>
      <c r="G302" s="3" t="s">
        <v>56</v>
      </c>
      <c r="H302" s="3" t="s">
        <v>56</v>
      </c>
      <c r="M302" s="151" t="str">
        <f t="shared" si="16"/>
        <v>/</v>
      </c>
      <c r="N302" s="151" t="str">
        <f t="shared" si="17"/>
        <v/>
      </c>
      <c r="Q302" s="239" t="str">
        <f t="shared" ca="1" si="18"/>
        <v/>
      </c>
    </row>
    <row r="303" spans="3:17" ht="15.75" hidden="1" customHeight="1" outlineLevel="1" x14ac:dyDescent="0.25">
      <c r="C303" s="106"/>
      <c r="D303" s="105">
        <v>42398</v>
      </c>
      <c r="E303" s="101" t="s">
        <v>11</v>
      </c>
      <c r="F303" s="213" t="s">
        <v>49</v>
      </c>
      <c r="G303" s="3" t="s">
        <v>56</v>
      </c>
      <c r="H303" s="3" t="s">
        <v>56</v>
      </c>
      <c r="M303" s="151" t="str">
        <f t="shared" si="16"/>
        <v>/</v>
      </c>
      <c r="N303" s="151" t="str">
        <f t="shared" si="17"/>
        <v/>
      </c>
      <c r="Q303" s="239" t="str">
        <f t="shared" ca="1" si="18"/>
        <v/>
      </c>
    </row>
    <row r="304" spans="3:17" ht="15.75" hidden="1" customHeight="1" outlineLevel="1" x14ac:dyDescent="0.25">
      <c r="C304" s="107"/>
      <c r="D304" s="105">
        <v>42401</v>
      </c>
      <c r="E304" s="101" t="s">
        <v>23</v>
      </c>
      <c r="F304" s="213" t="s">
        <v>50</v>
      </c>
      <c r="G304" s="3" t="s">
        <v>56</v>
      </c>
      <c r="H304" s="3" t="s">
        <v>56</v>
      </c>
      <c r="M304" s="151" t="str">
        <f t="shared" si="16"/>
        <v/>
      </c>
      <c r="N304" s="151" t="str">
        <f t="shared" si="17"/>
        <v>/</v>
      </c>
      <c r="Q304" s="239" t="str">
        <f t="shared" ca="1" si="18"/>
        <v/>
      </c>
    </row>
    <row r="305" spans="3:17" ht="15.75" hidden="1" customHeight="1" outlineLevel="1" x14ac:dyDescent="0.25">
      <c r="C305" s="107"/>
      <c r="D305" s="105">
        <v>42403</v>
      </c>
      <c r="E305" s="101" t="s">
        <v>17</v>
      </c>
      <c r="F305" s="213" t="s">
        <v>50</v>
      </c>
      <c r="G305" s="3" t="s">
        <v>56</v>
      </c>
      <c r="H305" s="3" t="s">
        <v>56</v>
      </c>
      <c r="M305" s="151" t="str">
        <f t="shared" si="16"/>
        <v/>
      </c>
      <c r="N305" s="151" t="str">
        <f t="shared" si="17"/>
        <v>/</v>
      </c>
      <c r="Q305" s="239" t="str">
        <f t="shared" ca="1" si="18"/>
        <v/>
      </c>
    </row>
    <row r="306" spans="3:17" ht="15.75" hidden="1" customHeight="1" outlineLevel="1" x14ac:dyDescent="0.25">
      <c r="C306" s="107"/>
      <c r="D306" s="105">
        <v>42406</v>
      </c>
      <c r="E306" s="101" t="s">
        <v>26</v>
      </c>
      <c r="F306" s="213" t="s">
        <v>50</v>
      </c>
      <c r="G306" s="3" t="s">
        <v>56</v>
      </c>
      <c r="H306" s="3" t="s">
        <v>56</v>
      </c>
      <c r="M306" s="151" t="str">
        <f t="shared" si="16"/>
        <v/>
      </c>
      <c r="N306" s="151" t="str">
        <f t="shared" si="17"/>
        <v>/</v>
      </c>
      <c r="Q306" s="239" t="str">
        <f t="shared" ca="1" si="18"/>
        <v/>
      </c>
    </row>
    <row r="307" spans="3:17" ht="15.75" hidden="1" customHeight="1" outlineLevel="1" x14ac:dyDescent="0.25">
      <c r="C307" s="107"/>
      <c r="D307" s="105">
        <v>42408</v>
      </c>
      <c r="E307" s="101" t="s">
        <v>16</v>
      </c>
      <c r="F307" s="213" t="s">
        <v>50</v>
      </c>
      <c r="G307" s="3" t="s">
        <v>56</v>
      </c>
      <c r="H307" s="3" t="s">
        <v>56</v>
      </c>
      <c r="M307" s="151" t="str">
        <f t="shared" si="16"/>
        <v/>
      </c>
      <c r="N307" s="151" t="str">
        <f t="shared" si="17"/>
        <v>/</v>
      </c>
      <c r="Q307" s="239" t="str">
        <f t="shared" ca="1" si="18"/>
        <v/>
      </c>
    </row>
    <row r="308" spans="3:17" ht="15.75" hidden="1" customHeight="1" outlineLevel="1" x14ac:dyDescent="0.25">
      <c r="C308" s="107"/>
      <c r="D308" s="105">
        <v>42410</v>
      </c>
      <c r="E308" s="101" t="s">
        <v>25</v>
      </c>
      <c r="F308" s="213" t="s">
        <v>50</v>
      </c>
      <c r="G308" s="3" t="s">
        <v>56</v>
      </c>
      <c r="H308" s="3" t="s">
        <v>56</v>
      </c>
      <c r="M308" s="151" t="str">
        <f t="shared" si="16"/>
        <v/>
      </c>
      <c r="N308" s="151" t="str">
        <f t="shared" si="17"/>
        <v>/</v>
      </c>
      <c r="Q308" s="239" t="str">
        <f t="shared" ca="1" si="18"/>
        <v/>
      </c>
    </row>
    <row r="309" spans="3:17" ht="15.75" hidden="1" customHeight="1" outlineLevel="1" x14ac:dyDescent="0.25">
      <c r="C309" s="107"/>
      <c r="D309" s="105">
        <v>42412</v>
      </c>
      <c r="E309" s="101" t="s">
        <v>21</v>
      </c>
      <c r="F309" s="213" t="s">
        <v>50</v>
      </c>
      <c r="G309" s="3" t="s">
        <v>56</v>
      </c>
      <c r="H309" s="3" t="s">
        <v>56</v>
      </c>
      <c r="M309" s="151" t="str">
        <f t="shared" si="16"/>
        <v/>
      </c>
      <c r="N309" s="151" t="str">
        <f t="shared" si="17"/>
        <v>/</v>
      </c>
      <c r="Q309" s="239" t="str">
        <f t="shared" ca="1" si="18"/>
        <v/>
      </c>
    </row>
    <row r="310" spans="3:17" ht="15.75" hidden="1" customHeight="1" outlineLevel="1" x14ac:dyDescent="0.25">
      <c r="C310" s="107"/>
      <c r="D310" s="105">
        <v>42414</v>
      </c>
      <c r="E310" s="101" t="s">
        <v>12</v>
      </c>
      <c r="F310" s="213" t="s">
        <v>49</v>
      </c>
      <c r="G310" s="3" t="s">
        <v>56</v>
      </c>
      <c r="H310" s="3" t="s">
        <v>56</v>
      </c>
      <c r="M310" s="151" t="str">
        <f t="shared" si="16"/>
        <v>/</v>
      </c>
      <c r="N310" s="151" t="str">
        <f t="shared" si="17"/>
        <v/>
      </c>
      <c r="Q310" s="239" t="str">
        <f t="shared" ca="1" si="18"/>
        <v/>
      </c>
    </row>
    <row r="311" spans="3:17" ht="15.75" hidden="1" customHeight="1" outlineLevel="1" x14ac:dyDescent="0.25">
      <c r="C311" s="107"/>
      <c r="D311" s="105">
        <v>42416</v>
      </c>
      <c r="E311" s="101" t="s">
        <v>1</v>
      </c>
      <c r="F311" s="213" t="s">
        <v>49</v>
      </c>
      <c r="G311" s="3" t="s">
        <v>56</v>
      </c>
      <c r="H311" s="3" t="s">
        <v>56</v>
      </c>
      <c r="M311" s="151" t="str">
        <f t="shared" si="16"/>
        <v>/</v>
      </c>
      <c r="N311" s="151" t="str">
        <f t="shared" si="17"/>
        <v/>
      </c>
      <c r="Q311" s="239" t="str">
        <f t="shared" ca="1" si="18"/>
        <v/>
      </c>
    </row>
    <row r="312" spans="3:17" ht="15.75" hidden="1" customHeight="1" outlineLevel="1" x14ac:dyDescent="0.25">
      <c r="C312" s="107"/>
      <c r="D312" s="105">
        <v>42424</v>
      </c>
      <c r="E312" s="101" t="s">
        <v>25</v>
      </c>
      <c r="F312" s="213" t="s">
        <v>49</v>
      </c>
      <c r="G312" s="3" t="s">
        <v>56</v>
      </c>
      <c r="H312" s="3" t="s">
        <v>56</v>
      </c>
      <c r="M312" s="151" t="str">
        <f t="shared" si="16"/>
        <v>/</v>
      </c>
      <c r="N312" s="151" t="str">
        <f t="shared" si="17"/>
        <v/>
      </c>
      <c r="Q312" s="239" t="str">
        <f t="shared" ca="1" si="18"/>
        <v/>
      </c>
    </row>
    <row r="313" spans="3:17" ht="15.75" hidden="1" customHeight="1" outlineLevel="1" x14ac:dyDescent="0.25">
      <c r="C313" s="107"/>
      <c r="D313" s="105">
        <v>42425</v>
      </c>
      <c r="E313" s="101" t="s">
        <v>4</v>
      </c>
      <c r="F313" s="213" t="s">
        <v>50</v>
      </c>
      <c r="G313" s="3" t="s">
        <v>56</v>
      </c>
      <c r="H313" s="3" t="s">
        <v>56</v>
      </c>
      <c r="M313" s="151" t="str">
        <f t="shared" si="16"/>
        <v/>
      </c>
      <c r="N313" s="151" t="str">
        <f t="shared" si="17"/>
        <v>/</v>
      </c>
      <c r="Q313" s="239" t="str">
        <f t="shared" ca="1" si="18"/>
        <v/>
      </c>
    </row>
    <row r="314" spans="3:17" ht="15.75" hidden="1" customHeight="1" outlineLevel="1" x14ac:dyDescent="0.25">
      <c r="C314" s="107"/>
      <c r="D314" s="105">
        <v>42428</v>
      </c>
      <c r="E314" s="101" t="s">
        <v>15</v>
      </c>
      <c r="F314" s="213" t="s">
        <v>49</v>
      </c>
      <c r="G314" s="3" t="s">
        <v>56</v>
      </c>
      <c r="H314" s="3" t="s">
        <v>56</v>
      </c>
      <c r="M314" s="151" t="str">
        <f t="shared" si="16"/>
        <v>/</v>
      </c>
      <c r="N314" s="151" t="str">
        <f t="shared" si="17"/>
        <v/>
      </c>
      <c r="Q314" s="239" t="str">
        <f t="shared" ca="1" si="18"/>
        <v/>
      </c>
    </row>
    <row r="315" spans="3:17" ht="15.75" hidden="1" customHeight="1" outlineLevel="1" x14ac:dyDescent="0.25">
      <c r="C315" s="106"/>
      <c r="D315" s="105">
        <v>42431</v>
      </c>
      <c r="E315" s="101" t="s">
        <v>16</v>
      </c>
      <c r="F315" s="213" t="s">
        <v>49</v>
      </c>
      <c r="G315" s="3" t="s">
        <v>56</v>
      </c>
      <c r="H315" s="3" t="s">
        <v>56</v>
      </c>
      <c r="M315" s="151" t="str">
        <f t="shared" si="16"/>
        <v>/</v>
      </c>
      <c r="N315" s="151" t="str">
        <f t="shared" si="17"/>
        <v/>
      </c>
      <c r="Q315" s="239" t="str">
        <f t="shared" ca="1" si="18"/>
        <v/>
      </c>
    </row>
    <row r="316" spans="3:17" ht="15.75" hidden="1" customHeight="1" outlineLevel="1" x14ac:dyDescent="0.25">
      <c r="C316" s="106"/>
      <c r="D316" s="105">
        <v>42433</v>
      </c>
      <c r="E316" s="101" t="s">
        <v>18</v>
      </c>
      <c r="F316" s="213" t="s">
        <v>49</v>
      </c>
      <c r="G316" s="3" t="s">
        <v>56</v>
      </c>
      <c r="H316" s="3" t="s">
        <v>56</v>
      </c>
      <c r="M316" s="151" t="str">
        <f t="shared" si="16"/>
        <v>/</v>
      </c>
      <c r="N316" s="151" t="str">
        <f t="shared" si="17"/>
        <v/>
      </c>
      <c r="Q316" s="239" t="str">
        <f t="shared" ca="1" si="18"/>
        <v/>
      </c>
    </row>
    <row r="317" spans="3:17" ht="15.75" hidden="1" customHeight="1" outlineLevel="1" x14ac:dyDescent="0.25">
      <c r="C317" s="106"/>
      <c r="D317" s="105">
        <v>42435</v>
      </c>
      <c r="E317" s="101" t="s">
        <v>5</v>
      </c>
      <c r="F317" s="213" t="s">
        <v>50</v>
      </c>
      <c r="G317" s="3" t="s">
        <v>56</v>
      </c>
      <c r="H317" s="3" t="s">
        <v>56</v>
      </c>
      <c r="M317" s="151" t="str">
        <f t="shared" si="16"/>
        <v/>
      </c>
      <c r="N317" s="151" t="str">
        <f t="shared" si="17"/>
        <v>/</v>
      </c>
      <c r="Q317" s="239" t="str">
        <f t="shared" ca="1" si="18"/>
        <v/>
      </c>
    </row>
    <row r="318" spans="3:17" ht="15.75" hidden="1" customHeight="1" outlineLevel="1" x14ac:dyDescent="0.25">
      <c r="C318" s="106"/>
      <c r="D318" s="105">
        <v>42437</v>
      </c>
      <c r="E318" s="101" t="s">
        <v>10</v>
      </c>
      <c r="F318" s="213" t="s">
        <v>50</v>
      </c>
      <c r="G318" s="3" t="s">
        <v>56</v>
      </c>
      <c r="H318" s="3" t="s">
        <v>56</v>
      </c>
      <c r="M318" s="151" t="str">
        <f t="shared" si="16"/>
        <v/>
      </c>
      <c r="N318" s="151" t="str">
        <f t="shared" si="17"/>
        <v>/</v>
      </c>
      <c r="Q318" s="239" t="str">
        <f t="shared" ca="1" si="18"/>
        <v/>
      </c>
    </row>
    <row r="319" spans="3:17" ht="15.75" hidden="1" customHeight="1" outlineLevel="1" x14ac:dyDescent="0.25">
      <c r="C319" s="106"/>
      <c r="D319" s="105">
        <v>42439</v>
      </c>
      <c r="E319" s="101" t="s">
        <v>17</v>
      </c>
      <c r="F319" s="213" t="s">
        <v>49</v>
      </c>
      <c r="G319" s="3" t="s">
        <v>56</v>
      </c>
      <c r="H319" s="3" t="s">
        <v>56</v>
      </c>
      <c r="M319" s="151" t="str">
        <f t="shared" si="16"/>
        <v>/</v>
      </c>
      <c r="N319" s="151" t="str">
        <f t="shared" si="17"/>
        <v/>
      </c>
      <c r="Q319" s="239" t="str">
        <f t="shared" ca="1" si="18"/>
        <v/>
      </c>
    </row>
    <row r="320" spans="3:17" ht="15.75" hidden="1" customHeight="1" outlineLevel="1" x14ac:dyDescent="0.25">
      <c r="C320" s="106"/>
      <c r="D320" s="105">
        <v>42441</v>
      </c>
      <c r="E320" s="101" t="s">
        <v>1</v>
      </c>
      <c r="F320" s="213" t="s">
        <v>50</v>
      </c>
      <c r="G320" s="3" t="s">
        <v>56</v>
      </c>
      <c r="H320" s="3" t="s">
        <v>56</v>
      </c>
      <c r="M320" s="151" t="str">
        <f t="shared" si="16"/>
        <v/>
      </c>
      <c r="N320" s="151" t="str">
        <f t="shared" si="17"/>
        <v>/</v>
      </c>
      <c r="Q320" s="239" t="str">
        <f t="shared" ca="1" si="18"/>
        <v/>
      </c>
    </row>
    <row r="321" spans="3:17" ht="15.75" hidden="1" customHeight="1" outlineLevel="1" x14ac:dyDescent="0.25">
      <c r="C321" s="106"/>
      <c r="D321" s="105">
        <v>42442</v>
      </c>
      <c r="E321" s="101" t="s">
        <v>3</v>
      </c>
      <c r="F321" s="213" t="s">
        <v>50</v>
      </c>
      <c r="G321" s="3" t="s">
        <v>56</v>
      </c>
      <c r="H321" s="3" t="s">
        <v>56</v>
      </c>
      <c r="M321" s="151" t="str">
        <f t="shared" si="16"/>
        <v/>
      </c>
      <c r="N321" s="151" t="str">
        <f t="shared" si="17"/>
        <v>/</v>
      </c>
      <c r="Q321" s="239" t="str">
        <f t="shared" ca="1" si="18"/>
        <v/>
      </c>
    </row>
    <row r="322" spans="3:17" ht="15.75" hidden="1" customHeight="1" outlineLevel="1" x14ac:dyDescent="0.25">
      <c r="C322" s="106"/>
      <c r="D322" s="105">
        <v>42444</v>
      </c>
      <c r="E322" s="101" t="s">
        <v>20</v>
      </c>
      <c r="F322" s="213" t="s">
        <v>49</v>
      </c>
      <c r="G322" s="3" t="s">
        <v>56</v>
      </c>
      <c r="H322" s="3" t="s">
        <v>56</v>
      </c>
      <c r="M322" s="151" t="str">
        <f t="shared" si="16"/>
        <v>/</v>
      </c>
      <c r="N322" s="151" t="str">
        <f t="shared" si="17"/>
        <v/>
      </c>
      <c r="Q322" s="239" t="str">
        <f t="shared" ca="1" si="18"/>
        <v/>
      </c>
    </row>
    <row r="323" spans="3:17" ht="15.75" hidden="1" customHeight="1" outlineLevel="1" x14ac:dyDescent="0.25">
      <c r="C323" s="106"/>
      <c r="D323" s="105">
        <v>42446</v>
      </c>
      <c r="E323" s="101" t="s">
        <v>13</v>
      </c>
      <c r="F323" s="213" t="s">
        <v>50</v>
      </c>
      <c r="G323" s="3" t="s">
        <v>56</v>
      </c>
      <c r="H323" s="3" t="s">
        <v>56</v>
      </c>
      <c r="M323" s="151" t="str">
        <f t="shared" si="16"/>
        <v/>
      </c>
      <c r="N323" s="151" t="str">
        <f t="shared" si="17"/>
        <v>/</v>
      </c>
      <c r="Q323" s="239" t="str">
        <f t="shared" ca="1" si="18"/>
        <v/>
      </c>
    </row>
    <row r="324" spans="3:17" ht="15.75" hidden="1" customHeight="1" outlineLevel="1" x14ac:dyDescent="0.25">
      <c r="C324" s="106"/>
      <c r="D324" s="105">
        <v>42447</v>
      </c>
      <c r="E324" s="101" t="s">
        <v>28</v>
      </c>
      <c r="F324" s="213" t="s">
        <v>49</v>
      </c>
      <c r="G324" s="3" t="s">
        <v>56</v>
      </c>
      <c r="H324" s="3" t="s">
        <v>56</v>
      </c>
      <c r="M324" s="151" t="str">
        <f t="shared" si="16"/>
        <v>/</v>
      </c>
      <c r="N324" s="151" t="str">
        <f t="shared" si="17"/>
        <v/>
      </c>
      <c r="Q324" s="239" t="str">
        <f t="shared" ca="1" si="18"/>
        <v/>
      </c>
    </row>
    <row r="325" spans="3:17" ht="15.75" hidden="1" customHeight="1" outlineLevel="1" x14ac:dyDescent="0.25">
      <c r="C325" s="106"/>
      <c r="D325" s="105">
        <v>42450</v>
      </c>
      <c r="E325" s="101" t="s">
        <v>12</v>
      </c>
      <c r="F325" s="213" t="s">
        <v>50</v>
      </c>
      <c r="G325" s="3" t="s">
        <v>56</v>
      </c>
      <c r="H325" s="3" t="s">
        <v>56</v>
      </c>
      <c r="M325" s="151" t="str">
        <f t="shared" si="16"/>
        <v/>
      </c>
      <c r="N325" s="151" t="str">
        <f t="shared" si="17"/>
        <v>/</v>
      </c>
      <c r="Q325" s="239" t="str">
        <f t="shared" ca="1" si="18"/>
        <v/>
      </c>
    </row>
    <row r="326" spans="3:17" ht="15.75" hidden="1" customHeight="1" outlineLevel="1" x14ac:dyDescent="0.25">
      <c r="C326" s="106"/>
      <c r="D326" s="105">
        <v>42451</v>
      </c>
      <c r="E326" s="101" t="s">
        <v>5</v>
      </c>
      <c r="F326" s="213" t="s">
        <v>49</v>
      </c>
      <c r="G326" s="3" t="s">
        <v>56</v>
      </c>
      <c r="H326" s="3" t="s">
        <v>56</v>
      </c>
      <c r="M326" s="151" t="str">
        <f t="shared" si="16"/>
        <v>/</v>
      </c>
      <c r="N326" s="151" t="str">
        <f t="shared" si="17"/>
        <v/>
      </c>
      <c r="Q326" s="239" t="str">
        <f t="shared" ca="1" si="18"/>
        <v/>
      </c>
    </row>
    <row r="327" spans="3:17" ht="15.75" hidden="1" customHeight="1" outlineLevel="1" x14ac:dyDescent="0.25">
      <c r="C327" s="106"/>
      <c r="D327" s="105">
        <v>42453</v>
      </c>
      <c r="E327" s="101" t="s">
        <v>11</v>
      </c>
      <c r="F327" s="213" t="s">
        <v>49</v>
      </c>
      <c r="G327" s="3" t="s">
        <v>56</v>
      </c>
      <c r="H327" s="3" t="s">
        <v>56</v>
      </c>
      <c r="M327" s="151" t="str">
        <f t="shared" ref="M327:M390" si="19">IF(F327="D",H327,"")</f>
        <v>/</v>
      </c>
      <c r="N327" s="151" t="str">
        <f t="shared" ref="N327:N390" si="20">IF(F327="E",H327,"")</f>
        <v/>
      </c>
      <c r="Q327" s="239" t="str">
        <f t="shared" ca="1" si="18"/>
        <v/>
      </c>
    </row>
    <row r="328" spans="3:17" ht="15.75" hidden="1" customHeight="1" outlineLevel="1" x14ac:dyDescent="0.25">
      <c r="C328" s="106"/>
      <c r="D328" s="105">
        <v>42455</v>
      </c>
      <c r="E328" s="101" t="s">
        <v>8</v>
      </c>
      <c r="F328" s="213" t="s">
        <v>50</v>
      </c>
      <c r="G328" s="3" t="s">
        <v>56</v>
      </c>
      <c r="H328" s="3" t="s">
        <v>56</v>
      </c>
      <c r="M328" s="151" t="str">
        <f t="shared" si="19"/>
        <v/>
      </c>
      <c r="N328" s="151" t="str">
        <f t="shared" si="20"/>
        <v>/</v>
      </c>
      <c r="Q328" s="239" t="str">
        <f t="shared" ca="1" si="18"/>
        <v/>
      </c>
    </row>
    <row r="329" spans="3:17" ht="15.75" hidden="1" customHeight="1" outlineLevel="1" x14ac:dyDescent="0.25">
      <c r="C329" s="106"/>
      <c r="D329" s="105">
        <v>42459</v>
      </c>
      <c r="E329" s="101" t="s">
        <v>4</v>
      </c>
      <c r="F329" s="213" t="s">
        <v>49</v>
      </c>
      <c r="G329" s="3" t="s">
        <v>56</v>
      </c>
      <c r="H329" s="3" t="s">
        <v>56</v>
      </c>
      <c r="M329" s="151" t="str">
        <f t="shared" si="19"/>
        <v>/</v>
      </c>
      <c r="N329" s="151" t="str">
        <f t="shared" si="20"/>
        <v/>
      </c>
      <c r="Q329" s="239" t="str">
        <f t="shared" ca="1" si="18"/>
        <v/>
      </c>
    </row>
    <row r="330" spans="3:17" ht="15.75" hidden="1" customHeight="1" outlineLevel="1" x14ac:dyDescent="0.25">
      <c r="C330" s="107"/>
      <c r="D330" s="105">
        <v>42461</v>
      </c>
      <c r="E330" s="101" t="s">
        <v>0</v>
      </c>
      <c r="F330" s="213" t="s">
        <v>49</v>
      </c>
      <c r="G330" s="3" t="s">
        <v>56</v>
      </c>
      <c r="H330" s="3" t="s">
        <v>56</v>
      </c>
      <c r="M330" s="151" t="str">
        <f t="shared" si="19"/>
        <v>/</v>
      </c>
      <c r="N330" s="151" t="str">
        <f t="shared" si="20"/>
        <v/>
      </c>
      <c r="Q330" s="239" t="str">
        <f t="shared" ca="1" si="18"/>
        <v/>
      </c>
    </row>
    <row r="331" spans="3:17" ht="15.75" hidden="1" customHeight="1" outlineLevel="1" x14ac:dyDescent="0.25">
      <c r="C331" s="107"/>
      <c r="D331" s="105">
        <v>42462</v>
      </c>
      <c r="E331" s="101" t="s">
        <v>22</v>
      </c>
      <c r="F331" s="213" t="s">
        <v>50</v>
      </c>
      <c r="G331" s="3" t="s">
        <v>56</v>
      </c>
      <c r="H331" s="3" t="s">
        <v>56</v>
      </c>
      <c r="M331" s="151" t="str">
        <f t="shared" si="19"/>
        <v/>
      </c>
      <c r="N331" s="151" t="str">
        <f t="shared" si="20"/>
        <v>/</v>
      </c>
      <c r="Q331" s="239" t="str">
        <f t="shared" ca="1" si="18"/>
        <v/>
      </c>
    </row>
    <row r="332" spans="3:17" ht="15.75" hidden="1" customHeight="1" outlineLevel="1" x14ac:dyDescent="0.25">
      <c r="C332" s="107"/>
      <c r="D332" s="105">
        <v>42464</v>
      </c>
      <c r="E332" s="101" t="s">
        <v>9</v>
      </c>
      <c r="F332" s="213" t="s">
        <v>50</v>
      </c>
      <c r="G332" s="3" t="s">
        <v>56</v>
      </c>
      <c r="H332" s="3" t="s">
        <v>56</v>
      </c>
      <c r="M332" s="151" t="str">
        <f t="shared" si="19"/>
        <v/>
      </c>
      <c r="N332" s="151" t="str">
        <f t="shared" si="20"/>
        <v>/</v>
      </c>
      <c r="Q332" s="239" t="str">
        <f t="shared" ca="1" si="18"/>
        <v/>
      </c>
    </row>
    <row r="333" spans="3:17" ht="15.75" hidden="1" customHeight="1" outlineLevel="1" x14ac:dyDescent="0.25">
      <c r="C333" s="107"/>
      <c r="D333" s="105">
        <v>42466</v>
      </c>
      <c r="E333" s="101" t="s">
        <v>11</v>
      </c>
      <c r="F333" s="213" t="s">
        <v>50</v>
      </c>
      <c r="G333" s="3" t="s">
        <v>56</v>
      </c>
      <c r="H333" s="3" t="s">
        <v>56</v>
      </c>
      <c r="M333" s="151" t="str">
        <f t="shared" si="19"/>
        <v/>
      </c>
      <c r="N333" s="151" t="str">
        <f t="shared" si="20"/>
        <v>/</v>
      </c>
      <c r="Q333" s="239" t="str">
        <f t="shared" ca="1" si="18"/>
        <v/>
      </c>
    </row>
    <row r="334" spans="3:17" ht="15.75" hidden="1" customHeight="1" outlineLevel="1" x14ac:dyDescent="0.25">
      <c r="C334" s="107"/>
      <c r="D334" s="105">
        <v>42468</v>
      </c>
      <c r="E334" s="101" t="s">
        <v>45</v>
      </c>
      <c r="F334" s="213" t="s">
        <v>50</v>
      </c>
      <c r="G334" s="3" t="s">
        <v>56</v>
      </c>
      <c r="H334" s="3" t="s">
        <v>56</v>
      </c>
      <c r="M334" s="151" t="str">
        <f t="shared" si="19"/>
        <v/>
      </c>
      <c r="N334" s="151" t="str">
        <f t="shared" si="20"/>
        <v>/</v>
      </c>
      <c r="Q334" s="239" t="str">
        <f t="shared" ca="1" si="18"/>
        <v/>
      </c>
    </row>
    <row r="335" spans="3:17" ht="15.75" hidden="1" customHeight="1" outlineLevel="1" x14ac:dyDescent="0.25">
      <c r="C335" s="107"/>
      <c r="D335" s="105">
        <v>42470</v>
      </c>
      <c r="E335" s="101" t="s">
        <v>10</v>
      </c>
      <c r="F335" s="213" t="s">
        <v>49</v>
      </c>
      <c r="G335" s="3" t="s">
        <v>56</v>
      </c>
      <c r="H335" s="3" t="s">
        <v>56</v>
      </c>
      <c r="M335" s="151" t="str">
        <f t="shared" si="19"/>
        <v>/</v>
      </c>
      <c r="N335" s="151" t="str">
        <f t="shared" si="20"/>
        <v/>
      </c>
      <c r="Q335" s="239" t="str">
        <f t="shared" ca="1" si="18"/>
        <v/>
      </c>
    </row>
    <row r="336" spans="3:17" ht="15.75" hidden="1" customHeight="1" outlineLevel="1" x14ac:dyDescent="0.25">
      <c r="C336" s="107"/>
      <c r="D336" s="105">
        <v>42472</v>
      </c>
      <c r="E336" s="102" t="s">
        <v>45</v>
      </c>
      <c r="F336" s="214" t="s">
        <v>49</v>
      </c>
      <c r="G336" s="3" t="s">
        <v>56</v>
      </c>
      <c r="H336" s="3" t="s">
        <v>56</v>
      </c>
      <c r="M336" s="151" t="str">
        <f t="shared" si="19"/>
        <v>/</v>
      </c>
      <c r="N336" s="151" t="str">
        <f t="shared" si="20"/>
        <v/>
      </c>
      <c r="Q336" s="239" t="str">
        <f t="shared" ca="1" si="18"/>
        <v/>
      </c>
    </row>
    <row r="337" spans="2:17" collapsed="1" x14ac:dyDescent="0.25">
      <c r="B337" s="404" t="str">
        <f ca="1">"- "&amp;INDEX(E338:E419,MATCH(TODAY(),D338:D419,0))</f>
        <v>- Miami</v>
      </c>
      <c r="C337" s="404"/>
      <c r="D337" s="406" t="s">
        <v>3</v>
      </c>
      <c r="E337" s="407"/>
      <c r="F337" s="408"/>
      <c r="H337" s="3"/>
      <c r="Q337" s="239" t="str">
        <f t="shared" ca="1" si="18"/>
        <v/>
      </c>
    </row>
    <row r="338" spans="2:17" ht="16.5" hidden="1" customHeight="1" outlineLevel="1" x14ac:dyDescent="0.25">
      <c r="C338" s="106"/>
      <c r="D338" s="105">
        <v>42669</v>
      </c>
      <c r="E338" s="103" t="s">
        <v>8</v>
      </c>
      <c r="F338" s="215" t="s">
        <v>50</v>
      </c>
      <c r="G338" s="3">
        <v>1</v>
      </c>
      <c r="H338" s="3">
        <v>107</v>
      </c>
      <c r="I338" s="151">
        <v>30</v>
      </c>
      <c r="J338" s="151">
        <v>50</v>
      </c>
      <c r="K338" s="151">
        <v>83</v>
      </c>
      <c r="L338" s="151">
        <v>45</v>
      </c>
      <c r="M338" s="151" t="str">
        <f t="shared" si="19"/>
        <v/>
      </c>
      <c r="N338" s="151">
        <f t="shared" si="20"/>
        <v>107</v>
      </c>
      <c r="P338" s="151">
        <v>96</v>
      </c>
      <c r="Q338" s="239" t="str">
        <f t="shared" ca="1" si="18"/>
        <v/>
      </c>
    </row>
    <row r="339" spans="2:17" ht="15.75" hidden="1" customHeight="1" outlineLevel="1" x14ac:dyDescent="0.25">
      <c r="C339" s="106"/>
      <c r="D339" s="105">
        <v>42671</v>
      </c>
      <c r="E339" s="101" t="s">
        <v>6</v>
      </c>
      <c r="F339" s="216" t="s">
        <v>50</v>
      </c>
      <c r="G339" s="3" t="s">
        <v>56</v>
      </c>
      <c r="H339" s="3" t="s">
        <v>56</v>
      </c>
      <c r="M339" s="151" t="str">
        <f t="shared" si="19"/>
        <v/>
      </c>
      <c r="N339" s="151" t="str">
        <f t="shared" si="20"/>
        <v>/</v>
      </c>
      <c r="Q339" s="239">
        <f t="shared" ca="1" si="18"/>
        <v>1</v>
      </c>
    </row>
    <row r="340" spans="2:17" ht="15.75" hidden="1" customHeight="1" outlineLevel="1" x14ac:dyDescent="0.25">
      <c r="C340" s="106"/>
      <c r="D340" s="105">
        <v>42672</v>
      </c>
      <c r="E340" s="101" t="s">
        <v>1</v>
      </c>
      <c r="F340" s="216" t="s">
        <v>49</v>
      </c>
      <c r="G340" s="3" t="s">
        <v>56</v>
      </c>
      <c r="H340" s="3" t="s">
        <v>56</v>
      </c>
      <c r="M340" s="151" t="str">
        <f t="shared" si="19"/>
        <v>/</v>
      </c>
      <c r="N340" s="151" t="str">
        <f t="shared" si="20"/>
        <v/>
      </c>
      <c r="Q340" s="239" t="str">
        <f t="shared" ca="1" si="18"/>
        <v/>
      </c>
    </row>
    <row r="341" spans="2:17" ht="15.75" hidden="1" customHeight="1" outlineLevel="1" x14ac:dyDescent="0.25">
      <c r="C341" s="106"/>
      <c r="D341" s="105">
        <v>42676</v>
      </c>
      <c r="E341" s="101" t="s">
        <v>11</v>
      </c>
      <c r="F341" s="216" t="s">
        <v>49</v>
      </c>
      <c r="G341" s="3" t="s">
        <v>56</v>
      </c>
      <c r="H341" s="3" t="s">
        <v>56</v>
      </c>
      <c r="M341" s="151" t="str">
        <f t="shared" si="19"/>
        <v>/</v>
      </c>
      <c r="N341" s="151" t="str">
        <f t="shared" si="20"/>
        <v/>
      </c>
      <c r="Q341" s="239" t="str">
        <f t="shared" ca="1" si="18"/>
        <v/>
      </c>
    </row>
    <row r="342" spans="2:17" ht="15.75" hidden="1" customHeight="1" outlineLevel="1" x14ac:dyDescent="0.25">
      <c r="C342" s="106"/>
      <c r="D342" s="105">
        <v>42678</v>
      </c>
      <c r="E342" s="101" t="s">
        <v>45</v>
      </c>
      <c r="F342" s="216" t="s">
        <v>50</v>
      </c>
      <c r="G342" s="3" t="s">
        <v>56</v>
      </c>
      <c r="H342" s="3" t="s">
        <v>56</v>
      </c>
      <c r="M342" s="151" t="str">
        <f t="shared" si="19"/>
        <v/>
      </c>
      <c r="N342" s="151" t="str">
        <f t="shared" si="20"/>
        <v>/</v>
      </c>
      <c r="Q342" s="239" t="str">
        <f t="shared" ca="1" si="18"/>
        <v/>
      </c>
    </row>
    <row r="343" spans="2:17" ht="15.75" hidden="1" customHeight="1" outlineLevel="1" x14ac:dyDescent="0.25">
      <c r="C343" s="106"/>
      <c r="D343" s="105">
        <v>42681</v>
      </c>
      <c r="E343" s="101" t="s">
        <v>7</v>
      </c>
      <c r="F343" s="216" t="s">
        <v>49</v>
      </c>
      <c r="G343" s="3" t="s">
        <v>56</v>
      </c>
      <c r="H343" s="3" t="s">
        <v>56</v>
      </c>
      <c r="M343" s="151" t="str">
        <f t="shared" si="19"/>
        <v>/</v>
      </c>
      <c r="N343" s="151" t="str">
        <f t="shared" si="20"/>
        <v/>
      </c>
      <c r="Q343" s="239" t="str">
        <f t="shared" ca="1" si="18"/>
        <v/>
      </c>
    </row>
    <row r="344" spans="2:17" ht="15.75" hidden="1" customHeight="1" outlineLevel="1" x14ac:dyDescent="0.25">
      <c r="C344" s="106"/>
      <c r="D344" s="105">
        <v>42683</v>
      </c>
      <c r="E344" s="101" t="s">
        <v>28</v>
      </c>
      <c r="F344" s="216" t="s">
        <v>49</v>
      </c>
      <c r="G344" s="3" t="s">
        <v>56</v>
      </c>
      <c r="H344" s="3" t="s">
        <v>56</v>
      </c>
      <c r="M344" s="151" t="str">
        <f t="shared" si="19"/>
        <v>/</v>
      </c>
      <c r="N344" s="151" t="str">
        <f t="shared" si="20"/>
        <v/>
      </c>
      <c r="Q344" s="239" t="str">
        <f t="shared" ca="1" si="18"/>
        <v/>
      </c>
    </row>
    <row r="345" spans="2:17" ht="15.75" hidden="1" customHeight="1" outlineLevel="1" x14ac:dyDescent="0.25">
      <c r="C345" s="106"/>
      <c r="D345" s="105">
        <v>42685</v>
      </c>
      <c r="E345" s="101" t="s">
        <v>12</v>
      </c>
      <c r="F345" s="216" t="s">
        <v>49</v>
      </c>
      <c r="G345" s="3" t="s">
        <v>56</v>
      </c>
      <c r="H345" s="3" t="s">
        <v>56</v>
      </c>
      <c r="M345" s="151" t="str">
        <f t="shared" si="19"/>
        <v>/</v>
      </c>
      <c r="N345" s="151" t="str">
        <f t="shared" si="20"/>
        <v/>
      </c>
      <c r="Q345" s="239" t="str">
        <f t="shared" ca="1" si="18"/>
        <v/>
      </c>
    </row>
    <row r="346" spans="2:17" ht="15.75" hidden="1" customHeight="1" outlineLevel="1" x14ac:dyDescent="0.25">
      <c r="C346" s="106"/>
      <c r="D346" s="105">
        <v>42687</v>
      </c>
      <c r="E346" s="101" t="s">
        <v>4</v>
      </c>
      <c r="F346" s="216" t="s">
        <v>50</v>
      </c>
      <c r="G346" s="3" t="s">
        <v>56</v>
      </c>
      <c r="H346" s="3" t="s">
        <v>56</v>
      </c>
      <c r="M346" s="151" t="str">
        <f t="shared" si="19"/>
        <v/>
      </c>
      <c r="N346" s="151" t="str">
        <f t="shared" si="20"/>
        <v>/</v>
      </c>
      <c r="Q346" s="239" t="str">
        <f t="shared" ca="1" si="18"/>
        <v/>
      </c>
    </row>
    <row r="347" spans="2:17" ht="15.75" hidden="1" customHeight="1" outlineLevel="1" x14ac:dyDescent="0.25">
      <c r="C347" s="106"/>
      <c r="D347" s="105">
        <v>42689</v>
      </c>
      <c r="E347" s="101" t="s">
        <v>21</v>
      </c>
      <c r="F347" s="216" t="s">
        <v>50</v>
      </c>
      <c r="G347" s="3" t="s">
        <v>56</v>
      </c>
      <c r="H347" s="3" t="s">
        <v>56</v>
      </c>
      <c r="M347" s="151" t="str">
        <f t="shared" si="19"/>
        <v/>
      </c>
      <c r="N347" s="151" t="str">
        <f t="shared" si="20"/>
        <v>/</v>
      </c>
      <c r="Q347" s="239" t="str">
        <f t="shared" ca="1" si="18"/>
        <v/>
      </c>
    </row>
    <row r="348" spans="2:17" ht="15.75" hidden="1" customHeight="1" outlineLevel="1" x14ac:dyDescent="0.25">
      <c r="C348" s="106"/>
      <c r="D348" s="105">
        <v>42692</v>
      </c>
      <c r="E348" s="101" t="s">
        <v>0</v>
      </c>
      <c r="F348" s="216" t="s">
        <v>49</v>
      </c>
      <c r="G348" s="3" t="s">
        <v>56</v>
      </c>
      <c r="H348" s="3" t="s">
        <v>56</v>
      </c>
      <c r="M348" s="151" t="str">
        <f t="shared" si="19"/>
        <v>/</v>
      </c>
      <c r="N348" s="151" t="str">
        <f t="shared" si="20"/>
        <v/>
      </c>
      <c r="Q348" s="239" t="str">
        <f t="shared" ca="1" si="18"/>
        <v/>
      </c>
    </row>
    <row r="349" spans="2:17" ht="15.75" hidden="1" customHeight="1" outlineLevel="1" x14ac:dyDescent="0.25">
      <c r="C349" s="106"/>
      <c r="D349" s="105">
        <v>42693</v>
      </c>
      <c r="E349" s="101" t="s">
        <v>22</v>
      </c>
      <c r="F349" s="216" t="s">
        <v>50</v>
      </c>
      <c r="G349" s="3" t="s">
        <v>56</v>
      </c>
      <c r="H349" s="3" t="s">
        <v>56</v>
      </c>
      <c r="M349" s="151" t="str">
        <f t="shared" si="19"/>
        <v/>
      </c>
      <c r="N349" s="151" t="str">
        <f t="shared" si="20"/>
        <v>/</v>
      </c>
      <c r="Q349" s="239" t="str">
        <f t="shared" ca="1" si="18"/>
        <v/>
      </c>
    </row>
    <row r="350" spans="2:17" ht="15.75" hidden="1" customHeight="1" outlineLevel="1" x14ac:dyDescent="0.25">
      <c r="C350" s="106"/>
      <c r="D350" s="105">
        <v>42695</v>
      </c>
      <c r="E350" s="101" t="s">
        <v>20</v>
      </c>
      <c r="F350" s="216" t="s">
        <v>49</v>
      </c>
      <c r="G350" s="3" t="s">
        <v>56</v>
      </c>
      <c r="H350" s="3" t="s">
        <v>56</v>
      </c>
      <c r="M350" s="151" t="str">
        <f t="shared" si="19"/>
        <v>/</v>
      </c>
      <c r="N350" s="151" t="str">
        <f t="shared" si="20"/>
        <v/>
      </c>
      <c r="Q350" s="239" t="str">
        <f t="shared" ca="1" si="18"/>
        <v/>
      </c>
    </row>
    <row r="351" spans="2:17" ht="15.75" hidden="1" customHeight="1" outlineLevel="1" x14ac:dyDescent="0.25">
      <c r="C351" s="106"/>
      <c r="D351" s="105">
        <v>42697</v>
      </c>
      <c r="E351" s="101" t="s">
        <v>47</v>
      </c>
      <c r="F351" s="216" t="s">
        <v>49</v>
      </c>
      <c r="G351" s="3" t="s">
        <v>56</v>
      </c>
      <c r="H351" s="3" t="s">
        <v>56</v>
      </c>
      <c r="M351" s="151" t="str">
        <f t="shared" si="19"/>
        <v>/</v>
      </c>
      <c r="N351" s="151" t="str">
        <f t="shared" si="20"/>
        <v/>
      </c>
      <c r="Q351" s="239" t="str">
        <f t="shared" ca="1" si="18"/>
        <v/>
      </c>
    </row>
    <row r="352" spans="2:17" ht="15.75" hidden="1" customHeight="1" outlineLevel="1" x14ac:dyDescent="0.25">
      <c r="C352" s="106"/>
      <c r="D352" s="105">
        <v>42699</v>
      </c>
      <c r="E352" s="101" t="s">
        <v>9</v>
      </c>
      <c r="F352" s="216" t="s">
        <v>50</v>
      </c>
      <c r="G352" s="3" t="s">
        <v>56</v>
      </c>
      <c r="H352" s="3" t="s">
        <v>56</v>
      </c>
      <c r="M352" s="151" t="str">
        <f t="shared" si="19"/>
        <v/>
      </c>
      <c r="N352" s="151" t="str">
        <f t="shared" si="20"/>
        <v>/</v>
      </c>
      <c r="Q352" s="239" t="str">
        <f t="shared" ca="1" si="18"/>
        <v/>
      </c>
    </row>
    <row r="353" spans="3:17" ht="15.75" hidden="1" customHeight="1" outlineLevel="1" x14ac:dyDescent="0.25">
      <c r="C353" s="106"/>
      <c r="D353" s="105">
        <v>42700</v>
      </c>
      <c r="E353" s="101" t="s">
        <v>9</v>
      </c>
      <c r="F353" s="216" t="s">
        <v>49</v>
      </c>
      <c r="G353" s="3" t="s">
        <v>56</v>
      </c>
      <c r="H353" s="3" t="s">
        <v>56</v>
      </c>
      <c r="M353" s="151" t="str">
        <f t="shared" si="19"/>
        <v>/</v>
      </c>
      <c r="N353" s="151" t="str">
        <f t="shared" si="20"/>
        <v/>
      </c>
      <c r="Q353" s="239" t="str">
        <f t="shared" ca="1" si="18"/>
        <v/>
      </c>
    </row>
    <row r="354" spans="3:17" ht="15.75" hidden="1" customHeight="1" outlineLevel="1" x14ac:dyDescent="0.25">
      <c r="C354" s="106"/>
      <c r="D354" s="105">
        <v>42702</v>
      </c>
      <c r="E354" s="101" t="s">
        <v>20</v>
      </c>
      <c r="F354" s="216" t="s">
        <v>50</v>
      </c>
      <c r="G354" s="3" t="s">
        <v>56</v>
      </c>
      <c r="H354" s="3" t="s">
        <v>56</v>
      </c>
      <c r="M354" s="151" t="str">
        <f t="shared" si="19"/>
        <v/>
      </c>
      <c r="N354" s="151" t="str">
        <f t="shared" si="20"/>
        <v>/</v>
      </c>
      <c r="Q354" s="239" t="str">
        <f t="shared" ca="1" si="18"/>
        <v/>
      </c>
    </row>
    <row r="355" spans="3:17" ht="15.75" hidden="1" customHeight="1" outlineLevel="1" x14ac:dyDescent="0.25">
      <c r="C355" s="106"/>
      <c r="D355" s="105">
        <v>42703</v>
      </c>
      <c r="E355" s="101" t="s">
        <v>5</v>
      </c>
      <c r="F355" s="216" t="s">
        <v>49</v>
      </c>
      <c r="G355" s="3" t="s">
        <v>56</v>
      </c>
      <c r="H355" s="3" t="s">
        <v>56</v>
      </c>
      <c r="M355" s="151" t="str">
        <f t="shared" si="19"/>
        <v>/</v>
      </c>
      <c r="N355" s="151" t="str">
        <f t="shared" si="20"/>
        <v/>
      </c>
      <c r="Q355" s="239" t="str">
        <f t="shared" ca="1" si="18"/>
        <v/>
      </c>
    </row>
    <row r="356" spans="3:17" ht="15.75" hidden="1" customHeight="1" outlineLevel="1" x14ac:dyDescent="0.25">
      <c r="C356" s="107"/>
      <c r="D356" s="105">
        <v>42705</v>
      </c>
      <c r="E356" s="101" t="s">
        <v>14</v>
      </c>
      <c r="F356" s="216" t="s">
        <v>49</v>
      </c>
      <c r="G356" s="3" t="s">
        <v>56</v>
      </c>
      <c r="H356" s="3" t="s">
        <v>56</v>
      </c>
      <c r="M356" s="151" t="str">
        <f t="shared" si="19"/>
        <v>/</v>
      </c>
      <c r="N356" s="151" t="str">
        <f t="shared" si="20"/>
        <v/>
      </c>
      <c r="Q356" s="239" t="str">
        <f t="shared" ca="1" si="18"/>
        <v/>
      </c>
    </row>
    <row r="357" spans="3:17" ht="15.75" hidden="1" customHeight="1" outlineLevel="1" x14ac:dyDescent="0.25">
      <c r="C357" s="107"/>
      <c r="D357" s="105">
        <v>42707</v>
      </c>
      <c r="E357" s="101" t="s">
        <v>21</v>
      </c>
      <c r="F357" s="216" t="s">
        <v>49</v>
      </c>
      <c r="G357" s="3" t="s">
        <v>56</v>
      </c>
      <c r="H357" s="3" t="s">
        <v>56</v>
      </c>
      <c r="M357" s="151" t="str">
        <f t="shared" si="19"/>
        <v>/</v>
      </c>
      <c r="N357" s="151" t="str">
        <f t="shared" si="20"/>
        <v/>
      </c>
      <c r="Q357" s="239" t="str">
        <f t="shared" ca="1" si="18"/>
        <v/>
      </c>
    </row>
    <row r="358" spans="3:17" ht="15.75" hidden="1" customHeight="1" outlineLevel="1" x14ac:dyDescent="0.25">
      <c r="C358" s="107"/>
      <c r="D358" s="105">
        <v>42709</v>
      </c>
      <c r="E358" s="101" t="s">
        <v>14</v>
      </c>
      <c r="F358" s="216" t="s">
        <v>50</v>
      </c>
      <c r="G358" s="3" t="s">
        <v>56</v>
      </c>
      <c r="H358" s="3" t="s">
        <v>56</v>
      </c>
      <c r="M358" s="151" t="str">
        <f t="shared" si="19"/>
        <v/>
      </c>
      <c r="N358" s="151" t="str">
        <f t="shared" si="20"/>
        <v>/</v>
      </c>
      <c r="Q358" s="239" t="str">
        <f t="shared" ca="1" si="18"/>
        <v/>
      </c>
    </row>
    <row r="359" spans="3:17" ht="15.75" hidden="1" customHeight="1" outlineLevel="1" x14ac:dyDescent="0.25">
      <c r="C359" s="107"/>
      <c r="D359" s="105">
        <v>42712</v>
      </c>
      <c r="E359" s="101" t="s">
        <v>5</v>
      </c>
      <c r="F359" s="216" t="s">
        <v>49</v>
      </c>
      <c r="G359" s="3" t="s">
        <v>56</v>
      </c>
      <c r="H359" s="3" t="s">
        <v>56</v>
      </c>
      <c r="M359" s="151" t="str">
        <f t="shared" si="19"/>
        <v>/</v>
      </c>
      <c r="N359" s="151" t="str">
        <f t="shared" si="20"/>
        <v/>
      </c>
      <c r="Q359" s="239" t="str">
        <f t="shared" ca="1" si="18"/>
        <v/>
      </c>
    </row>
    <row r="360" spans="3:17" ht="15.75" hidden="1" customHeight="1" outlineLevel="1" x14ac:dyDescent="0.25">
      <c r="C360" s="107"/>
      <c r="D360" s="105">
        <v>42713</v>
      </c>
      <c r="E360" s="101" t="s">
        <v>10</v>
      </c>
      <c r="F360" s="216" t="s">
        <v>49</v>
      </c>
      <c r="G360" s="3" t="s">
        <v>56</v>
      </c>
      <c r="H360" s="3" t="s">
        <v>56</v>
      </c>
      <c r="M360" s="151" t="str">
        <f t="shared" si="19"/>
        <v>/</v>
      </c>
      <c r="N360" s="151" t="str">
        <f t="shared" si="20"/>
        <v/>
      </c>
      <c r="Q360" s="239" t="str">
        <f t="shared" ca="1" si="18"/>
        <v/>
      </c>
    </row>
    <row r="361" spans="3:17" ht="15.75" hidden="1" customHeight="1" outlineLevel="1" x14ac:dyDescent="0.25">
      <c r="C361" s="107"/>
      <c r="D361" s="105">
        <v>42714</v>
      </c>
      <c r="E361" s="101" t="s">
        <v>4</v>
      </c>
      <c r="F361" s="216" t="s">
        <v>50</v>
      </c>
      <c r="G361" s="3" t="s">
        <v>56</v>
      </c>
      <c r="H361" s="3" t="s">
        <v>56</v>
      </c>
      <c r="M361" s="151" t="str">
        <f t="shared" si="19"/>
        <v/>
      </c>
      <c r="N361" s="151" t="str">
        <f t="shared" si="20"/>
        <v>/</v>
      </c>
      <c r="Q361" s="239" t="str">
        <f t="shared" ca="1" si="18"/>
        <v/>
      </c>
    </row>
    <row r="362" spans="3:17" ht="15.75" hidden="1" customHeight="1" outlineLevel="1" x14ac:dyDescent="0.25">
      <c r="C362" s="107"/>
      <c r="D362" s="105">
        <v>42716</v>
      </c>
      <c r="E362" s="101" t="s">
        <v>7</v>
      </c>
      <c r="F362" s="216" t="s">
        <v>50</v>
      </c>
      <c r="G362" s="3" t="s">
        <v>56</v>
      </c>
      <c r="H362" s="3" t="s">
        <v>56</v>
      </c>
      <c r="M362" s="151" t="str">
        <f t="shared" si="19"/>
        <v/>
      </c>
      <c r="N362" s="151" t="str">
        <f t="shared" si="20"/>
        <v>/</v>
      </c>
      <c r="Q362" s="239" t="str">
        <f t="shared" ca="1" si="18"/>
        <v/>
      </c>
    </row>
    <row r="363" spans="3:17" ht="15.75" hidden="1" customHeight="1" outlineLevel="1" x14ac:dyDescent="0.25">
      <c r="C363" s="107"/>
      <c r="D363" s="105">
        <v>42718</v>
      </c>
      <c r="E363" s="101" t="s">
        <v>13</v>
      </c>
      <c r="F363" s="216" t="s">
        <v>50</v>
      </c>
      <c r="G363" s="3" t="s">
        <v>56</v>
      </c>
      <c r="H363" s="3" t="s">
        <v>56</v>
      </c>
      <c r="M363" s="151" t="str">
        <f t="shared" si="19"/>
        <v/>
      </c>
      <c r="N363" s="151" t="str">
        <f t="shared" si="20"/>
        <v>/</v>
      </c>
      <c r="Q363" s="239" t="str">
        <f t="shared" ref="Q363:Q426" ca="1" si="21">IF(D363=TODAY(),1,"")</f>
        <v/>
      </c>
    </row>
    <row r="364" spans="3:17" ht="15.75" hidden="1" customHeight="1" outlineLevel="1" x14ac:dyDescent="0.25">
      <c r="C364" s="107"/>
      <c r="D364" s="105">
        <v>42720</v>
      </c>
      <c r="E364" s="101" t="s">
        <v>1</v>
      </c>
      <c r="F364" s="216" t="s">
        <v>50</v>
      </c>
      <c r="G364" s="3" t="s">
        <v>56</v>
      </c>
      <c r="H364" s="3" t="s">
        <v>56</v>
      </c>
      <c r="M364" s="151" t="str">
        <f t="shared" si="19"/>
        <v/>
      </c>
      <c r="N364" s="151" t="str">
        <f t="shared" si="20"/>
        <v>/</v>
      </c>
      <c r="Q364" s="239" t="str">
        <f t="shared" ca="1" si="21"/>
        <v/>
      </c>
    </row>
    <row r="365" spans="3:17" ht="15.75" hidden="1" customHeight="1" outlineLevel="1" x14ac:dyDescent="0.25">
      <c r="C365" s="107"/>
      <c r="D365" s="105">
        <v>42721</v>
      </c>
      <c r="E365" s="101" t="s">
        <v>0</v>
      </c>
      <c r="F365" s="216" t="s">
        <v>50</v>
      </c>
      <c r="G365" s="3" t="s">
        <v>56</v>
      </c>
      <c r="H365" s="3" t="s">
        <v>56</v>
      </c>
      <c r="M365" s="151" t="str">
        <f t="shared" si="19"/>
        <v/>
      </c>
      <c r="N365" s="151" t="str">
        <f t="shared" si="20"/>
        <v>/</v>
      </c>
      <c r="Q365" s="239" t="str">
        <f t="shared" ca="1" si="21"/>
        <v/>
      </c>
    </row>
    <row r="366" spans="3:17" ht="15.75" hidden="1" customHeight="1" outlineLevel="1" x14ac:dyDescent="0.25">
      <c r="C366" s="107"/>
      <c r="D366" s="105">
        <v>42724</v>
      </c>
      <c r="E366" s="101" t="s">
        <v>19</v>
      </c>
      <c r="F366" s="216" t="s">
        <v>49</v>
      </c>
      <c r="G366" s="3" t="s">
        <v>56</v>
      </c>
      <c r="H366" s="3" t="s">
        <v>56</v>
      </c>
      <c r="M366" s="151" t="str">
        <f t="shared" si="19"/>
        <v>/</v>
      </c>
      <c r="N366" s="151" t="str">
        <f t="shared" si="20"/>
        <v/>
      </c>
      <c r="Q366" s="239" t="str">
        <f t="shared" ca="1" si="21"/>
        <v/>
      </c>
    </row>
    <row r="367" spans="3:17" ht="15.75" hidden="1" customHeight="1" outlineLevel="1" x14ac:dyDescent="0.25">
      <c r="C367" s="107"/>
      <c r="D367" s="105">
        <v>42727</v>
      </c>
      <c r="E367" s="101" t="s">
        <v>2</v>
      </c>
      <c r="F367" s="216" t="s">
        <v>49</v>
      </c>
      <c r="G367" s="3" t="s">
        <v>56</v>
      </c>
      <c r="H367" s="3" t="s">
        <v>56</v>
      </c>
      <c r="M367" s="151" t="str">
        <f t="shared" si="19"/>
        <v>/</v>
      </c>
      <c r="N367" s="151" t="str">
        <f t="shared" si="20"/>
        <v/>
      </c>
      <c r="Q367" s="239" t="str">
        <f t="shared" ca="1" si="21"/>
        <v/>
      </c>
    </row>
    <row r="368" spans="3:17" ht="15.75" hidden="1" customHeight="1" outlineLevel="1" x14ac:dyDescent="0.25">
      <c r="C368" s="107"/>
      <c r="D368" s="105">
        <v>42730</v>
      </c>
      <c r="E368" s="101" t="s">
        <v>45</v>
      </c>
      <c r="F368" s="216" t="s">
        <v>50</v>
      </c>
      <c r="G368" s="3" t="s">
        <v>56</v>
      </c>
      <c r="H368" s="3" t="s">
        <v>56</v>
      </c>
      <c r="M368" s="151" t="str">
        <f t="shared" si="19"/>
        <v/>
      </c>
      <c r="N368" s="151" t="str">
        <f t="shared" si="20"/>
        <v>/</v>
      </c>
      <c r="Q368" s="239" t="str">
        <f t="shared" ca="1" si="21"/>
        <v/>
      </c>
    </row>
    <row r="369" spans="3:17" ht="15.75" hidden="1" customHeight="1" outlineLevel="1" x14ac:dyDescent="0.25">
      <c r="C369" s="107"/>
      <c r="D369" s="105">
        <v>42732</v>
      </c>
      <c r="E369" s="101" t="s">
        <v>10</v>
      </c>
      <c r="F369" s="216" t="s">
        <v>50</v>
      </c>
      <c r="G369" s="3" t="s">
        <v>56</v>
      </c>
      <c r="H369" s="3" t="s">
        <v>56</v>
      </c>
      <c r="M369" s="151" t="str">
        <f t="shared" si="19"/>
        <v/>
      </c>
      <c r="N369" s="151" t="str">
        <f t="shared" si="20"/>
        <v>/</v>
      </c>
      <c r="Q369" s="239" t="str">
        <f t="shared" ca="1" si="21"/>
        <v/>
      </c>
    </row>
    <row r="370" spans="3:17" ht="15.75" hidden="1" customHeight="1" outlineLevel="1" x14ac:dyDescent="0.25">
      <c r="C370" s="107"/>
      <c r="D370" s="105">
        <v>42733</v>
      </c>
      <c r="E370" s="101" t="s">
        <v>6</v>
      </c>
      <c r="F370" s="216" t="s">
        <v>49</v>
      </c>
      <c r="G370" s="3" t="s">
        <v>56</v>
      </c>
      <c r="H370" s="3" t="s">
        <v>56</v>
      </c>
      <c r="M370" s="151" t="str">
        <f t="shared" si="19"/>
        <v>/</v>
      </c>
      <c r="N370" s="151" t="str">
        <f t="shared" si="20"/>
        <v/>
      </c>
      <c r="Q370" s="239" t="str">
        <f t="shared" ca="1" si="21"/>
        <v/>
      </c>
    </row>
    <row r="371" spans="3:17" ht="15.75" hidden="1" customHeight="1" outlineLevel="1" x14ac:dyDescent="0.25">
      <c r="C371" s="107"/>
      <c r="D371" s="105">
        <v>42735</v>
      </c>
      <c r="E371" s="101" t="s">
        <v>4</v>
      </c>
      <c r="F371" s="216" t="s">
        <v>49</v>
      </c>
      <c r="G371" s="3" t="s">
        <v>56</v>
      </c>
      <c r="H371" s="3" t="s">
        <v>56</v>
      </c>
      <c r="M371" s="151" t="str">
        <f t="shared" si="19"/>
        <v>/</v>
      </c>
      <c r="N371" s="151" t="str">
        <f t="shared" si="20"/>
        <v/>
      </c>
      <c r="Q371" s="239" t="str">
        <f t="shared" ca="1" si="21"/>
        <v/>
      </c>
    </row>
    <row r="372" spans="3:17" ht="15.75" hidden="1" customHeight="1" outlineLevel="1" x14ac:dyDescent="0.25">
      <c r="C372" s="106"/>
      <c r="D372" s="105">
        <v>42371</v>
      </c>
      <c r="E372" s="101" t="s">
        <v>2</v>
      </c>
      <c r="F372" s="216" t="s">
        <v>50</v>
      </c>
      <c r="G372" s="3" t="s">
        <v>56</v>
      </c>
      <c r="H372" s="3" t="s">
        <v>56</v>
      </c>
      <c r="M372" s="151" t="str">
        <f t="shared" si="19"/>
        <v/>
      </c>
      <c r="N372" s="151" t="str">
        <f t="shared" si="20"/>
        <v>/</v>
      </c>
      <c r="Q372" s="239" t="str">
        <f t="shared" ca="1" si="21"/>
        <v/>
      </c>
    </row>
    <row r="373" spans="3:17" ht="15.75" hidden="1" customHeight="1" outlineLevel="1" x14ac:dyDescent="0.25">
      <c r="C373" s="106"/>
      <c r="D373" s="105">
        <v>42373</v>
      </c>
      <c r="E373" s="101" t="s">
        <v>23</v>
      </c>
      <c r="F373" s="216" t="s">
        <v>49</v>
      </c>
      <c r="G373" s="3" t="s">
        <v>56</v>
      </c>
      <c r="H373" s="3" t="s">
        <v>56</v>
      </c>
      <c r="M373" s="151" t="str">
        <f t="shared" si="19"/>
        <v>/</v>
      </c>
      <c r="N373" s="151" t="str">
        <f t="shared" si="20"/>
        <v/>
      </c>
      <c r="Q373" s="239" t="str">
        <f t="shared" ca="1" si="21"/>
        <v/>
      </c>
    </row>
    <row r="374" spans="3:17" ht="15.75" hidden="1" customHeight="1" outlineLevel="1" x14ac:dyDescent="0.25">
      <c r="C374" s="106"/>
      <c r="D374" s="105">
        <v>42374</v>
      </c>
      <c r="E374" s="101" t="s">
        <v>5</v>
      </c>
      <c r="F374" s="216" t="s">
        <v>50</v>
      </c>
      <c r="G374" s="3" t="s">
        <v>56</v>
      </c>
      <c r="H374" s="3" t="s">
        <v>56</v>
      </c>
      <c r="M374" s="151" t="str">
        <f t="shared" si="19"/>
        <v/>
      </c>
      <c r="N374" s="151" t="str">
        <f t="shared" si="20"/>
        <v>/</v>
      </c>
      <c r="Q374" s="239" t="str">
        <f t="shared" ca="1" si="21"/>
        <v/>
      </c>
    </row>
    <row r="375" spans="3:17" ht="15.75" hidden="1" customHeight="1" outlineLevel="1" x14ac:dyDescent="0.25">
      <c r="C375" s="106"/>
      <c r="D375" s="105">
        <v>42376</v>
      </c>
      <c r="E375" s="101" t="s">
        <v>48</v>
      </c>
      <c r="F375" s="216" t="s">
        <v>50</v>
      </c>
      <c r="G375" s="3" t="s">
        <v>56</v>
      </c>
      <c r="H375" s="3" t="s">
        <v>56</v>
      </c>
      <c r="M375" s="151" t="str">
        <f t="shared" si="19"/>
        <v/>
      </c>
      <c r="N375" s="151" t="str">
        <f t="shared" si="20"/>
        <v>/</v>
      </c>
      <c r="Q375" s="239" t="str">
        <f t="shared" ca="1" si="21"/>
        <v/>
      </c>
    </row>
    <row r="376" spans="3:17" ht="15.75" hidden="1" customHeight="1" outlineLevel="1" x14ac:dyDescent="0.25">
      <c r="C376" s="106"/>
      <c r="D376" s="105">
        <v>42379</v>
      </c>
      <c r="E376" s="101" t="s">
        <v>17</v>
      </c>
      <c r="F376" s="216" t="s">
        <v>50</v>
      </c>
      <c r="G376" s="3" t="s">
        <v>56</v>
      </c>
      <c r="H376" s="3" t="s">
        <v>56</v>
      </c>
      <c r="M376" s="151" t="str">
        <f t="shared" si="19"/>
        <v/>
      </c>
      <c r="N376" s="151" t="str">
        <f t="shared" si="20"/>
        <v>/</v>
      </c>
      <c r="Q376" s="239" t="str">
        <f t="shared" ca="1" si="21"/>
        <v/>
      </c>
    </row>
    <row r="377" spans="3:17" ht="15.75" hidden="1" customHeight="1" outlineLevel="1" x14ac:dyDescent="0.25">
      <c r="C377" s="106"/>
      <c r="D377" s="105">
        <v>42382</v>
      </c>
      <c r="E377" s="101" t="s">
        <v>11</v>
      </c>
      <c r="F377" s="216" t="s">
        <v>50</v>
      </c>
      <c r="G377" s="3" t="s">
        <v>56</v>
      </c>
      <c r="H377" s="3" t="s">
        <v>56</v>
      </c>
      <c r="M377" s="151" t="str">
        <f t="shared" si="19"/>
        <v/>
      </c>
      <c r="N377" s="151" t="str">
        <f t="shared" si="20"/>
        <v>/</v>
      </c>
      <c r="Q377" s="239" t="str">
        <f t="shared" ca="1" si="21"/>
        <v/>
      </c>
    </row>
    <row r="378" spans="3:17" ht="15.75" hidden="1" customHeight="1" outlineLevel="1" x14ac:dyDescent="0.25">
      <c r="C378" s="106"/>
      <c r="D378" s="105">
        <v>42385</v>
      </c>
      <c r="E378" s="101" t="s">
        <v>1</v>
      </c>
      <c r="F378" s="216" t="s">
        <v>50</v>
      </c>
      <c r="G378" s="3" t="s">
        <v>56</v>
      </c>
      <c r="H378" s="3" t="s">
        <v>56</v>
      </c>
      <c r="M378" s="151" t="str">
        <f t="shared" si="19"/>
        <v/>
      </c>
      <c r="N378" s="151" t="str">
        <f t="shared" si="20"/>
        <v>/</v>
      </c>
      <c r="Q378" s="239" t="str">
        <f t="shared" ca="1" si="21"/>
        <v/>
      </c>
    </row>
    <row r="379" spans="3:17" ht="15.75" hidden="1" customHeight="1" outlineLevel="1" x14ac:dyDescent="0.25">
      <c r="C379" s="106"/>
      <c r="D379" s="105">
        <v>42387</v>
      </c>
      <c r="E379" s="101" t="s">
        <v>24</v>
      </c>
      <c r="F379" s="216" t="s">
        <v>49</v>
      </c>
      <c r="G379" s="3" t="s">
        <v>56</v>
      </c>
      <c r="H379" s="3" t="s">
        <v>56</v>
      </c>
      <c r="M379" s="151" t="str">
        <f t="shared" si="19"/>
        <v>/</v>
      </c>
      <c r="N379" s="151" t="str">
        <f t="shared" si="20"/>
        <v/>
      </c>
      <c r="Q379" s="239" t="str">
        <f t="shared" ca="1" si="21"/>
        <v/>
      </c>
    </row>
    <row r="380" spans="3:17" ht="15.75" hidden="1" customHeight="1" outlineLevel="1" x14ac:dyDescent="0.25">
      <c r="C380" s="106"/>
      <c r="D380" s="105">
        <v>42389</v>
      </c>
      <c r="E380" s="101" t="s">
        <v>12</v>
      </c>
      <c r="F380" s="216" t="s">
        <v>49</v>
      </c>
      <c r="G380" s="3" t="s">
        <v>56</v>
      </c>
      <c r="H380" s="3" t="s">
        <v>56</v>
      </c>
      <c r="M380" s="151" t="str">
        <f t="shared" si="19"/>
        <v>/</v>
      </c>
      <c r="N380" s="151" t="str">
        <f t="shared" si="20"/>
        <v/>
      </c>
      <c r="Q380" s="239" t="str">
        <f t="shared" ca="1" si="21"/>
        <v/>
      </c>
    </row>
    <row r="381" spans="3:17" ht="15.75" hidden="1" customHeight="1" outlineLevel="1" x14ac:dyDescent="0.25">
      <c r="C381" s="106"/>
      <c r="D381" s="105">
        <v>42390</v>
      </c>
      <c r="E381" s="101" t="s">
        <v>45</v>
      </c>
      <c r="F381" s="216" t="s">
        <v>49</v>
      </c>
      <c r="G381" s="3" t="s">
        <v>56</v>
      </c>
      <c r="H381" s="3" t="s">
        <v>56</v>
      </c>
      <c r="M381" s="151" t="str">
        <f t="shared" si="19"/>
        <v>/</v>
      </c>
      <c r="N381" s="151" t="str">
        <f t="shared" si="20"/>
        <v/>
      </c>
      <c r="Q381" s="239" t="str">
        <f t="shared" ca="1" si="21"/>
        <v/>
      </c>
    </row>
    <row r="382" spans="3:17" ht="15.75" hidden="1" customHeight="1" outlineLevel="1" x14ac:dyDescent="0.25">
      <c r="C382" s="106"/>
      <c r="D382" s="105">
        <v>42392</v>
      </c>
      <c r="E382" s="101" t="s">
        <v>13</v>
      </c>
      <c r="F382" s="216" t="s">
        <v>49</v>
      </c>
      <c r="G382" s="3" t="s">
        <v>56</v>
      </c>
      <c r="H382" s="3" t="s">
        <v>56</v>
      </c>
      <c r="M382" s="151" t="str">
        <f t="shared" si="19"/>
        <v>/</v>
      </c>
      <c r="N382" s="151" t="str">
        <f t="shared" si="20"/>
        <v/>
      </c>
      <c r="Q382" s="239" t="str">
        <f t="shared" ca="1" si="21"/>
        <v/>
      </c>
    </row>
    <row r="383" spans="3:17" ht="15.75" hidden="1" customHeight="1" outlineLevel="1" x14ac:dyDescent="0.25">
      <c r="C383" s="106"/>
      <c r="D383" s="105">
        <v>42394</v>
      </c>
      <c r="E383" s="101" t="s">
        <v>16</v>
      </c>
      <c r="F383" s="216" t="s">
        <v>49</v>
      </c>
      <c r="G383" s="3" t="s">
        <v>56</v>
      </c>
      <c r="H383" s="3" t="s">
        <v>56</v>
      </c>
      <c r="M383" s="151" t="str">
        <f t="shared" si="19"/>
        <v>/</v>
      </c>
      <c r="N383" s="151" t="str">
        <f t="shared" si="20"/>
        <v/>
      </c>
      <c r="Q383" s="239" t="str">
        <f t="shared" ca="1" si="21"/>
        <v/>
      </c>
    </row>
    <row r="384" spans="3:17" ht="15.75" hidden="1" customHeight="1" outlineLevel="1" x14ac:dyDescent="0.25">
      <c r="C384" s="106"/>
      <c r="D384" s="105">
        <v>42396</v>
      </c>
      <c r="E384" s="101" t="s">
        <v>9</v>
      </c>
      <c r="F384" s="216" t="s">
        <v>50</v>
      </c>
      <c r="G384" s="3" t="s">
        <v>56</v>
      </c>
      <c r="H384" s="3" t="s">
        <v>56</v>
      </c>
      <c r="M384" s="151" t="str">
        <f t="shared" si="19"/>
        <v/>
      </c>
      <c r="N384" s="151" t="str">
        <f t="shared" si="20"/>
        <v>/</v>
      </c>
      <c r="Q384" s="239" t="str">
        <f t="shared" ca="1" si="21"/>
        <v/>
      </c>
    </row>
    <row r="385" spans="3:17" ht="15.75" hidden="1" customHeight="1" outlineLevel="1" x14ac:dyDescent="0.25">
      <c r="C385" s="106"/>
      <c r="D385" s="105">
        <v>42397</v>
      </c>
      <c r="E385" s="101" t="s">
        <v>26</v>
      </c>
      <c r="F385" s="216" t="s">
        <v>49</v>
      </c>
      <c r="G385" s="3" t="s">
        <v>56</v>
      </c>
      <c r="H385" s="3" t="s">
        <v>56</v>
      </c>
      <c r="M385" s="151" t="str">
        <f t="shared" si="19"/>
        <v>/</v>
      </c>
      <c r="N385" s="151" t="str">
        <f t="shared" si="20"/>
        <v/>
      </c>
      <c r="Q385" s="239" t="str">
        <f t="shared" ca="1" si="21"/>
        <v/>
      </c>
    </row>
    <row r="386" spans="3:17" ht="15.75" hidden="1" customHeight="1" outlineLevel="1" x14ac:dyDescent="0.25">
      <c r="C386" s="106"/>
      <c r="D386" s="105">
        <v>42400</v>
      </c>
      <c r="E386" s="101" t="s">
        <v>24</v>
      </c>
      <c r="F386" s="216" t="s">
        <v>50</v>
      </c>
      <c r="G386" s="3" t="s">
        <v>56</v>
      </c>
      <c r="H386" s="3" t="s">
        <v>56</v>
      </c>
      <c r="M386" s="151" t="str">
        <f t="shared" si="19"/>
        <v/>
      </c>
      <c r="N386" s="151" t="str">
        <f t="shared" si="20"/>
        <v>/</v>
      </c>
      <c r="Q386" s="239" t="str">
        <f t="shared" ca="1" si="21"/>
        <v/>
      </c>
    </row>
    <row r="387" spans="3:17" ht="15.75" hidden="1" customHeight="1" outlineLevel="1" x14ac:dyDescent="0.25">
      <c r="C387" s="107"/>
      <c r="D387" s="105">
        <v>42401</v>
      </c>
      <c r="E387" s="101" t="s">
        <v>16</v>
      </c>
      <c r="F387" s="216" t="s">
        <v>50</v>
      </c>
      <c r="G387" s="3" t="s">
        <v>56</v>
      </c>
      <c r="H387" s="3" t="s">
        <v>56</v>
      </c>
      <c r="M387" s="151" t="str">
        <f t="shared" si="19"/>
        <v/>
      </c>
      <c r="N387" s="151" t="str">
        <f t="shared" si="20"/>
        <v>/</v>
      </c>
      <c r="Q387" s="239" t="str">
        <f t="shared" ca="1" si="21"/>
        <v/>
      </c>
    </row>
    <row r="388" spans="3:17" ht="15.75" hidden="1" customHeight="1" outlineLevel="1" x14ac:dyDescent="0.25">
      <c r="C388" s="107"/>
      <c r="D388" s="105">
        <v>42404</v>
      </c>
      <c r="E388" s="101" t="s">
        <v>28</v>
      </c>
      <c r="F388" s="216" t="s">
        <v>50</v>
      </c>
      <c r="G388" s="3" t="s">
        <v>56</v>
      </c>
      <c r="H388" s="3" t="s">
        <v>56</v>
      </c>
      <c r="M388" s="151" t="str">
        <f t="shared" si="19"/>
        <v/>
      </c>
      <c r="N388" s="151" t="str">
        <f t="shared" si="20"/>
        <v>/</v>
      </c>
      <c r="Q388" s="239" t="str">
        <f t="shared" ca="1" si="21"/>
        <v/>
      </c>
    </row>
    <row r="389" spans="3:17" ht="15.75" hidden="1" customHeight="1" outlineLevel="1" x14ac:dyDescent="0.25">
      <c r="C389" s="107"/>
      <c r="D389" s="105">
        <v>42407</v>
      </c>
      <c r="E389" s="101" t="s">
        <v>45</v>
      </c>
      <c r="F389" s="216" t="s">
        <v>49</v>
      </c>
      <c r="G389" s="3" t="s">
        <v>56</v>
      </c>
      <c r="H389" s="3" t="s">
        <v>56</v>
      </c>
      <c r="M389" s="151" t="str">
        <f t="shared" si="19"/>
        <v>/</v>
      </c>
      <c r="N389" s="151" t="str">
        <f t="shared" si="20"/>
        <v/>
      </c>
      <c r="Q389" s="239" t="str">
        <f t="shared" ca="1" si="21"/>
        <v/>
      </c>
    </row>
    <row r="390" spans="3:17" ht="15.75" hidden="1" customHeight="1" outlineLevel="1" x14ac:dyDescent="0.25">
      <c r="C390" s="107"/>
      <c r="D390" s="105">
        <v>42409</v>
      </c>
      <c r="E390" s="101" t="s">
        <v>17</v>
      </c>
      <c r="F390" s="216" t="s">
        <v>49</v>
      </c>
      <c r="G390" s="3" t="s">
        <v>56</v>
      </c>
      <c r="H390" s="3" t="s">
        <v>56</v>
      </c>
      <c r="M390" s="151" t="str">
        <f t="shared" si="19"/>
        <v>/</v>
      </c>
      <c r="N390" s="151" t="str">
        <f t="shared" si="20"/>
        <v/>
      </c>
      <c r="Q390" s="239" t="str">
        <f t="shared" ca="1" si="21"/>
        <v/>
      </c>
    </row>
    <row r="391" spans="3:17" ht="15.75" hidden="1" customHeight="1" outlineLevel="1" x14ac:dyDescent="0.25">
      <c r="C391" s="107"/>
      <c r="D391" s="105">
        <v>42411</v>
      </c>
      <c r="E391" s="101" t="s">
        <v>18</v>
      </c>
      <c r="F391" s="216" t="s">
        <v>49</v>
      </c>
      <c r="G391" s="3" t="s">
        <v>56</v>
      </c>
      <c r="H391" s="3" t="s">
        <v>56</v>
      </c>
      <c r="M391" s="151" t="str">
        <f t="shared" ref="M391:M454" si="22">IF(F391="D",H391,"")</f>
        <v>/</v>
      </c>
      <c r="N391" s="151" t="str">
        <f t="shared" ref="N391:N454" si="23">IF(F391="E",H391,"")</f>
        <v/>
      </c>
      <c r="Q391" s="239" t="str">
        <f t="shared" ca="1" si="21"/>
        <v/>
      </c>
    </row>
    <row r="392" spans="3:17" ht="15.75" hidden="1" customHeight="1" outlineLevel="1" x14ac:dyDescent="0.25">
      <c r="C392" s="107"/>
      <c r="D392" s="105">
        <v>42413</v>
      </c>
      <c r="E392" s="101" t="s">
        <v>11</v>
      </c>
      <c r="F392" s="216" t="s">
        <v>49</v>
      </c>
      <c r="G392" s="3" t="s">
        <v>56</v>
      </c>
      <c r="H392" s="3" t="s">
        <v>56</v>
      </c>
      <c r="M392" s="151" t="str">
        <f t="shared" si="22"/>
        <v>/</v>
      </c>
      <c r="N392" s="151" t="str">
        <f t="shared" si="23"/>
        <v/>
      </c>
      <c r="Q392" s="239" t="str">
        <f t="shared" ca="1" si="21"/>
        <v/>
      </c>
    </row>
    <row r="393" spans="3:17" ht="15.75" hidden="1" customHeight="1" outlineLevel="1" x14ac:dyDescent="0.25">
      <c r="C393" s="107"/>
      <c r="D393" s="105">
        <v>42415</v>
      </c>
      <c r="E393" s="101" t="s">
        <v>12</v>
      </c>
      <c r="F393" s="216" t="s">
        <v>50</v>
      </c>
      <c r="G393" s="3" t="s">
        <v>56</v>
      </c>
      <c r="H393" s="3" t="s">
        <v>56</v>
      </c>
      <c r="M393" s="151" t="str">
        <f t="shared" si="22"/>
        <v/>
      </c>
      <c r="N393" s="151" t="str">
        <f t="shared" si="23"/>
        <v>/</v>
      </c>
      <c r="Q393" s="239" t="str">
        <f t="shared" ca="1" si="21"/>
        <v/>
      </c>
    </row>
    <row r="394" spans="3:17" ht="15.75" hidden="1" customHeight="1" outlineLevel="1" x14ac:dyDescent="0.25">
      <c r="C394" s="107"/>
      <c r="D394" s="105">
        <v>42423</v>
      </c>
      <c r="E394" s="101" t="s">
        <v>5</v>
      </c>
      <c r="F394" s="216" t="s">
        <v>50</v>
      </c>
      <c r="G394" s="3" t="s">
        <v>56</v>
      </c>
      <c r="H394" s="3" t="s">
        <v>56</v>
      </c>
      <c r="M394" s="151" t="str">
        <f t="shared" si="22"/>
        <v/>
      </c>
      <c r="N394" s="151" t="str">
        <f t="shared" si="23"/>
        <v>/</v>
      </c>
      <c r="Q394" s="239" t="str">
        <f t="shared" ca="1" si="21"/>
        <v/>
      </c>
    </row>
    <row r="395" spans="3:17" ht="15.75" hidden="1" customHeight="1" outlineLevel="1" x14ac:dyDescent="0.25">
      <c r="C395" s="107"/>
      <c r="D395" s="105">
        <v>42425</v>
      </c>
      <c r="E395" s="101" t="s">
        <v>26</v>
      </c>
      <c r="F395" s="216" t="s">
        <v>50</v>
      </c>
      <c r="G395" s="3" t="s">
        <v>56</v>
      </c>
      <c r="H395" s="3" t="s">
        <v>56</v>
      </c>
      <c r="M395" s="151" t="str">
        <f t="shared" si="22"/>
        <v/>
      </c>
      <c r="N395" s="151" t="str">
        <f t="shared" si="23"/>
        <v>/</v>
      </c>
      <c r="Q395" s="239" t="str">
        <f t="shared" ca="1" si="21"/>
        <v/>
      </c>
    </row>
    <row r="396" spans="3:17" ht="15.75" hidden="1" customHeight="1" outlineLevel="1" x14ac:dyDescent="0.25">
      <c r="C396" s="107"/>
      <c r="D396" s="105">
        <v>42426</v>
      </c>
      <c r="E396" s="101" t="s">
        <v>18</v>
      </c>
      <c r="F396" s="216" t="s">
        <v>50</v>
      </c>
      <c r="G396" s="3" t="s">
        <v>56</v>
      </c>
      <c r="H396" s="3" t="s">
        <v>56</v>
      </c>
      <c r="M396" s="151" t="str">
        <f t="shared" si="22"/>
        <v/>
      </c>
      <c r="N396" s="151" t="str">
        <f t="shared" si="23"/>
        <v>/</v>
      </c>
      <c r="Q396" s="239" t="str">
        <f t="shared" ca="1" si="21"/>
        <v/>
      </c>
    </row>
    <row r="397" spans="3:17" ht="15.75" hidden="1" customHeight="1" outlineLevel="1" x14ac:dyDescent="0.25">
      <c r="C397" s="107"/>
      <c r="D397" s="105">
        <v>42428</v>
      </c>
      <c r="E397" s="101" t="s">
        <v>19</v>
      </c>
      <c r="F397" s="216" t="s">
        <v>50</v>
      </c>
      <c r="G397" s="3" t="s">
        <v>56</v>
      </c>
      <c r="H397" s="3" t="s">
        <v>56</v>
      </c>
      <c r="M397" s="151" t="str">
        <f t="shared" si="22"/>
        <v/>
      </c>
      <c r="N397" s="151" t="str">
        <f t="shared" si="23"/>
        <v>/</v>
      </c>
      <c r="Q397" s="239" t="str">
        <f t="shared" ca="1" si="21"/>
        <v/>
      </c>
    </row>
    <row r="398" spans="3:17" ht="15.75" hidden="1" customHeight="1" outlineLevel="1" x14ac:dyDescent="0.25">
      <c r="C398" s="106"/>
      <c r="D398" s="105">
        <v>42431</v>
      </c>
      <c r="E398" s="101" t="s">
        <v>25</v>
      </c>
      <c r="F398" s="216" t="s">
        <v>50</v>
      </c>
      <c r="G398" s="3" t="s">
        <v>56</v>
      </c>
      <c r="H398" s="3" t="s">
        <v>56</v>
      </c>
      <c r="M398" s="151" t="str">
        <f t="shared" si="22"/>
        <v/>
      </c>
      <c r="N398" s="151" t="str">
        <f t="shared" si="23"/>
        <v>/</v>
      </c>
      <c r="Q398" s="239" t="str">
        <f t="shared" ca="1" si="21"/>
        <v/>
      </c>
    </row>
    <row r="399" spans="3:17" ht="15.75" hidden="1" customHeight="1" outlineLevel="1" x14ac:dyDescent="0.25">
      <c r="C399" s="106"/>
      <c r="D399" s="105">
        <v>42433</v>
      </c>
      <c r="E399" s="101" t="s">
        <v>15</v>
      </c>
      <c r="F399" s="216" t="s">
        <v>50</v>
      </c>
      <c r="G399" s="3" t="s">
        <v>56</v>
      </c>
      <c r="H399" s="3" t="s">
        <v>56</v>
      </c>
      <c r="M399" s="151" t="str">
        <f t="shared" si="22"/>
        <v/>
      </c>
      <c r="N399" s="151" t="str">
        <f t="shared" si="23"/>
        <v>/</v>
      </c>
      <c r="Q399" s="239" t="str">
        <f t="shared" ca="1" si="21"/>
        <v/>
      </c>
    </row>
    <row r="400" spans="3:17" ht="15.75" hidden="1" customHeight="1" outlineLevel="1" x14ac:dyDescent="0.25">
      <c r="C400" s="106"/>
      <c r="D400" s="105">
        <v>42435</v>
      </c>
      <c r="E400" s="101" t="s">
        <v>7</v>
      </c>
      <c r="F400" s="216" t="s">
        <v>49</v>
      </c>
      <c r="G400" s="3" t="s">
        <v>56</v>
      </c>
      <c r="H400" s="3" t="s">
        <v>56</v>
      </c>
      <c r="M400" s="151" t="str">
        <f t="shared" si="22"/>
        <v>/</v>
      </c>
      <c r="N400" s="151" t="str">
        <f t="shared" si="23"/>
        <v/>
      </c>
      <c r="Q400" s="239" t="str">
        <f t="shared" ca="1" si="21"/>
        <v/>
      </c>
    </row>
    <row r="401" spans="3:17" ht="15.75" hidden="1" customHeight="1" outlineLevel="1" x14ac:dyDescent="0.25">
      <c r="C401" s="106"/>
      <c r="D401" s="105">
        <v>42437</v>
      </c>
      <c r="E401" s="101" t="s">
        <v>6</v>
      </c>
      <c r="F401" s="216" t="s">
        <v>50</v>
      </c>
      <c r="G401" s="3" t="s">
        <v>56</v>
      </c>
      <c r="H401" s="3" t="s">
        <v>56</v>
      </c>
      <c r="M401" s="151" t="str">
        <f t="shared" si="22"/>
        <v/>
      </c>
      <c r="N401" s="151" t="str">
        <f t="shared" si="23"/>
        <v>/</v>
      </c>
      <c r="Q401" s="239" t="str">
        <f t="shared" ca="1" si="21"/>
        <v/>
      </c>
    </row>
    <row r="402" spans="3:17" ht="15.75" hidden="1" customHeight="1" outlineLevel="1" x14ac:dyDescent="0.25">
      <c r="C402" s="106"/>
      <c r="D402" s="105">
        <v>42439</v>
      </c>
      <c r="E402" s="101" t="s">
        <v>10</v>
      </c>
      <c r="F402" s="216" t="s">
        <v>49</v>
      </c>
      <c r="G402" s="3" t="s">
        <v>56</v>
      </c>
      <c r="H402" s="3" t="s">
        <v>56</v>
      </c>
      <c r="M402" s="151" t="str">
        <f t="shared" si="22"/>
        <v>/</v>
      </c>
      <c r="N402" s="151" t="str">
        <f t="shared" si="23"/>
        <v/>
      </c>
      <c r="Q402" s="239" t="str">
        <f t="shared" ca="1" si="21"/>
        <v/>
      </c>
    </row>
    <row r="403" spans="3:17" ht="15.75" hidden="1" customHeight="1" outlineLevel="1" x14ac:dyDescent="0.25">
      <c r="C403" s="106"/>
      <c r="D403" s="105">
        <v>42440</v>
      </c>
      <c r="E403" s="101" t="s">
        <v>22</v>
      </c>
      <c r="F403" s="216" t="s">
        <v>49</v>
      </c>
      <c r="G403" s="3" t="s">
        <v>56</v>
      </c>
      <c r="H403" s="3" t="s">
        <v>56</v>
      </c>
      <c r="M403" s="151" t="str">
        <f t="shared" si="22"/>
        <v>/</v>
      </c>
      <c r="N403" s="151" t="str">
        <f t="shared" si="23"/>
        <v/>
      </c>
      <c r="Q403" s="239" t="str">
        <f t="shared" ca="1" si="21"/>
        <v/>
      </c>
    </row>
    <row r="404" spans="3:17" ht="15.75" hidden="1" customHeight="1" outlineLevel="1" x14ac:dyDescent="0.25">
      <c r="C404" s="106"/>
      <c r="D404" s="105">
        <v>42442</v>
      </c>
      <c r="E404" s="101" t="s">
        <v>2</v>
      </c>
      <c r="F404" s="216" t="s">
        <v>49</v>
      </c>
      <c r="G404" s="3" t="s">
        <v>56</v>
      </c>
      <c r="H404" s="3" t="s">
        <v>56</v>
      </c>
      <c r="M404" s="151" t="str">
        <f t="shared" si="22"/>
        <v>/</v>
      </c>
      <c r="N404" s="151" t="str">
        <f t="shared" si="23"/>
        <v/>
      </c>
      <c r="Q404" s="239" t="str">
        <f t="shared" ca="1" si="21"/>
        <v/>
      </c>
    </row>
    <row r="405" spans="3:17" ht="15.75" hidden="1" customHeight="1" outlineLevel="1" x14ac:dyDescent="0.25">
      <c r="C405" s="106"/>
      <c r="D405" s="105">
        <v>42444</v>
      </c>
      <c r="E405" s="101" t="s">
        <v>7</v>
      </c>
      <c r="F405" s="216" t="s">
        <v>50</v>
      </c>
      <c r="G405" s="3" t="s">
        <v>56</v>
      </c>
      <c r="H405" s="3" t="s">
        <v>56</v>
      </c>
      <c r="M405" s="151" t="str">
        <f t="shared" si="22"/>
        <v/>
      </c>
      <c r="N405" s="151" t="str">
        <f t="shared" si="23"/>
        <v>/</v>
      </c>
      <c r="Q405" s="239" t="str">
        <f t="shared" ca="1" si="21"/>
        <v/>
      </c>
    </row>
    <row r="406" spans="3:17" ht="15.75" hidden="1" customHeight="1" outlineLevel="1" x14ac:dyDescent="0.25">
      <c r="C406" s="106"/>
      <c r="D406" s="105">
        <v>42447</v>
      </c>
      <c r="E406" s="101" t="s">
        <v>13</v>
      </c>
      <c r="F406" s="216" t="s">
        <v>49</v>
      </c>
      <c r="G406" s="3" t="s">
        <v>56</v>
      </c>
      <c r="H406" s="3" t="s">
        <v>56</v>
      </c>
      <c r="M406" s="151" t="str">
        <f t="shared" si="22"/>
        <v>/</v>
      </c>
      <c r="N406" s="151" t="str">
        <f t="shared" si="23"/>
        <v/>
      </c>
      <c r="Q406" s="239" t="str">
        <f t="shared" ca="1" si="21"/>
        <v/>
      </c>
    </row>
    <row r="407" spans="3:17" ht="15.75" hidden="1" customHeight="1" outlineLevel="1" x14ac:dyDescent="0.25">
      <c r="C407" s="106"/>
      <c r="D407" s="105">
        <v>42449</v>
      </c>
      <c r="E407" s="101" t="s">
        <v>0</v>
      </c>
      <c r="F407" s="216" t="s">
        <v>49</v>
      </c>
      <c r="G407" s="3" t="s">
        <v>56</v>
      </c>
      <c r="H407" s="3" t="s">
        <v>56</v>
      </c>
      <c r="M407" s="151" t="str">
        <f t="shared" si="22"/>
        <v>/</v>
      </c>
      <c r="N407" s="151" t="str">
        <f t="shared" si="23"/>
        <v/>
      </c>
      <c r="Q407" s="239" t="str">
        <f t="shared" ca="1" si="21"/>
        <v/>
      </c>
    </row>
    <row r="408" spans="3:17" ht="15.75" hidden="1" customHeight="1" outlineLevel="1" x14ac:dyDescent="0.25">
      <c r="C408" s="106"/>
      <c r="D408" s="105">
        <v>42451</v>
      </c>
      <c r="E408" s="101" t="s">
        <v>10</v>
      </c>
      <c r="F408" s="216" t="s">
        <v>50</v>
      </c>
      <c r="G408" s="3" t="s">
        <v>56</v>
      </c>
      <c r="H408" s="3" t="s">
        <v>56</v>
      </c>
      <c r="M408" s="151" t="str">
        <f t="shared" si="22"/>
        <v/>
      </c>
      <c r="N408" s="151" t="str">
        <f t="shared" si="23"/>
        <v>/</v>
      </c>
      <c r="Q408" s="239" t="str">
        <f t="shared" ca="1" si="21"/>
        <v/>
      </c>
    </row>
    <row r="409" spans="3:17" ht="15.75" hidden="1" customHeight="1" outlineLevel="1" x14ac:dyDescent="0.25">
      <c r="C409" s="106"/>
      <c r="D409" s="105">
        <v>42453</v>
      </c>
      <c r="E409" s="101" t="s">
        <v>4</v>
      </c>
      <c r="F409" s="216" t="s">
        <v>49</v>
      </c>
      <c r="G409" s="3" t="s">
        <v>56</v>
      </c>
      <c r="H409" s="3" t="s">
        <v>56</v>
      </c>
      <c r="M409" s="151" t="str">
        <f t="shared" si="22"/>
        <v>/</v>
      </c>
      <c r="N409" s="151" t="str">
        <f t="shared" si="23"/>
        <v/>
      </c>
      <c r="Q409" s="239" t="str">
        <f t="shared" ca="1" si="21"/>
        <v/>
      </c>
    </row>
    <row r="410" spans="3:17" ht="15.75" hidden="1" customHeight="1" outlineLevel="1" x14ac:dyDescent="0.25">
      <c r="C410" s="106"/>
      <c r="D410" s="105">
        <v>42455</v>
      </c>
      <c r="E410" s="101" t="s">
        <v>25</v>
      </c>
      <c r="F410" s="216" t="s">
        <v>49</v>
      </c>
      <c r="G410" s="3" t="s">
        <v>56</v>
      </c>
      <c r="H410" s="3" t="s">
        <v>56</v>
      </c>
      <c r="M410" s="151" t="str">
        <f t="shared" si="22"/>
        <v>/</v>
      </c>
      <c r="N410" s="151" t="str">
        <f t="shared" si="23"/>
        <v/>
      </c>
      <c r="Q410" s="239" t="str">
        <f t="shared" ca="1" si="21"/>
        <v/>
      </c>
    </row>
    <row r="411" spans="3:17" ht="15.75" hidden="1" customHeight="1" outlineLevel="1" x14ac:dyDescent="0.25">
      <c r="C411" s="106"/>
      <c r="D411" s="105">
        <v>42457</v>
      </c>
      <c r="E411" s="101" t="s">
        <v>8</v>
      </c>
      <c r="F411" s="216" t="s">
        <v>49</v>
      </c>
      <c r="G411" s="3" t="s">
        <v>56</v>
      </c>
      <c r="H411" s="3" t="s">
        <v>56</v>
      </c>
      <c r="M411" s="151" t="str">
        <f t="shared" si="22"/>
        <v>/</v>
      </c>
      <c r="N411" s="151" t="str">
        <f t="shared" si="23"/>
        <v/>
      </c>
      <c r="Q411" s="239" t="str">
        <f t="shared" ca="1" si="21"/>
        <v/>
      </c>
    </row>
    <row r="412" spans="3:17" ht="15.75" hidden="1" customHeight="1" outlineLevel="1" x14ac:dyDescent="0.25">
      <c r="C412" s="106"/>
      <c r="D412" s="105">
        <v>42458</v>
      </c>
      <c r="E412" s="101" t="s">
        <v>12</v>
      </c>
      <c r="F412" s="216" t="s">
        <v>50</v>
      </c>
      <c r="G412" s="3" t="s">
        <v>56</v>
      </c>
      <c r="H412" s="3" t="s">
        <v>56</v>
      </c>
      <c r="M412" s="151" t="str">
        <f t="shared" si="22"/>
        <v/>
      </c>
      <c r="N412" s="151" t="str">
        <f t="shared" si="23"/>
        <v>/</v>
      </c>
      <c r="Q412" s="239" t="str">
        <f t="shared" ca="1" si="21"/>
        <v/>
      </c>
    </row>
    <row r="413" spans="3:17" ht="15.75" hidden="1" customHeight="1" outlineLevel="1" x14ac:dyDescent="0.25">
      <c r="C413" s="106"/>
      <c r="D413" s="105">
        <v>42460</v>
      </c>
      <c r="E413" s="101" t="s">
        <v>15</v>
      </c>
      <c r="F413" s="216" t="s">
        <v>49</v>
      </c>
      <c r="G413" s="3" t="s">
        <v>56</v>
      </c>
      <c r="H413" s="3" t="s">
        <v>56</v>
      </c>
      <c r="M413" s="151" t="str">
        <f t="shared" si="22"/>
        <v>/</v>
      </c>
      <c r="N413" s="151" t="str">
        <f t="shared" si="23"/>
        <v/>
      </c>
      <c r="Q413" s="239" t="str">
        <f t="shared" ca="1" si="21"/>
        <v/>
      </c>
    </row>
    <row r="414" spans="3:17" ht="15.75" hidden="1" customHeight="1" outlineLevel="1" x14ac:dyDescent="0.25">
      <c r="C414" s="107"/>
      <c r="D414" s="105">
        <v>42462</v>
      </c>
      <c r="E414" s="101" t="s">
        <v>23</v>
      </c>
      <c r="F414" s="216" t="s">
        <v>50</v>
      </c>
      <c r="G414" s="3" t="s">
        <v>56</v>
      </c>
      <c r="H414" s="3" t="s">
        <v>56</v>
      </c>
      <c r="M414" s="151" t="str">
        <f t="shared" si="22"/>
        <v/>
      </c>
      <c r="N414" s="151" t="str">
        <f t="shared" si="23"/>
        <v>/</v>
      </c>
      <c r="Q414" s="239" t="str">
        <f t="shared" ca="1" si="21"/>
        <v/>
      </c>
    </row>
    <row r="415" spans="3:17" ht="15.75" hidden="1" customHeight="1" outlineLevel="1" x14ac:dyDescent="0.25">
      <c r="C415" s="107"/>
      <c r="D415" s="105">
        <v>42464</v>
      </c>
      <c r="E415" s="101" t="s">
        <v>13</v>
      </c>
      <c r="F415" s="216" t="s">
        <v>50</v>
      </c>
      <c r="G415" s="3" t="s">
        <v>56</v>
      </c>
      <c r="H415" s="3" t="s">
        <v>56</v>
      </c>
      <c r="M415" s="151" t="str">
        <f t="shared" si="22"/>
        <v/>
      </c>
      <c r="N415" s="151" t="str">
        <f t="shared" si="23"/>
        <v>/</v>
      </c>
      <c r="Q415" s="239" t="str">
        <f t="shared" ca="1" si="21"/>
        <v/>
      </c>
    </row>
    <row r="416" spans="3:17" ht="15.75" hidden="1" customHeight="1" outlineLevel="1" x14ac:dyDescent="0.25">
      <c r="C416" s="107"/>
      <c r="D416" s="105">
        <v>42465</v>
      </c>
      <c r="E416" s="101" t="s">
        <v>6</v>
      </c>
      <c r="F416" s="216" t="s">
        <v>49</v>
      </c>
      <c r="G416" s="3" t="s">
        <v>56</v>
      </c>
      <c r="H416" s="3" t="s">
        <v>56</v>
      </c>
      <c r="L416" s="255"/>
      <c r="M416" s="151" t="str">
        <f t="shared" si="22"/>
        <v>/</v>
      </c>
      <c r="N416" s="151" t="str">
        <f t="shared" si="23"/>
        <v/>
      </c>
      <c r="Q416" s="239" t="str">
        <f t="shared" ca="1" si="21"/>
        <v/>
      </c>
    </row>
    <row r="417" spans="2:17" ht="15.75" hidden="1" customHeight="1" outlineLevel="1" x14ac:dyDescent="0.25">
      <c r="C417" s="107"/>
      <c r="D417" s="105">
        <v>42468</v>
      </c>
      <c r="E417" s="101" t="s">
        <v>1</v>
      </c>
      <c r="F417" s="216" t="s">
        <v>49</v>
      </c>
      <c r="G417" s="3" t="s">
        <v>56</v>
      </c>
      <c r="H417" s="3" t="s">
        <v>56</v>
      </c>
      <c r="L417" s="255"/>
      <c r="M417" s="151" t="str">
        <f t="shared" si="22"/>
        <v>/</v>
      </c>
      <c r="N417" s="151" t="str">
        <f t="shared" si="23"/>
        <v/>
      </c>
      <c r="Q417" s="239" t="str">
        <f t="shared" ca="1" si="21"/>
        <v/>
      </c>
    </row>
    <row r="418" spans="2:17" ht="15.75" hidden="1" customHeight="1" outlineLevel="1" x14ac:dyDescent="0.25">
      <c r="C418" s="107"/>
      <c r="D418" s="105">
        <v>42470</v>
      </c>
      <c r="E418" s="101" t="s">
        <v>8</v>
      </c>
      <c r="F418" s="216" t="s">
        <v>50</v>
      </c>
      <c r="G418" s="3" t="s">
        <v>56</v>
      </c>
      <c r="H418" s="3" t="s">
        <v>56</v>
      </c>
      <c r="L418" s="255"/>
      <c r="M418" s="151" t="str">
        <f t="shared" si="22"/>
        <v/>
      </c>
      <c r="N418" s="151" t="str">
        <f t="shared" si="23"/>
        <v>/</v>
      </c>
      <c r="Q418" s="239" t="str">
        <f t="shared" ca="1" si="21"/>
        <v/>
      </c>
    </row>
    <row r="419" spans="2:17" ht="15.75" hidden="1" customHeight="1" outlineLevel="1" x14ac:dyDescent="0.25">
      <c r="C419" s="107"/>
      <c r="D419" s="105">
        <v>42471</v>
      </c>
      <c r="E419" s="102" t="s">
        <v>0</v>
      </c>
      <c r="F419" s="217" t="s">
        <v>50</v>
      </c>
      <c r="G419" s="3" t="s">
        <v>56</v>
      </c>
      <c r="H419" s="3" t="s">
        <v>56</v>
      </c>
      <c r="L419" s="255"/>
      <c r="M419" s="151" t="str">
        <f t="shared" si="22"/>
        <v/>
      </c>
      <c r="N419" s="151" t="str">
        <f t="shared" si="23"/>
        <v>/</v>
      </c>
      <c r="O419" s="255"/>
      <c r="P419" s="255"/>
      <c r="Q419" s="239" t="str">
        <f t="shared" ca="1" si="21"/>
        <v/>
      </c>
    </row>
    <row r="420" spans="2:17" collapsed="1" x14ac:dyDescent="0.25">
      <c r="B420" s="404" t="str">
        <f ca="1">"- "&amp;INDEX(E421:E502,MATCH(TODAY(),D421:D502,0))</f>
        <v>- Toronto</v>
      </c>
      <c r="C420" s="404"/>
      <c r="D420" s="406" t="s">
        <v>4</v>
      </c>
      <c r="E420" s="407"/>
      <c r="F420" s="408"/>
      <c r="H420" s="3"/>
      <c r="O420" s="255"/>
      <c r="P420" s="255"/>
      <c r="Q420" s="239" t="str">
        <f t="shared" ca="1" si="21"/>
        <v/>
      </c>
    </row>
    <row r="421" spans="2:17" ht="16.5" hidden="1" customHeight="1" outlineLevel="1" x14ac:dyDescent="0.25">
      <c r="C421" s="207"/>
      <c r="D421" s="105">
        <v>42668</v>
      </c>
      <c r="E421" s="103" t="s">
        <v>9</v>
      </c>
      <c r="F421" s="215" t="s">
        <v>49</v>
      </c>
      <c r="G421" s="3">
        <v>1</v>
      </c>
      <c r="H421" s="248">
        <v>117</v>
      </c>
      <c r="I421" s="151">
        <v>37</v>
      </c>
      <c r="J421" s="151">
        <v>54</v>
      </c>
      <c r="K421" s="151">
        <v>74</v>
      </c>
      <c r="L421" s="255">
        <v>48</v>
      </c>
      <c r="M421" s="151">
        <f t="shared" si="22"/>
        <v>117</v>
      </c>
      <c r="O421" s="255">
        <v>88</v>
      </c>
      <c r="P421" s="255"/>
      <c r="Q421" s="239" t="str">
        <f t="shared" ca="1" si="21"/>
        <v/>
      </c>
    </row>
    <row r="422" spans="2:17" ht="15.75" hidden="1" customHeight="1" outlineLevel="1" x14ac:dyDescent="0.25">
      <c r="C422" s="207"/>
      <c r="D422" s="105">
        <v>42671</v>
      </c>
      <c r="E422" s="101" t="s">
        <v>12</v>
      </c>
      <c r="F422" s="216" t="s">
        <v>50</v>
      </c>
      <c r="G422" s="3" t="s">
        <v>56</v>
      </c>
      <c r="H422" s="248" t="s">
        <v>56</v>
      </c>
      <c r="L422" s="255"/>
      <c r="M422" s="151" t="str">
        <f t="shared" si="22"/>
        <v/>
      </c>
      <c r="N422" s="151" t="str">
        <f t="shared" si="23"/>
        <v>/</v>
      </c>
      <c r="O422" s="255"/>
      <c r="P422" s="255"/>
      <c r="Q422" s="239">
        <f t="shared" ca="1" si="21"/>
        <v>1</v>
      </c>
    </row>
    <row r="423" spans="2:17" ht="15.75" hidden="1" customHeight="1" outlineLevel="1" x14ac:dyDescent="0.25">
      <c r="C423" s="207"/>
      <c r="D423" s="105">
        <v>42672</v>
      </c>
      <c r="E423" s="101" t="s">
        <v>10</v>
      </c>
      <c r="F423" s="216" t="s">
        <v>49</v>
      </c>
      <c r="G423" s="3" t="s">
        <v>56</v>
      </c>
      <c r="H423" s="248" t="s">
        <v>56</v>
      </c>
      <c r="L423" s="255"/>
      <c r="M423" s="151" t="str">
        <f t="shared" si="22"/>
        <v>/</v>
      </c>
      <c r="N423" s="151" t="str">
        <f t="shared" si="23"/>
        <v/>
      </c>
      <c r="O423" s="255"/>
      <c r="P423" s="255"/>
      <c r="Q423" s="239" t="str">
        <f t="shared" ca="1" si="21"/>
        <v/>
      </c>
    </row>
    <row r="424" spans="2:17" ht="15.75" hidden="1" customHeight="1" outlineLevel="1" x14ac:dyDescent="0.25">
      <c r="C424" s="207"/>
      <c r="D424" s="105">
        <v>42675</v>
      </c>
      <c r="E424" s="101" t="s">
        <v>17</v>
      </c>
      <c r="F424" s="216" t="s">
        <v>49</v>
      </c>
      <c r="G424" s="3" t="s">
        <v>56</v>
      </c>
      <c r="H424" s="248" t="s">
        <v>56</v>
      </c>
      <c r="L424" s="255"/>
      <c r="M424" s="151" t="str">
        <f t="shared" si="22"/>
        <v>/</v>
      </c>
      <c r="N424" s="151" t="str">
        <f t="shared" si="23"/>
        <v/>
      </c>
      <c r="O424" s="255"/>
      <c r="P424" s="255"/>
      <c r="Q424" s="239" t="str">
        <f t="shared" ca="1" si="21"/>
        <v/>
      </c>
    </row>
    <row r="425" spans="2:17" ht="15.75" hidden="1" customHeight="1" outlineLevel="1" x14ac:dyDescent="0.25">
      <c r="C425" s="207"/>
      <c r="D425" s="105">
        <v>42677</v>
      </c>
      <c r="E425" s="101" t="s">
        <v>1</v>
      </c>
      <c r="F425" s="216" t="s">
        <v>49</v>
      </c>
      <c r="G425" s="3" t="s">
        <v>56</v>
      </c>
      <c r="H425" s="3" t="s">
        <v>56</v>
      </c>
      <c r="L425" s="255"/>
      <c r="M425" s="151" t="str">
        <f t="shared" si="22"/>
        <v>/</v>
      </c>
      <c r="N425" s="151" t="str">
        <f t="shared" si="23"/>
        <v/>
      </c>
      <c r="O425" s="255"/>
      <c r="P425" s="255"/>
      <c r="Q425" s="239" t="str">
        <f t="shared" ca="1" si="21"/>
        <v/>
      </c>
    </row>
    <row r="426" spans="2:17" ht="15.75" hidden="1" customHeight="1" outlineLevel="1" x14ac:dyDescent="0.25">
      <c r="C426" s="207"/>
      <c r="D426" s="105">
        <v>42679</v>
      </c>
      <c r="E426" s="101" t="s">
        <v>11</v>
      </c>
      <c r="F426" s="216" t="s">
        <v>50</v>
      </c>
      <c r="G426" s="3" t="s">
        <v>56</v>
      </c>
      <c r="H426" s="3" t="s">
        <v>56</v>
      </c>
      <c r="L426" s="255"/>
      <c r="M426" s="151" t="str">
        <f t="shared" si="22"/>
        <v/>
      </c>
      <c r="N426" s="151" t="str">
        <f t="shared" si="23"/>
        <v>/</v>
      </c>
      <c r="O426" s="255"/>
      <c r="P426" s="255"/>
      <c r="Q426" s="239" t="str">
        <f t="shared" ca="1" si="21"/>
        <v/>
      </c>
    </row>
    <row r="427" spans="2:17" ht="15.75" hidden="1" customHeight="1" outlineLevel="1" x14ac:dyDescent="0.25">
      <c r="C427" s="207"/>
      <c r="D427" s="105">
        <v>42682</v>
      </c>
      <c r="E427" s="101" t="s">
        <v>0</v>
      </c>
      <c r="F427" s="216" t="s">
        <v>49</v>
      </c>
      <c r="G427" s="3" t="s">
        <v>56</v>
      </c>
      <c r="H427" s="3" t="s">
        <v>56</v>
      </c>
      <c r="L427" s="255"/>
      <c r="M427" s="151" t="str">
        <f t="shared" si="22"/>
        <v>/</v>
      </c>
      <c r="N427" s="151" t="str">
        <f t="shared" si="23"/>
        <v/>
      </c>
      <c r="O427" s="255"/>
      <c r="P427" s="255"/>
      <c r="Q427" s="239" t="str">
        <f t="shared" ref="Q427:Q490" ca="1" si="24">IF(D427=TODAY(),1,"")</f>
        <v/>
      </c>
    </row>
    <row r="428" spans="2:17" ht="15.75" hidden="1" customHeight="1" outlineLevel="1" x14ac:dyDescent="0.25">
      <c r="C428" s="207"/>
      <c r="D428" s="105">
        <v>42685</v>
      </c>
      <c r="E428" s="101" t="s">
        <v>13</v>
      </c>
      <c r="F428" s="216" t="s">
        <v>50</v>
      </c>
      <c r="G428" s="3" t="s">
        <v>56</v>
      </c>
      <c r="H428" s="3" t="s">
        <v>56</v>
      </c>
      <c r="L428" s="255"/>
      <c r="M428" s="151" t="str">
        <f t="shared" si="22"/>
        <v/>
      </c>
      <c r="N428" s="151" t="str">
        <f t="shared" si="23"/>
        <v>/</v>
      </c>
      <c r="O428" s="255"/>
      <c r="P428" s="255"/>
      <c r="Q428" s="239" t="str">
        <f t="shared" ca="1" si="24"/>
        <v/>
      </c>
    </row>
    <row r="429" spans="2:17" ht="15.75" hidden="1" customHeight="1" outlineLevel="1" x14ac:dyDescent="0.25">
      <c r="C429" s="207"/>
      <c r="D429" s="105">
        <v>42687</v>
      </c>
      <c r="E429" s="101" t="s">
        <v>3</v>
      </c>
      <c r="F429" s="216" t="s">
        <v>49</v>
      </c>
      <c r="G429" s="3" t="s">
        <v>56</v>
      </c>
      <c r="H429" s="3" t="s">
        <v>56</v>
      </c>
      <c r="L429" s="255"/>
      <c r="M429" s="151" t="str">
        <f t="shared" si="22"/>
        <v>/</v>
      </c>
      <c r="N429" s="151" t="str">
        <f t="shared" si="23"/>
        <v/>
      </c>
      <c r="O429" s="255"/>
      <c r="P429" s="255"/>
      <c r="Q429" s="239" t="str">
        <f t="shared" ca="1" si="24"/>
        <v/>
      </c>
    </row>
    <row r="430" spans="2:17" ht="15.75" hidden="1" customHeight="1" outlineLevel="1" x14ac:dyDescent="0.25">
      <c r="C430" s="207"/>
      <c r="D430" s="105">
        <v>42689</v>
      </c>
      <c r="E430" s="101" t="s">
        <v>12</v>
      </c>
      <c r="F430" s="216" t="s">
        <v>49</v>
      </c>
      <c r="G430" s="3" t="s">
        <v>56</v>
      </c>
      <c r="H430" s="3" t="s">
        <v>56</v>
      </c>
      <c r="L430" s="255"/>
      <c r="M430" s="151" t="str">
        <f t="shared" si="22"/>
        <v>/</v>
      </c>
      <c r="N430" s="151" t="str">
        <f t="shared" si="23"/>
        <v/>
      </c>
      <c r="O430" s="255"/>
      <c r="P430" s="255"/>
      <c r="Q430" s="239" t="str">
        <f t="shared" ca="1" si="24"/>
        <v/>
      </c>
    </row>
    <row r="431" spans="2:17" ht="15.75" hidden="1" customHeight="1" outlineLevel="1" x14ac:dyDescent="0.25">
      <c r="C431" s="207"/>
      <c r="D431" s="105">
        <v>42690</v>
      </c>
      <c r="E431" s="101" t="s">
        <v>7</v>
      </c>
      <c r="F431" s="216" t="s">
        <v>50</v>
      </c>
      <c r="G431" s="3" t="s">
        <v>56</v>
      </c>
      <c r="H431" s="3" t="s">
        <v>56</v>
      </c>
      <c r="L431" s="255"/>
      <c r="M431" s="151" t="str">
        <f t="shared" si="22"/>
        <v/>
      </c>
      <c r="N431" s="151" t="str">
        <f t="shared" si="23"/>
        <v>/</v>
      </c>
      <c r="O431" s="255"/>
      <c r="P431" s="255"/>
      <c r="Q431" s="239" t="str">
        <f t="shared" ca="1" si="24"/>
        <v/>
      </c>
    </row>
    <row r="432" spans="2:17" ht="15.75" hidden="1" customHeight="1" outlineLevel="1" x14ac:dyDescent="0.25">
      <c r="C432" s="207"/>
      <c r="D432" s="105">
        <v>42692</v>
      </c>
      <c r="E432" s="101" t="s">
        <v>5</v>
      </c>
      <c r="F432" s="216" t="s">
        <v>49</v>
      </c>
      <c r="G432" s="3" t="s">
        <v>56</v>
      </c>
      <c r="H432" s="3" t="s">
        <v>56</v>
      </c>
      <c r="L432" s="255"/>
      <c r="M432" s="151" t="str">
        <f t="shared" si="22"/>
        <v>/</v>
      </c>
      <c r="N432" s="151" t="str">
        <f t="shared" si="23"/>
        <v/>
      </c>
      <c r="O432" s="255"/>
      <c r="P432" s="255"/>
      <c r="Q432" s="239" t="str">
        <f t="shared" ca="1" si="24"/>
        <v/>
      </c>
    </row>
    <row r="433" spans="3:17" ht="15.75" hidden="1" customHeight="1" outlineLevel="1" x14ac:dyDescent="0.25">
      <c r="C433" s="207"/>
      <c r="D433" s="105">
        <v>42697</v>
      </c>
      <c r="E433" s="101" t="s">
        <v>24</v>
      </c>
      <c r="F433" s="216" t="s">
        <v>49</v>
      </c>
      <c r="G433" s="3" t="s">
        <v>56</v>
      </c>
      <c r="H433" s="3" t="s">
        <v>56</v>
      </c>
      <c r="L433" s="255"/>
      <c r="M433" s="151" t="str">
        <f t="shared" si="22"/>
        <v>/</v>
      </c>
      <c r="N433" s="151" t="str">
        <f t="shared" si="23"/>
        <v/>
      </c>
      <c r="O433" s="255"/>
      <c r="P433" s="255"/>
      <c r="Q433" s="239" t="str">
        <f t="shared" ca="1" si="24"/>
        <v/>
      </c>
    </row>
    <row r="434" spans="3:17" ht="15.75" hidden="1" customHeight="1" outlineLevel="1" x14ac:dyDescent="0.25">
      <c r="C434" s="207"/>
      <c r="D434" s="105">
        <v>42699</v>
      </c>
      <c r="E434" s="101" t="s">
        <v>14</v>
      </c>
      <c r="F434" s="216" t="s">
        <v>49</v>
      </c>
      <c r="G434" s="3" t="s">
        <v>56</v>
      </c>
      <c r="H434" s="3" t="s">
        <v>56</v>
      </c>
      <c r="L434" s="255"/>
      <c r="M434" s="151" t="str">
        <f t="shared" si="22"/>
        <v>/</v>
      </c>
      <c r="N434" s="151" t="str">
        <f t="shared" si="23"/>
        <v/>
      </c>
      <c r="O434" s="255"/>
      <c r="P434" s="255"/>
      <c r="Q434" s="239" t="str">
        <f t="shared" ca="1" si="24"/>
        <v/>
      </c>
    </row>
    <row r="435" spans="3:17" ht="15.75" hidden="1" customHeight="1" outlineLevel="1" x14ac:dyDescent="0.25">
      <c r="C435" s="207"/>
      <c r="D435" s="105">
        <v>42701</v>
      </c>
      <c r="E435" s="101" t="s">
        <v>11</v>
      </c>
      <c r="F435" s="216" t="s">
        <v>50</v>
      </c>
      <c r="G435" s="3" t="s">
        <v>56</v>
      </c>
      <c r="H435" s="3" t="s">
        <v>56</v>
      </c>
      <c r="L435" s="255"/>
      <c r="M435" s="151" t="str">
        <f t="shared" si="22"/>
        <v/>
      </c>
      <c r="N435" s="151" t="str">
        <f t="shared" si="23"/>
        <v>/</v>
      </c>
      <c r="O435" s="255"/>
      <c r="P435" s="255"/>
      <c r="Q435" s="239" t="str">
        <f t="shared" ca="1" si="24"/>
        <v/>
      </c>
    </row>
    <row r="436" spans="3:17" ht="15.75" hidden="1" customHeight="1" outlineLevel="1" x14ac:dyDescent="0.25">
      <c r="C436" s="207"/>
      <c r="D436" s="105">
        <v>42703</v>
      </c>
      <c r="E436" s="101" t="s">
        <v>8</v>
      </c>
      <c r="F436" s="216" t="s">
        <v>50</v>
      </c>
      <c r="G436" s="3" t="s">
        <v>56</v>
      </c>
      <c r="H436" s="3" t="s">
        <v>56</v>
      </c>
      <c r="L436" s="255"/>
      <c r="M436" s="151" t="str">
        <f t="shared" si="22"/>
        <v/>
      </c>
      <c r="N436" s="151" t="str">
        <f t="shared" si="23"/>
        <v>/</v>
      </c>
      <c r="O436" s="255"/>
      <c r="P436" s="255"/>
      <c r="Q436" s="239" t="str">
        <f t="shared" ca="1" si="24"/>
        <v/>
      </c>
    </row>
    <row r="437" spans="3:17" ht="15.75" hidden="1" customHeight="1" outlineLevel="1" x14ac:dyDescent="0.25">
      <c r="C437" s="208"/>
      <c r="D437" s="105">
        <v>42705</v>
      </c>
      <c r="E437" s="101" t="s">
        <v>18</v>
      </c>
      <c r="F437" s="216" t="s">
        <v>49</v>
      </c>
      <c r="G437" s="3" t="s">
        <v>56</v>
      </c>
      <c r="H437" s="3" t="s">
        <v>56</v>
      </c>
      <c r="L437" s="255"/>
      <c r="M437" s="151" t="str">
        <f t="shared" si="22"/>
        <v>/</v>
      </c>
      <c r="N437" s="151" t="str">
        <f t="shared" si="23"/>
        <v/>
      </c>
      <c r="O437" s="255"/>
      <c r="P437" s="255"/>
      <c r="Q437" s="239" t="str">
        <f t="shared" ca="1" si="24"/>
        <v/>
      </c>
    </row>
    <row r="438" spans="3:17" ht="15.75" hidden="1" customHeight="1" outlineLevel="1" x14ac:dyDescent="0.25">
      <c r="C438" s="208"/>
      <c r="D438" s="105">
        <v>42706</v>
      </c>
      <c r="E438" s="101" t="s">
        <v>2</v>
      </c>
      <c r="F438" s="216" t="s">
        <v>50</v>
      </c>
      <c r="G438" s="3" t="s">
        <v>56</v>
      </c>
      <c r="H438" s="3" t="s">
        <v>56</v>
      </c>
      <c r="L438" s="255"/>
      <c r="M438" s="151" t="str">
        <f t="shared" si="22"/>
        <v/>
      </c>
      <c r="N438" s="151" t="str">
        <f t="shared" si="23"/>
        <v>/</v>
      </c>
      <c r="O438" s="255"/>
      <c r="P438" s="255"/>
      <c r="Q438" s="239" t="str">
        <f t="shared" ca="1" si="24"/>
        <v/>
      </c>
    </row>
    <row r="439" spans="3:17" ht="15.75" hidden="1" customHeight="1" outlineLevel="1" x14ac:dyDescent="0.25">
      <c r="C439" s="208"/>
      <c r="D439" s="105">
        <v>42709</v>
      </c>
      <c r="E439" s="101" t="s">
        <v>12</v>
      </c>
      <c r="F439" s="216" t="s">
        <v>50</v>
      </c>
      <c r="G439" s="3" t="s">
        <v>56</v>
      </c>
      <c r="H439" s="3" t="s">
        <v>56</v>
      </c>
      <c r="L439" s="255"/>
      <c r="M439" s="151" t="str">
        <f t="shared" si="22"/>
        <v/>
      </c>
      <c r="N439" s="151" t="str">
        <f t="shared" si="23"/>
        <v>/</v>
      </c>
      <c r="O439" s="255"/>
      <c r="P439" s="255"/>
      <c r="Q439" s="239" t="str">
        <f t="shared" ca="1" si="24"/>
        <v/>
      </c>
    </row>
    <row r="440" spans="3:17" ht="15.75" hidden="1" customHeight="1" outlineLevel="1" x14ac:dyDescent="0.25">
      <c r="C440" s="208"/>
      <c r="D440" s="105">
        <v>42711</v>
      </c>
      <c r="E440" s="101" t="s">
        <v>9</v>
      </c>
      <c r="F440" s="216" t="s">
        <v>50</v>
      </c>
      <c r="G440" s="3" t="s">
        <v>56</v>
      </c>
      <c r="H440" s="3" t="s">
        <v>56</v>
      </c>
      <c r="L440" s="255"/>
      <c r="M440" s="151" t="str">
        <f t="shared" si="22"/>
        <v/>
      </c>
      <c r="N440" s="151" t="str">
        <f t="shared" si="23"/>
        <v>/</v>
      </c>
      <c r="O440" s="255"/>
      <c r="P440" s="255"/>
      <c r="Q440" s="239" t="str">
        <f t="shared" ca="1" si="24"/>
        <v/>
      </c>
    </row>
    <row r="441" spans="3:17" ht="15.75" hidden="1" customHeight="1" outlineLevel="1" x14ac:dyDescent="0.25">
      <c r="C441" s="208"/>
      <c r="D441" s="105">
        <v>42713</v>
      </c>
      <c r="E441" s="101" t="s">
        <v>6</v>
      </c>
      <c r="F441" s="216" t="s">
        <v>49</v>
      </c>
      <c r="G441" s="3" t="s">
        <v>56</v>
      </c>
      <c r="H441" s="3" t="s">
        <v>56</v>
      </c>
      <c r="L441" s="255"/>
      <c r="M441" s="151" t="str">
        <f t="shared" si="22"/>
        <v>/</v>
      </c>
      <c r="N441" s="151" t="str">
        <f t="shared" si="23"/>
        <v/>
      </c>
      <c r="O441" s="255"/>
      <c r="P441" s="255"/>
      <c r="Q441" s="239" t="str">
        <f t="shared" ca="1" si="24"/>
        <v/>
      </c>
    </row>
    <row r="442" spans="3:17" ht="15.75" hidden="1" customHeight="1" outlineLevel="1" x14ac:dyDescent="0.25">
      <c r="C442" s="208"/>
      <c r="D442" s="105">
        <v>42714</v>
      </c>
      <c r="E442" s="101" t="s">
        <v>3</v>
      </c>
      <c r="F442" s="216" t="s">
        <v>49</v>
      </c>
      <c r="G442" s="3" t="s">
        <v>56</v>
      </c>
      <c r="H442" s="3" t="s">
        <v>56</v>
      </c>
      <c r="L442" s="255"/>
      <c r="M442" s="151" t="str">
        <f t="shared" si="22"/>
        <v>/</v>
      </c>
      <c r="N442" s="151" t="str">
        <f t="shared" si="23"/>
        <v/>
      </c>
      <c r="O442" s="255"/>
      <c r="P442" s="255"/>
      <c r="Q442" s="239" t="str">
        <f t="shared" ca="1" si="24"/>
        <v/>
      </c>
    </row>
    <row r="443" spans="3:17" ht="15.75" hidden="1" customHeight="1" outlineLevel="1" x14ac:dyDescent="0.25">
      <c r="C443" s="208"/>
      <c r="D443" s="105">
        <v>42717</v>
      </c>
      <c r="E443" s="101" t="s">
        <v>20</v>
      </c>
      <c r="F443" s="216" t="s">
        <v>49</v>
      </c>
      <c r="G443" s="3" t="s">
        <v>56</v>
      </c>
      <c r="H443" s="3" t="s">
        <v>56</v>
      </c>
      <c r="L443" s="255"/>
      <c r="M443" s="151" t="str">
        <f t="shared" si="22"/>
        <v>/</v>
      </c>
      <c r="N443" s="151" t="str">
        <f t="shared" si="23"/>
        <v/>
      </c>
      <c r="O443" s="255"/>
      <c r="P443" s="255"/>
      <c r="Q443" s="239" t="str">
        <f t="shared" ca="1" si="24"/>
        <v/>
      </c>
    </row>
    <row r="444" spans="3:17" ht="15.75" hidden="1" customHeight="1" outlineLevel="1" x14ac:dyDescent="0.25">
      <c r="C444" s="208"/>
      <c r="D444" s="105">
        <v>42718</v>
      </c>
      <c r="E444" s="101" t="s">
        <v>20</v>
      </c>
      <c r="F444" s="216" t="s">
        <v>50</v>
      </c>
      <c r="G444" s="3" t="s">
        <v>56</v>
      </c>
      <c r="H444" s="3" t="s">
        <v>56</v>
      </c>
      <c r="L444" s="255"/>
      <c r="M444" s="151" t="str">
        <f t="shared" si="22"/>
        <v/>
      </c>
      <c r="N444" s="151" t="str">
        <f t="shared" si="23"/>
        <v>/</v>
      </c>
      <c r="O444" s="255"/>
      <c r="P444" s="255"/>
      <c r="Q444" s="239" t="str">
        <f t="shared" ca="1" si="24"/>
        <v/>
      </c>
    </row>
    <row r="445" spans="3:17" ht="15.75" hidden="1" customHeight="1" outlineLevel="1" x14ac:dyDescent="0.25">
      <c r="C445" s="208"/>
      <c r="D445" s="105">
        <v>42721</v>
      </c>
      <c r="E445" s="101" t="s">
        <v>18</v>
      </c>
      <c r="F445" s="216" t="s">
        <v>49</v>
      </c>
      <c r="G445" s="3" t="s">
        <v>56</v>
      </c>
      <c r="H445" s="3" t="s">
        <v>56</v>
      </c>
      <c r="L445" s="255"/>
      <c r="M445" s="151" t="str">
        <f t="shared" si="22"/>
        <v>/</v>
      </c>
      <c r="N445" s="151" t="str">
        <f t="shared" si="23"/>
        <v/>
      </c>
      <c r="O445" s="255"/>
      <c r="P445" s="255"/>
      <c r="Q445" s="239" t="str">
        <f t="shared" ca="1" si="24"/>
        <v/>
      </c>
    </row>
    <row r="446" spans="3:17" ht="15.75" hidden="1" customHeight="1" outlineLevel="1" x14ac:dyDescent="0.25">
      <c r="C446" s="208"/>
      <c r="D446" s="105">
        <v>42724</v>
      </c>
      <c r="E446" s="101" t="s">
        <v>8</v>
      </c>
      <c r="F446" s="216" t="s">
        <v>50</v>
      </c>
      <c r="G446" s="3" t="s">
        <v>56</v>
      </c>
      <c r="H446" s="3" t="s">
        <v>56</v>
      </c>
      <c r="L446" s="255"/>
      <c r="M446" s="151" t="str">
        <f t="shared" si="22"/>
        <v/>
      </c>
      <c r="N446" s="151" t="str">
        <f t="shared" si="23"/>
        <v>/</v>
      </c>
      <c r="O446" s="255"/>
      <c r="P446" s="255"/>
      <c r="Q446" s="239" t="str">
        <f t="shared" ca="1" si="24"/>
        <v/>
      </c>
    </row>
    <row r="447" spans="3:17" ht="15.75" hidden="1" customHeight="1" outlineLevel="1" x14ac:dyDescent="0.25">
      <c r="C447" s="208"/>
      <c r="D447" s="105">
        <v>42725</v>
      </c>
      <c r="E447" s="101" t="s">
        <v>8</v>
      </c>
      <c r="F447" s="216" t="s">
        <v>49</v>
      </c>
      <c r="G447" s="3" t="s">
        <v>56</v>
      </c>
      <c r="H447" s="3" t="s">
        <v>56</v>
      </c>
      <c r="L447" s="255"/>
      <c r="M447" s="151" t="str">
        <f t="shared" si="22"/>
        <v>/</v>
      </c>
      <c r="N447" s="151" t="str">
        <f t="shared" si="23"/>
        <v/>
      </c>
      <c r="O447" s="255"/>
      <c r="P447" s="255"/>
      <c r="Q447" s="239" t="str">
        <f t="shared" ca="1" si="24"/>
        <v/>
      </c>
    </row>
    <row r="448" spans="3:17" ht="15.75" hidden="1" customHeight="1" outlineLevel="1" x14ac:dyDescent="0.25">
      <c r="C448" s="208"/>
      <c r="D448" s="105">
        <v>42727</v>
      </c>
      <c r="E448" s="101" t="s">
        <v>45</v>
      </c>
      <c r="F448" s="216" t="s">
        <v>49</v>
      </c>
      <c r="G448" s="3" t="s">
        <v>56</v>
      </c>
      <c r="H448" s="3" t="s">
        <v>56</v>
      </c>
      <c r="L448" s="255"/>
      <c r="M448" s="151" t="str">
        <f t="shared" si="22"/>
        <v>/</v>
      </c>
      <c r="N448" s="151" t="str">
        <f t="shared" si="23"/>
        <v/>
      </c>
      <c r="O448" s="255"/>
      <c r="P448" s="255"/>
      <c r="Q448" s="239" t="str">
        <f t="shared" ca="1" si="24"/>
        <v/>
      </c>
    </row>
    <row r="449" spans="3:17" ht="15.75" hidden="1" customHeight="1" outlineLevel="1" x14ac:dyDescent="0.25">
      <c r="C449" s="208"/>
      <c r="D449" s="105">
        <v>42729</v>
      </c>
      <c r="E449" s="101" t="s">
        <v>16</v>
      </c>
      <c r="F449" s="216" t="s">
        <v>49</v>
      </c>
      <c r="G449" s="3" t="s">
        <v>56</v>
      </c>
      <c r="H449" s="3" t="s">
        <v>56</v>
      </c>
      <c r="L449" s="255"/>
      <c r="M449" s="151" t="str">
        <f t="shared" si="22"/>
        <v>/</v>
      </c>
      <c r="N449" s="151" t="str">
        <f t="shared" si="23"/>
        <v/>
      </c>
      <c r="O449" s="255"/>
      <c r="P449" s="255"/>
      <c r="Q449" s="239" t="str">
        <f t="shared" ca="1" si="24"/>
        <v/>
      </c>
    </row>
    <row r="450" spans="3:17" ht="15.75" hidden="1" customHeight="1" outlineLevel="1" x14ac:dyDescent="0.25">
      <c r="C450" s="208"/>
      <c r="D450" s="105">
        <v>42730</v>
      </c>
      <c r="E450" s="101" t="s">
        <v>5</v>
      </c>
      <c r="F450" s="216" t="s">
        <v>50</v>
      </c>
      <c r="G450" s="3" t="s">
        <v>56</v>
      </c>
      <c r="H450" s="3" t="s">
        <v>56</v>
      </c>
      <c r="L450" s="255"/>
      <c r="M450" s="151" t="str">
        <f t="shared" si="22"/>
        <v/>
      </c>
      <c r="N450" s="151" t="str">
        <f t="shared" si="23"/>
        <v>/</v>
      </c>
      <c r="O450" s="255"/>
      <c r="P450" s="255"/>
      <c r="Q450" s="239" t="str">
        <f t="shared" ca="1" si="24"/>
        <v/>
      </c>
    </row>
    <row r="451" spans="3:17" ht="15.75" hidden="1" customHeight="1" outlineLevel="1" x14ac:dyDescent="0.25">
      <c r="C451" s="208"/>
      <c r="D451" s="105">
        <v>42733</v>
      </c>
      <c r="E451" s="101" t="s">
        <v>1</v>
      </c>
      <c r="F451" s="216" t="s">
        <v>49</v>
      </c>
      <c r="G451" s="3" t="s">
        <v>56</v>
      </c>
      <c r="H451" s="3" t="s">
        <v>56</v>
      </c>
      <c r="L451" s="255"/>
      <c r="M451" s="151" t="str">
        <f t="shared" si="22"/>
        <v>/</v>
      </c>
      <c r="N451" s="151" t="str">
        <f t="shared" si="23"/>
        <v/>
      </c>
      <c r="O451" s="255"/>
      <c r="P451" s="255"/>
      <c r="Q451" s="239" t="str">
        <f t="shared" ca="1" si="24"/>
        <v/>
      </c>
    </row>
    <row r="452" spans="3:17" ht="15.75" hidden="1" customHeight="1" outlineLevel="1" x14ac:dyDescent="0.25">
      <c r="C452" s="208"/>
      <c r="D452" s="105">
        <v>42735</v>
      </c>
      <c r="E452" s="101" t="s">
        <v>3</v>
      </c>
      <c r="F452" s="216" t="s">
        <v>50</v>
      </c>
      <c r="G452" s="3" t="s">
        <v>56</v>
      </c>
      <c r="H452" s="3" t="s">
        <v>56</v>
      </c>
      <c r="L452" s="255"/>
      <c r="M452" s="151" t="str">
        <f t="shared" si="22"/>
        <v/>
      </c>
      <c r="N452" s="151" t="str">
        <f t="shared" si="23"/>
        <v>/</v>
      </c>
      <c r="O452" s="255"/>
      <c r="P452" s="255"/>
      <c r="Q452" s="239" t="str">
        <f t="shared" ca="1" si="24"/>
        <v/>
      </c>
    </row>
    <row r="453" spans="3:17" ht="15.75" hidden="1" customHeight="1" outlineLevel="1" x14ac:dyDescent="0.25">
      <c r="C453" s="207"/>
      <c r="D453" s="105">
        <v>42371</v>
      </c>
      <c r="E453" s="101" t="s">
        <v>22</v>
      </c>
      <c r="F453" s="216" t="s">
        <v>49</v>
      </c>
      <c r="G453" s="3" t="s">
        <v>56</v>
      </c>
      <c r="H453" s="3" t="s">
        <v>56</v>
      </c>
      <c r="L453" s="255"/>
      <c r="M453" s="151" t="str">
        <f t="shared" si="22"/>
        <v>/</v>
      </c>
      <c r="N453" s="151" t="str">
        <f t="shared" si="23"/>
        <v/>
      </c>
      <c r="O453" s="255"/>
      <c r="P453" s="255"/>
      <c r="Q453" s="239" t="str">
        <f t="shared" ca="1" si="24"/>
        <v/>
      </c>
    </row>
    <row r="454" spans="3:17" ht="15.75" hidden="1" customHeight="1" outlineLevel="1" x14ac:dyDescent="0.25">
      <c r="C454" s="207"/>
      <c r="D454" s="105">
        <v>42373</v>
      </c>
      <c r="E454" s="101" t="s">
        <v>2</v>
      </c>
      <c r="F454" s="216" t="s">
        <v>49</v>
      </c>
      <c r="G454" s="3" t="s">
        <v>56</v>
      </c>
      <c r="H454" s="3" t="s">
        <v>56</v>
      </c>
      <c r="L454" s="255"/>
      <c r="M454" s="151" t="str">
        <f t="shared" si="22"/>
        <v>/</v>
      </c>
      <c r="N454" s="151" t="str">
        <f t="shared" si="23"/>
        <v/>
      </c>
      <c r="O454" s="255"/>
      <c r="P454" s="255"/>
      <c r="Q454" s="239" t="str">
        <f t="shared" ca="1" si="24"/>
        <v/>
      </c>
    </row>
    <row r="455" spans="3:17" ht="15.75" hidden="1" customHeight="1" outlineLevel="1" x14ac:dyDescent="0.25">
      <c r="C455" s="207"/>
      <c r="D455" s="105">
        <v>42375</v>
      </c>
      <c r="E455" s="101" t="s">
        <v>45</v>
      </c>
      <c r="F455" s="216" t="s">
        <v>50</v>
      </c>
      <c r="G455" s="3" t="s">
        <v>56</v>
      </c>
      <c r="H455" s="3" t="s">
        <v>56</v>
      </c>
      <c r="L455" s="255"/>
      <c r="M455" s="151" t="str">
        <f t="shared" ref="M455:M518" si="25">IF(F455="D",H455,"")</f>
        <v/>
      </c>
      <c r="N455" s="151" t="str">
        <f t="shared" ref="N455:N518" si="26">IF(F455="E",H455,"")</f>
        <v>/</v>
      </c>
      <c r="O455" s="255"/>
      <c r="P455" s="255"/>
      <c r="Q455" s="239" t="str">
        <f t="shared" ca="1" si="24"/>
        <v/>
      </c>
    </row>
    <row r="456" spans="3:17" ht="15.75" hidden="1" customHeight="1" outlineLevel="1" x14ac:dyDescent="0.25">
      <c r="C456" s="207"/>
      <c r="D456" s="105">
        <v>42377</v>
      </c>
      <c r="E456" s="101" t="s">
        <v>25</v>
      </c>
      <c r="F456" s="216" t="s">
        <v>50</v>
      </c>
      <c r="G456" s="3" t="s">
        <v>56</v>
      </c>
      <c r="H456" s="3" t="s">
        <v>56</v>
      </c>
      <c r="L456" s="255"/>
      <c r="M456" s="151" t="str">
        <f t="shared" si="25"/>
        <v/>
      </c>
      <c r="N456" s="151" t="str">
        <f t="shared" si="26"/>
        <v>/</v>
      </c>
      <c r="O456" s="255"/>
      <c r="P456" s="255"/>
      <c r="Q456" s="239" t="str">
        <f t="shared" ca="1" si="24"/>
        <v/>
      </c>
    </row>
    <row r="457" spans="3:17" ht="15.75" hidden="1" customHeight="1" outlineLevel="1" x14ac:dyDescent="0.25">
      <c r="C457" s="207"/>
      <c r="D457" s="105">
        <v>42379</v>
      </c>
      <c r="E457" s="101" t="s">
        <v>28</v>
      </c>
      <c r="F457" s="216" t="s">
        <v>50</v>
      </c>
      <c r="G457" s="3" t="s">
        <v>56</v>
      </c>
      <c r="H457" s="3" t="s">
        <v>56</v>
      </c>
      <c r="L457" s="255"/>
      <c r="M457" s="151" t="str">
        <f t="shared" si="25"/>
        <v/>
      </c>
      <c r="N457" s="151" t="str">
        <f t="shared" si="26"/>
        <v>/</v>
      </c>
      <c r="O457" s="255"/>
      <c r="P457" s="255"/>
      <c r="Q457" s="239" t="str">
        <f t="shared" ca="1" si="24"/>
        <v/>
      </c>
    </row>
    <row r="458" spans="3:17" ht="15.75" hidden="1" customHeight="1" outlineLevel="1" x14ac:dyDescent="0.25">
      <c r="C458" s="207"/>
      <c r="D458" s="105">
        <v>42380</v>
      </c>
      <c r="E458" s="101" t="s">
        <v>24</v>
      </c>
      <c r="F458" s="216" t="s">
        <v>50</v>
      </c>
      <c r="G458" s="3" t="s">
        <v>56</v>
      </c>
      <c r="H458" s="3" t="s">
        <v>56</v>
      </c>
      <c r="L458" s="255"/>
      <c r="M458" s="151" t="str">
        <f t="shared" si="25"/>
        <v/>
      </c>
      <c r="N458" s="151" t="str">
        <f t="shared" si="26"/>
        <v>/</v>
      </c>
      <c r="O458" s="255"/>
      <c r="P458" s="255"/>
      <c r="Q458" s="239" t="str">
        <f t="shared" ca="1" si="24"/>
        <v/>
      </c>
    </row>
    <row r="459" spans="3:17" ht="15.75" hidden="1" customHeight="1" outlineLevel="1" x14ac:dyDescent="0.25">
      <c r="C459" s="207"/>
      <c r="D459" s="105">
        <v>42382</v>
      </c>
      <c r="E459" s="101" t="s">
        <v>26</v>
      </c>
      <c r="F459" s="216" t="s">
        <v>50</v>
      </c>
      <c r="G459" s="3" t="s">
        <v>56</v>
      </c>
      <c r="H459" s="3" t="s">
        <v>56</v>
      </c>
      <c r="L459" s="255"/>
      <c r="M459" s="151" t="str">
        <f t="shared" si="25"/>
        <v/>
      </c>
      <c r="N459" s="151" t="str">
        <f t="shared" si="26"/>
        <v>/</v>
      </c>
      <c r="O459" s="255"/>
      <c r="P459" s="255"/>
      <c r="Q459" s="239" t="str">
        <f t="shared" ca="1" si="24"/>
        <v/>
      </c>
    </row>
    <row r="460" spans="3:17" ht="15.75" hidden="1" customHeight="1" outlineLevel="1" x14ac:dyDescent="0.25">
      <c r="C460" s="207"/>
      <c r="D460" s="105">
        <v>42385</v>
      </c>
      <c r="E460" s="101" t="s">
        <v>16</v>
      </c>
      <c r="F460" s="216" t="s">
        <v>50</v>
      </c>
      <c r="G460" s="3" t="s">
        <v>56</v>
      </c>
      <c r="H460" s="3" t="s">
        <v>56</v>
      </c>
      <c r="L460" s="255"/>
      <c r="M460" s="151" t="str">
        <f t="shared" si="25"/>
        <v/>
      </c>
      <c r="N460" s="151" t="str">
        <f t="shared" si="26"/>
        <v>/</v>
      </c>
      <c r="O460" s="255"/>
      <c r="P460" s="255"/>
      <c r="Q460" s="239" t="str">
        <f t="shared" ca="1" si="24"/>
        <v/>
      </c>
    </row>
    <row r="461" spans="3:17" ht="15.75" hidden="1" customHeight="1" outlineLevel="1" x14ac:dyDescent="0.25">
      <c r="C461" s="207"/>
      <c r="D461" s="105">
        <v>42388</v>
      </c>
      <c r="E461" s="101" t="s">
        <v>25</v>
      </c>
      <c r="F461" s="216" t="s">
        <v>49</v>
      </c>
      <c r="G461" s="3" t="s">
        <v>56</v>
      </c>
      <c r="H461" s="3" t="s">
        <v>56</v>
      </c>
      <c r="L461" s="255"/>
      <c r="M461" s="151" t="str">
        <f t="shared" si="25"/>
        <v>/</v>
      </c>
      <c r="N461" s="151" t="str">
        <f t="shared" si="26"/>
        <v/>
      </c>
      <c r="O461" s="255"/>
      <c r="P461" s="255"/>
      <c r="Q461" s="239" t="str">
        <f t="shared" ca="1" si="24"/>
        <v/>
      </c>
    </row>
    <row r="462" spans="3:17" ht="15.75" hidden="1" customHeight="1" outlineLevel="1" x14ac:dyDescent="0.25">
      <c r="C462" s="207"/>
      <c r="D462" s="105">
        <v>42390</v>
      </c>
      <c r="E462" s="101" t="s">
        <v>46</v>
      </c>
      <c r="F462" s="216" t="s">
        <v>49</v>
      </c>
      <c r="G462" s="3" t="s">
        <v>56</v>
      </c>
      <c r="H462" s="3" t="s">
        <v>56</v>
      </c>
      <c r="L462" s="255"/>
      <c r="M462" s="151" t="str">
        <f t="shared" si="25"/>
        <v>/</v>
      </c>
      <c r="N462" s="151" t="str">
        <f t="shared" si="26"/>
        <v/>
      </c>
      <c r="O462" s="255"/>
      <c r="P462" s="255"/>
      <c r="Q462" s="239" t="str">
        <f t="shared" ca="1" si="24"/>
        <v/>
      </c>
    </row>
    <row r="463" spans="3:17" ht="15.75" hidden="1" customHeight="1" outlineLevel="1" x14ac:dyDescent="0.25">
      <c r="C463" s="207"/>
      <c r="D463" s="105">
        <v>42392</v>
      </c>
      <c r="E463" s="101" t="s">
        <v>22</v>
      </c>
      <c r="F463" s="216" t="s">
        <v>50</v>
      </c>
      <c r="G463" s="3" t="s">
        <v>56</v>
      </c>
      <c r="H463" s="3" t="s">
        <v>56</v>
      </c>
      <c r="L463" s="255"/>
      <c r="M463" s="151" t="str">
        <f t="shared" si="25"/>
        <v/>
      </c>
      <c r="N463" s="151" t="str">
        <f t="shared" si="26"/>
        <v>/</v>
      </c>
      <c r="O463" s="255"/>
      <c r="P463" s="255"/>
      <c r="Q463" s="239" t="str">
        <f t="shared" ca="1" si="24"/>
        <v/>
      </c>
    </row>
    <row r="464" spans="3:17" ht="15.75" hidden="1" customHeight="1" outlineLevel="1" x14ac:dyDescent="0.25">
      <c r="C464" s="207"/>
      <c r="D464" s="105">
        <v>42394</v>
      </c>
      <c r="E464" s="101" t="s">
        <v>26</v>
      </c>
      <c r="F464" s="216" t="s">
        <v>49</v>
      </c>
      <c r="G464" s="3" t="s">
        <v>56</v>
      </c>
      <c r="H464" s="3" t="s">
        <v>56</v>
      </c>
      <c r="L464" s="255"/>
      <c r="M464" s="151" t="str">
        <f t="shared" si="25"/>
        <v>/</v>
      </c>
      <c r="N464" s="151" t="str">
        <f t="shared" si="26"/>
        <v/>
      </c>
      <c r="O464" s="255"/>
      <c r="P464" s="255"/>
      <c r="Q464" s="239" t="str">
        <f t="shared" ca="1" si="24"/>
        <v/>
      </c>
    </row>
    <row r="465" spans="3:17" ht="15.75" hidden="1" customHeight="1" outlineLevel="1" x14ac:dyDescent="0.25">
      <c r="C465" s="207"/>
      <c r="D465" s="105">
        <v>42396</v>
      </c>
      <c r="E465" s="101" t="s">
        <v>45</v>
      </c>
      <c r="F465" s="216" t="s">
        <v>49</v>
      </c>
      <c r="G465" s="3" t="s">
        <v>56</v>
      </c>
      <c r="H465" s="3" t="s">
        <v>56</v>
      </c>
      <c r="L465" s="255"/>
      <c r="M465" s="151" t="str">
        <f t="shared" si="25"/>
        <v>/</v>
      </c>
      <c r="N465" s="151" t="str">
        <f t="shared" si="26"/>
        <v/>
      </c>
      <c r="O465" s="255"/>
      <c r="P465" s="255"/>
      <c r="Q465" s="239" t="str">
        <f t="shared" ca="1" si="24"/>
        <v/>
      </c>
    </row>
    <row r="466" spans="3:17" ht="15.75" hidden="1" customHeight="1" outlineLevel="1" x14ac:dyDescent="0.25">
      <c r="C466" s="207"/>
      <c r="D466" s="105">
        <v>42398</v>
      </c>
      <c r="E466" s="101" t="s">
        <v>23</v>
      </c>
      <c r="F466" s="216" t="s">
        <v>49</v>
      </c>
      <c r="G466" s="3" t="s">
        <v>56</v>
      </c>
      <c r="H466" s="3" t="s">
        <v>56</v>
      </c>
      <c r="L466" s="255"/>
      <c r="M466" s="151" t="str">
        <f t="shared" si="25"/>
        <v>/</v>
      </c>
      <c r="N466" s="151" t="str">
        <f t="shared" si="26"/>
        <v/>
      </c>
      <c r="O466" s="255"/>
      <c r="P466" s="255"/>
      <c r="Q466" s="239" t="str">
        <f t="shared" ca="1" si="24"/>
        <v/>
      </c>
    </row>
    <row r="467" spans="3:17" ht="15.75" hidden="1" customHeight="1" outlineLevel="1" x14ac:dyDescent="0.25">
      <c r="C467" s="207"/>
      <c r="D467" s="105">
        <v>42399</v>
      </c>
      <c r="E467" s="101" t="s">
        <v>14</v>
      </c>
      <c r="F467" s="216" t="s">
        <v>50</v>
      </c>
      <c r="G467" s="3" t="s">
        <v>56</v>
      </c>
      <c r="H467" s="3" t="s">
        <v>56</v>
      </c>
      <c r="L467" s="255"/>
      <c r="M467" s="151" t="str">
        <f t="shared" si="25"/>
        <v/>
      </c>
      <c r="N467" s="151" t="str">
        <f t="shared" si="26"/>
        <v>/</v>
      </c>
      <c r="O467" s="255"/>
      <c r="P467" s="255"/>
      <c r="Q467" s="239" t="str">
        <f t="shared" ca="1" si="24"/>
        <v/>
      </c>
    </row>
    <row r="468" spans="3:17" ht="15.75" hidden="1" customHeight="1" outlineLevel="1" x14ac:dyDescent="0.25">
      <c r="C468" s="208"/>
      <c r="D468" s="105">
        <v>42401</v>
      </c>
      <c r="E468" s="101" t="s">
        <v>21</v>
      </c>
      <c r="F468" s="216" t="s">
        <v>49</v>
      </c>
      <c r="G468" s="3" t="s">
        <v>56</v>
      </c>
      <c r="H468" s="3" t="s">
        <v>56</v>
      </c>
      <c r="L468" s="255"/>
      <c r="M468" s="151" t="str">
        <f t="shared" si="25"/>
        <v>/</v>
      </c>
      <c r="N468" s="151" t="str">
        <f t="shared" si="26"/>
        <v/>
      </c>
      <c r="O468" s="255"/>
      <c r="P468" s="255"/>
      <c r="Q468" s="239" t="str">
        <f t="shared" ca="1" si="24"/>
        <v/>
      </c>
    </row>
    <row r="469" spans="3:17" ht="15.75" hidden="1" customHeight="1" outlineLevel="1" x14ac:dyDescent="0.25">
      <c r="C469" s="208"/>
      <c r="D469" s="105">
        <v>42404</v>
      </c>
      <c r="E469" s="101" t="s">
        <v>9</v>
      </c>
      <c r="F469" s="216" t="s">
        <v>50</v>
      </c>
      <c r="G469" s="3" t="s">
        <v>56</v>
      </c>
      <c r="H469" s="3" t="s">
        <v>56</v>
      </c>
      <c r="L469" s="255"/>
      <c r="M469" s="151" t="str">
        <f t="shared" si="25"/>
        <v/>
      </c>
      <c r="N469" s="151" t="str">
        <f t="shared" si="26"/>
        <v>/</v>
      </c>
      <c r="O469" s="255"/>
      <c r="P469" s="255"/>
      <c r="Q469" s="239" t="str">
        <f t="shared" ca="1" si="24"/>
        <v/>
      </c>
    </row>
    <row r="470" spans="3:17" ht="15.75" hidden="1" customHeight="1" outlineLevel="1" x14ac:dyDescent="0.25">
      <c r="C470" s="208"/>
      <c r="D470" s="105">
        <v>42466</v>
      </c>
      <c r="E470" s="101" t="s">
        <v>13</v>
      </c>
      <c r="F470" s="216" t="s">
        <v>50</v>
      </c>
      <c r="G470" s="3" t="s">
        <v>56</v>
      </c>
      <c r="H470" s="3" t="s">
        <v>56</v>
      </c>
      <c r="L470" s="255"/>
      <c r="M470" s="151" t="str">
        <f t="shared" si="25"/>
        <v/>
      </c>
      <c r="N470" s="151" t="str">
        <f t="shared" si="26"/>
        <v>/</v>
      </c>
      <c r="O470" s="255"/>
      <c r="P470" s="255"/>
      <c r="Q470" s="239" t="str">
        <f t="shared" ca="1" si="24"/>
        <v/>
      </c>
    </row>
    <row r="471" spans="3:17" ht="15.75" hidden="1" customHeight="1" outlineLevel="1" x14ac:dyDescent="0.25">
      <c r="C471" s="208"/>
      <c r="D471" s="105">
        <v>42468</v>
      </c>
      <c r="E471" s="101" t="s">
        <v>7</v>
      </c>
      <c r="F471" s="216" t="s">
        <v>50</v>
      </c>
      <c r="G471" s="3" t="s">
        <v>56</v>
      </c>
      <c r="H471" s="3" t="s">
        <v>56</v>
      </c>
      <c r="L471" s="255"/>
      <c r="M471" s="151" t="str">
        <f t="shared" si="25"/>
        <v/>
      </c>
      <c r="N471" s="151" t="str">
        <f t="shared" si="26"/>
        <v>/</v>
      </c>
      <c r="O471" s="255"/>
      <c r="P471" s="255"/>
      <c r="Q471" s="239" t="str">
        <f t="shared" ca="1" si="24"/>
        <v/>
      </c>
    </row>
    <row r="472" spans="3:17" ht="15.75" hidden="1" customHeight="1" outlineLevel="1" x14ac:dyDescent="0.25">
      <c r="C472" s="208"/>
      <c r="D472" s="105">
        <v>42409</v>
      </c>
      <c r="E472" s="101" t="s">
        <v>23</v>
      </c>
      <c r="F472" s="216" t="s">
        <v>50</v>
      </c>
      <c r="G472" s="3" t="s">
        <v>56</v>
      </c>
      <c r="H472" s="3" t="s">
        <v>56</v>
      </c>
      <c r="L472" s="255"/>
      <c r="M472" s="151" t="str">
        <f t="shared" si="25"/>
        <v/>
      </c>
      <c r="N472" s="151" t="str">
        <f t="shared" si="26"/>
        <v>/</v>
      </c>
      <c r="O472" s="255"/>
      <c r="P472" s="255"/>
      <c r="Q472" s="239" t="str">
        <f t="shared" ca="1" si="24"/>
        <v/>
      </c>
    </row>
    <row r="473" spans="3:17" ht="15.75" hidden="1" customHeight="1" outlineLevel="1" x14ac:dyDescent="0.25">
      <c r="C473" s="208"/>
      <c r="D473" s="105">
        <v>42411</v>
      </c>
      <c r="E473" s="101" t="s">
        <v>15</v>
      </c>
      <c r="F473" s="216" t="s">
        <v>49</v>
      </c>
      <c r="G473" s="3" t="s">
        <v>56</v>
      </c>
      <c r="H473" s="3" t="s">
        <v>56</v>
      </c>
      <c r="L473" s="255"/>
      <c r="M473" s="151" t="str">
        <f t="shared" si="25"/>
        <v>/</v>
      </c>
      <c r="N473" s="151" t="str">
        <f t="shared" si="26"/>
        <v/>
      </c>
      <c r="O473" s="255"/>
      <c r="P473" s="255"/>
      <c r="Q473" s="239" t="str">
        <f t="shared" ca="1" si="24"/>
        <v/>
      </c>
    </row>
    <row r="474" spans="3:17" ht="15.75" hidden="1" customHeight="1" outlineLevel="1" x14ac:dyDescent="0.25">
      <c r="C474" s="208"/>
      <c r="D474" s="105">
        <v>42414</v>
      </c>
      <c r="E474" s="101" t="s">
        <v>21</v>
      </c>
      <c r="F474" s="216" t="s">
        <v>50</v>
      </c>
      <c r="G474" s="3" t="s">
        <v>56</v>
      </c>
      <c r="H474" s="3" t="s">
        <v>56</v>
      </c>
      <c r="L474" s="255"/>
      <c r="M474" s="151" t="str">
        <f t="shared" si="25"/>
        <v/>
      </c>
      <c r="N474" s="151" t="str">
        <f t="shared" si="26"/>
        <v>/</v>
      </c>
      <c r="O474" s="255"/>
      <c r="P474" s="255"/>
      <c r="Q474" s="239" t="str">
        <f t="shared" ca="1" si="24"/>
        <v/>
      </c>
    </row>
    <row r="475" spans="3:17" ht="15.75" hidden="1" customHeight="1" outlineLevel="1" x14ac:dyDescent="0.25">
      <c r="C475" s="208"/>
      <c r="D475" s="105">
        <v>42415</v>
      </c>
      <c r="E475" s="101" t="s">
        <v>7</v>
      </c>
      <c r="F475" s="216" t="s">
        <v>49</v>
      </c>
      <c r="G475" s="3" t="s">
        <v>56</v>
      </c>
      <c r="H475" s="3" t="s">
        <v>56</v>
      </c>
      <c r="L475" s="255"/>
      <c r="M475" s="151" t="str">
        <f t="shared" si="25"/>
        <v>/</v>
      </c>
      <c r="N475" s="151" t="str">
        <f t="shared" si="26"/>
        <v/>
      </c>
      <c r="O475" s="255"/>
      <c r="P475" s="255"/>
      <c r="Q475" s="239" t="str">
        <f t="shared" ca="1" si="24"/>
        <v/>
      </c>
    </row>
    <row r="476" spans="3:17" ht="15.75" hidden="1" customHeight="1" outlineLevel="1" x14ac:dyDescent="0.25">
      <c r="C476" s="208"/>
      <c r="D476" s="105">
        <v>42423</v>
      </c>
      <c r="E476" s="101" t="s">
        <v>9</v>
      </c>
      <c r="F476" s="216" t="s">
        <v>49</v>
      </c>
      <c r="G476" s="3" t="s">
        <v>56</v>
      </c>
      <c r="H476" s="3" t="s">
        <v>56</v>
      </c>
      <c r="L476" s="255"/>
      <c r="M476" s="151" t="str">
        <f t="shared" si="25"/>
        <v>/</v>
      </c>
      <c r="N476" s="151" t="str">
        <f t="shared" si="26"/>
        <v/>
      </c>
      <c r="O476" s="255"/>
      <c r="P476" s="255"/>
      <c r="Q476" s="239" t="str">
        <f t="shared" ca="1" si="24"/>
        <v/>
      </c>
    </row>
    <row r="477" spans="3:17" ht="15.75" hidden="1" customHeight="1" outlineLevel="1" x14ac:dyDescent="0.25">
      <c r="C477" s="208"/>
      <c r="D477" s="105">
        <v>42425</v>
      </c>
      <c r="E477" s="101" t="s">
        <v>2</v>
      </c>
      <c r="F477" s="216" t="s">
        <v>49</v>
      </c>
      <c r="G477" s="3" t="s">
        <v>56</v>
      </c>
      <c r="H477" s="3" t="s">
        <v>56</v>
      </c>
      <c r="L477" s="255"/>
      <c r="M477" s="151" t="str">
        <f t="shared" si="25"/>
        <v>/</v>
      </c>
      <c r="N477" s="151" t="str">
        <f t="shared" si="26"/>
        <v/>
      </c>
      <c r="O477" s="255"/>
      <c r="P477" s="255"/>
      <c r="Q477" s="239" t="str">
        <f t="shared" ca="1" si="24"/>
        <v/>
      </c>
    </row>
    <row r="478" spans="3:17" ht="15.75" hidden="1" customHeight="1" outlineLevel="1" x14ac:dyDescent="0.25">
      <c r="C478" s="208"/>
      <c r="D478" s="105">
        <v>42427</v>
      </c>
      <c r="E478" s="101" t="s">
        <v>8</v>
      </c>
      <c r="F478" s="216" t="s">
        <v>49</v>
      </c>
      <c r="G478" s="3" t="s">
        <v>56</v>
      </c>
      <c r="H478" s="3" t="s">
        <v>56</v>
      </c>
      <c r="L478" s="255"/>
      <c r="M478" s="151" t="str">
        <f t="shared" si="25"/>
        <v>/</v>
      </c>
      <c r="N478" s="151" t="str">
        <f t="shared" si="26"/>
        <v/>
      </c>
      <c r="O478" s="255"/>
      <c r="P478" s="255"/>
      <c r="Q478" s="239" t="str">
        <f t="shared" ca="1" si="24"/>
        <v/>
      </c>
    </row>
    <row r="479" spans="3:17" ht="15.75" hidden="1" customHeight="1" outlineLevel="1" x14ac:dyDescent="0.25">
      <c r="C479" s="207"/>
      <c r="D479" s="105">
        <v>42430</v>
      </c>
      <c r="E479" s="101" t="s">
        <v>1</v>
      </c>
      <c r="F479" s="216" t="s">
        <v>50</v>
      </c>
      <c r="G479" s="3" t="s">
        <v>56</v>
      </c>
      <c r="H479" s="3" t="s">
        <v>56</v>
      </c>
      <c r="L479" s="255"/>
      <c r="M479" s="151" t="str">
        <f t="shared" si="25"/>
        <v/>
      </c>
      <c r="N479" s="151" t="str">
        <f t="shared" si="26"/>
        <v>/</v>
      </c>
      <c r="O479" s="255"/>
      <c r="P479" s="255"/>
      <c r="Q479" s="239" t="str">
        <f t="shared" ca="1" si="24"/>
        <v/>
      </c>
    </row>
    <row r="480" spans="3:17" ht="15.75" hidden="1" customHeight="1" outlineLevel="1" x14ac:dyDescent="0.25">
      <c r="C480" s="207"/>
      <c r="D480" s="105">
        <v>42432</v>
      </c>
      <c r="E480" s="101" t="s">
        <v>0</v>
      </c>
      <c r="F480" s="216" t="s">
        <v>50</v>
      </c>
      <c r="G480" s="3" t="s">
        <v>56</v>
      </c>
      <c r="H480" s="3" t="s">
        <v>56</v>
      </c>
      <c r="L480" s="255"/>
      <c r="M480" s="151" t="str">
        <f t="shared" si="25"/>
        <v/>
      </c>
      <c r="N480" s="151" t="str">
        <f t="shared" si="26"/>
        <v>/</v>
      </c>
      <c r="O480" s="255"/>
      <c r="P480" s="255"/>
      <c r="Q480" s="239" t="str">
        <f t="shared" ca="1" si="24"/>
        <v/>
      </c>
    </row>
    <row r="481" spans="3:17" ht="15.75" hidden="1" customHeight="1" outlineLevel="1" x14ac:dyDescent="0.25">
      <c r="C481" s="207"/>
      <c r="D481" s="105">
        <v>42433</v>
      </c>
      <c r="E481" s="101" t="s">
        <v>6</v>
      </c>
      <c r="F481" s="216" t="s">
        <v>50</v>
      </c>
      <c r="G481" s="3" t="s">
        <v>56</v>
      </c>
      <c r="H481" s="3" t="s">
        <v>56</v>
      </c>
      <c r="L481" s="255"/>
      <c r="M481" s="151" t="str">
        <f t="shared" si="25"/>
        <v/>
      </c>
      <c r="N481" s="151" t="str">
        <f t="shared" si="26"/>
        <v>/</v>
      </c>
      <c r="O481" s="255"/>
      <c r="P481" s="255"/>
      <c r="Q481" s="239" t="str">
        <f t="shared" ca="1" si="24"/>
        <v/>
      </c>
    </row>
    <row r="482" spans="3:17" ht="15.75" hidden="1" customHeight="1" outlineLevel="1" x14ac:dyDescent="0.25">
      <c r="C482" s="207"/>
      <c r="D482" s="105">
        <v>42435</v>
      </c>
      <c r="E482" s="101" t="s">
        <v>6</v>
      </c>
      <c r="F482" s="216" t="s">
        <v>49</v>
      </c>
      <c r="G482" s="3" t="s">
        <v>56</v>
      </c>
      <c r="H482" s="3" t="s">
        <v>56</v>
      </c>
      <c r="L482" s="255"/>
      <c r="M482" s="151" t="str">
        <f t="shared" si="25"/>
        <v>/</v>
      </c>
      <c r="N482" s="151" t="str">
        <f t="shared" si="26"/>
        <v/>
      </c>
      <c r="O482" s="255"/>
      <c r="P482" s="255"/>
      <c r="Q482" s="239" t="str">
        <f t="shared" ca="1" si="24"/>
        <v/>
      </c>
    </row>
    <row r="483" spans="3:17" ht="15.75" hidden="1" customHeight="1" outlineLevel="1" x14ac:dyDescent="0.25">
      <c r="C483" s="207"/>
      <c r="D483" s="105">
        <v>42438</v>
      </c>
      <c r="E483" s="101" t="s">
        <v>5</v>
      </c>
      <c r="F483" s="216" t="s">
        <v>50</v>
      </c>
      <c r="G483" s="3" t="s">
        <v>56</v>
      </c>
      <c r="H483" s="3" t="s">
        <v>56</v>
      </c>
      <c r="L483" s="255"/>
      <c r="M483" s="151" t="str">
        <f t="shared" si="25"/>
        <v/>
      </c>
      <c r="N483" s="151" t="str">
        <f t="shared" si="26"/>
        <v>/</v>
      </c>
      <c r="O483" s="255"/>
      <c r="P483" s="255"/>
      <c r="Q483" s="239" t="str">
        <f t="shared" ca="1" si="24"/>
        <v/>
      </c>
    </row>
    <row r="484" spans="3:17" ht="15.75" hidden="1" customHeight="1" outlineLevel="1" x14ac:dyDescent="0.25">
      <c r="C484" s="207"/>
      <c r="D484" s="105">
        <v>42440</v>
      </c>
      <c r="E484" s="101" t="s">
        <v>10</v>
      </c>
      <c r="F484" s="216" t="s">
        <v>50</v>
      </c>
      <c r="G484" s="3" t="s">
        <v>56</v>
      </c>
      <c r="H484" s="3" t="s">
        <v>56</v>
      </c>
      <c r="L484" s="255"/>
      <c r="M484" s="151" t="str">
        <f t="shared" si="25"/>
        <v/>
      </c>
      <c r="N484" s="151" t="str">
        <f t="shared" si="26"/>
        <v>/</v>
      </c>
      <c r="O484" s="255"/>
      <c r="P484" s="255"/>
      <c r="Q484" s="239" t="str">
        <f t="shared" ca="1" si="24"/>
        <v/>
      </c>
    </row>
    <row r="485" spans="3:17" ht="15.75" hidden="1" customHeight="1" outlineLevel="1" x14ac:dyDescent="0.25">
      <c r="C485" s="207"/>
      <c r="D485" s="105">
        <v>42441</v>
      </c>
      <c r="E485" s="101" t="s">
        <v>17</v>
      </c>
      <c r="F485" s="216" t="s">
        <v>50</v>
      </c>
      <c r="G485" s="3" t="s">
        <v>56</v>
      </c>
      <c r="H485" s="3" t="s">
        <v>56</v>
      </c>
      <c r="L485" s="255"/>
      <c r="M485" s="151" t="str">
        <f t="shared" si="25"/>
        <v/>
      </c>
      <c r="N485" s="151" t="str">
        <f t="shared" si="26"/>
        <v>/</v>
      </c>
      <c r="O485" s="255"/>
      <c r="P485" s="255"/>
      <c r="Q485" s="239" t="str">
        <f t="shared" ca="1" si="24"/>
        <v/>
      </c>
    </row>
    <row r="486" spans="3:17" ht="15.75" hidden="1" customHeight="1" outlineLevel="1" x14ac:dyDescent="0.25">
      <c r="C486" s="207"/>
      <c r="D486" s="105">
        <v>42443</v>
      </c>
      <c r="E486" s="101" t="s">
        <v>5</v>
      </c>
      <c r="F486" s="216" t="s">
        <v>49</v>
      </c>
      <c r="G486" s="3" t="s">
        <v>56</v>
      </c>
      <c r="H486" s="3" t="s">
        <v>56</v>
      </c>
      <c r="L486" s="255"/>
      <c r="M486" s="151" t="str">
        <f t="shared" si="25"/>
        <v>/</v>
      </c>
      <c r="N486" s="151" t="str">
        <f t="shared" si="26"/>
        <v/>
      </c>
      <c r="O486" s="255"/>
      <c r="P486" s="255"/>
      <c r="Q486" s="239" t="str">
        <f t="shared" ca="1" si="24"/>
        <v/>
      </c>
    </row>
    <row r="487" spans="3:17" ht="15.75" hidden="1" customHeight="1" outlineLevel="1" x14ac:dyDescent="0.25">
      <c r="C487" s="207"/>
      <c r="D487" s="105">
        <v>42445</v>
      </c>
      <c r="E487" s="101" t="s">
        <v>28</v>
      </c>
      <c r="F487" s="216" t="s">
        <v>49</v>
      </c>
      <c r="G487" s="3" t="s">
        <v>56</v>
      </c>
      <c r="H487" s="3" t="s">
        <v>56</v>
      </c>
      <c r="L487" s="255"/>
      <c r="M487" s="151" t="str">
        <f t="shared" si="25"/>
        <v>/</v>
      </c>
      <c r="N487" s="151" t="str">
        <f t="shared" si="26"/>
        <v/>
      </c>
      <c r="O487" s="255"/>
      <c r="P487" s="255"/>
      <c r="Q487" s="239" t="str">
        <f t="shared" ca="1" si="24"/>
        <v/>
      </c>
    </row>
    <row r="488" spans="3:17" ht="15.75" hidden="1" customHeight="1" outlineLevel="1" x14ac:dyDescent="0.25">
      <c r="C488" s="207"/>
      <c r="D488" s="105">
        <v>42447</v>
      </c>
      <c r="E488" s="101" t="s">
        <v>18</v>
      </c>
      <c r="F488" s="216" t="s">
        <v>50</v>
      </c>
      <c r="G488" s="3" t="s">
        <v>56</v>
      </c>
      <c r="H488" s="3" t="s">
        <v>56</v>
      </c>
      <c r="L488" s="255"/>
      <c r="M488" s="151" t="str">
        <f t="shared" si="25"/>
        <v/>
      </c>
      <c r="N488" s="151" t="str">
        <f t="shared" si="26"/>
        <v>/</v>
      </c>
      <c r="O488" s="255"/>
      <c r="P488" s="255"/>
      <c r="Q488" s="239" t="str">
        <f t="shared" ca="1" si="24"/>
        <v/>
      </c>
    </row>
    <row r="489" spans="3:17" ht="15.75" hidden="1" customHeight="1" outlineLevel="1" x14ac:dyDescent="0.25">
      <c r="C489" s="207"/>
      <c r="D489" s="105">
        <v>42448</v>
      </c>
      <c r="E489" s="101" t="s">
        <v>19</v>
      </c>
      <c r="F489" s="216" t="s">
        <v>50</v>
      </c>
      <c r="G489" s="3" t="s">
        <v>56</v>
      </c>
      <c r="H489" s="3" t="s">
        <v>56</v>
      </c>
      <c r="L489" s="255"/>
      <c r="M489" s="151" t="str">
        <f t="shared" si="25"/>
        <v/>
      </c>
      <c r="N489" s="151" t="str">
        <f t="shared" si="26"/>
        <v>/</v>
      </c>
      <c r="O489" s="255"/>
      <c r="P489" s="255"/>
      <c r="Q489" s="239" t="str">
        <f t="shared" ca="1" si="24"/>
        <v/>
      </c>
    </row>
    <row r="490" spans="3:17" ht="15.75" hidden="1" customHeight="1" outlineLevel="1" x14ac:dyDescent="0.25">
      <c r="C490" s="207"/>
      <c r="D490" s="105">
        <v>42451</v>
      </c>
      <c r="E490" s="101" t="s">
        <v>15</v>
      </c>
      <c r="F490" s="216" t="s">
        <v>50</v>
      </c>
      <c r="G490" s="3" t="s">
        <v>56</v>
      </c>
      <c r="H490" s="3" t="s">
        <v>56</v>
      </c>
      <c r="L490" s="255"/>
      <c r="M490" s="151" t="str">
        <f t="shared" si="25"/>
        <v/>
      </c>
      <c r="N490" s="151" t="str">
        <f t="shared" si="26"/>
        <v>/</v>
      </c>
      <c r="O490" s="255"/>
      <c r="P490" s="255"/>
      <c r="Q490" s="239" t="str">
        <f t="shared" ca="1" si="24"/>
        <v/>
      </c>
    </row>
    <row r="491" spans="3:17" ht="15.75" hidden="1" customHeight="1" outlineLevel="1" x14ac:dyDescent="0.25">
      <c r="C491" s="207"/>
      <c r="D491" s="105">
        <v>42453</v>
      </c>
      <c r="E491" s="101" t="s">
        <v>3</v>
      </c>
      <c r="F491" s="216" t="s">
        <v>50</v>
      </c>
      <c r="G491" s="3" t="s">
        <v>56</v>
      </c>
      <c r="H491" s="3" t="s">
        <v>56</v>
      </c>
      <c r="L491" s="255"/>
      <c r="M491" s="151" t="str">
        <f t="shared" si="25"/>
        <v/>
      </c>
      <c r="N491" s="151" t="str">
        <f t="shared" si="26"/>
        <v>/</v>
      </c>
      <c r="O491" s="255"/>
      <c r="P491" s="255"/>
      <c r="Q491" s="239" t="str">
        <f t="shared" ref="Q491:Q554" ca="1" si="27">IF(D491=TODAY(),1,"")</f>
        <v/>
      </c>
    </row>
    <row r="492" spans="3:17" ht="15.75" hidden="1" customHeight="1" outlineLevel="1" x14ac:dyDescent="0.25">
      <c r="C492" s="207"/>
      <c r="D492" s="105">
        <v>42454</v>
      </c>
      <c r="E492" s="101" t="s">
        <v>13</v>
      </c>
      <c r="F492" s="216" t="s">
        <v>49</v>
      </c>
      <c r="G492" s="3" t="s">
        <v>56</v>
      </c>
      <c r="H492" s="3" t="s">
        <v>56</v>
      </c>
      <c r="L492" s="255"/>
      <c r="M492" s="151" t="str">
        <f t="shared" si="25"/>
        <v>/</v>
      </c>
      <c r="N492" s="151" t="str">
        <f t="shared" si="26"/>
        <v/>
      </c>
      <c r="O492" s="255"/>
      <c r="P492" s="255"/>
      <c r="Q492" s="239" t="str">
        <f t="shared" ca="1" si="27"/>
        <v/>
      </c>
    </row>
    <row r="493" spans="3:17" ht="15.75" hidden="1" customHeight="1" outlineLevel="1" x14ac:dyDescent="0.25">
      <c r="C493" s="207"/>
      <c r="D493" s="105">
        <v>42456</v>
      </c>
      <c r="E493" s="101" t="s">
        <v>46</v>
      </c>
      <c r="F493" s="216" t="s">
        <v>50</v>
      </c>
      <c r="G493" s="3" t="s">
        <v>56</v>
      </c>
      <c r="H493" s="3" t="s">
        <v>56</v>
      </c>
      <c r="L493" s="255"/>
      <c r="M493" s="151" t="str">
        <f t="shared" si="25"/>
        <v/>
      </c>
      <c r="N493" s="151" t="str">
        <f t="shared" si="26"/>
        <v>/</v>
      </c>
      <c r="O493" s="255"/>
      <c r="P493" s="255"/>
      <c r="Q493" s="239" t="str">
        <f t="shared" ca="1" si="27"/>
        <v/>
      </c>
    </row>
    <row r="494" spans="3:17" ht="15.75" hidden="1" customHeight="1" outlineLevel="1" x14ac:dyDescent="0.25">
      <c r="C494" s="207"/>
      <c r="D494" s="105">
        <v>42459</v>
      </c>
      <c r="E494" s="101" t="s">
        <v>2</v>
      </c>
      <c r="F494" s="216" t="s">
        <v>50</v>
      </c>
      <c r="G494" s="3" t="s">
        <v>56</v>
      </c>
      <c r="H494" s="3" t="s">
        <v>56</v>
      </c>
      <c r="L494" s="255"/>
      <c r="M494" s="151" t="str">
        <f t="shared" si="25"/>
        <v/>
      </c>
      <c r="N494" s="151" t="str">
        <f t="shared" si="26"/>
        <v>/</v>
      </c>
      <c r="O494" s="255"/>
      <c r="P494" s="255"/>
      <c r="Q494" s="239" t="str">
        <f t="shared" ca="1" si="27"/>
        <v/>
      </c>
    </row>
    <row r="495" spans="3:17" ht="15.75" hidden="1" customHeight="1" outlineLevel="1" x14ac:dyDescent="0.25">
      <c r="C495" s="207"/>
      <c r="D495" s="105">
        <v>42460</v>
      </c>
      <c r="E495" s="101" t="s">
        <v>11</v>
      </c>
      <c r="F495" s="216" t="s">
        <v>49</v>
      </c>
      <c r="G495" s="3" t="s">
        <v>56</v>
      </c>
      <c r="H495" s="3" t="s">
        <v>56</v>
      </c>
      <c r="L495" s="255"/>
      <c r="M495" s="151" t="str">
        <f t="shared" si="25"/>
        <v>/</v>
      </c>
      <c r="N495" s="151" t="str">
        <f t="shared" si="26"/>
        <v/>
      </c>
      <c r="O495" s="255"/>
      <c r="P495" s="255"/>
      <c r="Q495" s="239" t="str">
        <f t="shared" ca="1" si="27"/>
        <v/>
      </c>
    </row>
    <row r="496" spans="3:17" ht="15.75" hidden="1" customHeight="1" outlineLevel="1" x14ac:dyDescent="0.25">
      <c r="C496" s="208"/>
      <c r="D496" s="105">
        <v>42462</v>
      </c>
      <c r="E496" s="101" t="s">
        <v>7</v>
      </c>
      <c r="F496" s="216" t="s">
        <v>49</v>
      </c>
      <c r="G496" s="3" t="s">
        <v>56</v>
      </c>
      <c r="H496" s="3" t="s">
        <v>56</v>
      </c>
      <c r="L496" s="255"/>
      <c r="M496" s="151" t="str">
        <f t="shared" si="25"/>
        <v>/</v>
      </c>
      <c r="N496" s="151" t="str">
        <f t="shared" si="26"/>
        <v/>
      </c>
      <c r="O496" s="255"/>
      <c r="P496" s="255"/>
      <c r="Q496" s="239" t="str">
        <f t="shared" ca="1" si="27"/>
        <v/>
      </c>
    </row>
    <row r="497" spans="2:17" ht="15.75" hidden="1" customHeight="1" outlineLevel="1" x14ac:dyDescent="0.25">
      <c r="C497" s="208"/>
      <c r="D497" s="105">
        <v>42464</v>
      </c>
      <c r="E497" s="101" t="s">
        <v>10</v>
      </c>
      <c r="F497" s="216" t="s">
        <v>49</v>
      </c>
      <c r="G497" s="3" t="s">
        <v>56</v>
      </c>
      <c r="H497" s="3" t="s">
        <v>56</v>
      </c>
      <c r="L497" s="255"/>
      <c r="M497" s="151" t="str">
        <f t="shared" si="25"/>
        <v>/</v>
      </c>
      <c r="N497" s="151" t="str">
        <f t="shared" si="26"/>
        <v/>
      </c>
      <c r="O497" s="255"/>
      <c r="P497" s="255"/>
      <c r="Q497" s="239" t="str">
        <f t="shared" ca="1" si="27"/>
        <v/>
      </c>
    </row>
    <row r="498" spans="2:17" ht="15.75" hidden="1" customHeight="1" outlineLevel="1" x14ac:dyDescent="0.25">
      <c r="C498" s="208"/>
      <c r="D498" s="105">
        <v>42465</v>
      </c>
      <c r="E498" s="101" t="s">
        <v>1</v>
      </c>
      <c r="F498" s="216" t="s">
        <v>50</v>
      </c>
      <c r="G498" s="3" t="s">
        <v>56</v>
      </c>
      <c r="H498" s="3" t="s">
        <v>56</v>
      </c>
      <c r="M498" s="151" t="str">
        <f t="shared" si="25"/>
        <v/>
      </c>
      <c r="N498" s="151" t="str">
        <f t="shared" si="26"/>
        <v>/</v>
      </c>
      <c r="O498" s="255"/>
      <c r="P498" s="255"/>
      <c r="Q498" s="239" t="str">
        <f t="shared" ca="1" si="27"/>
        <v/>
      </c>
    </row>
    <row r="499" spans="2:17" ht="15.75" hidden="1" customHeight="1" outlineLevel="1" x14ac:dyDescent="0.25">
      <c r="C499" s="208"/>
      <c r="D499" s="105">
        <v>42467</v>
      </c>
      <c r="E499" s="101" t="s">
        <v>0</v>
      </c>
      <c r="F499" s="216" t="s">
        <v>49</v>
      </c>
      <c r="G499" s="3" t="s">
        <v>56</v>
      </c>
      <c r="H499" s="3" t="s">
        <v>56</v>
      </c>
      <c r="L499" s="255"/>
      <c r="M499" s="151" t="str">
        <f t="shared" si="25"/>
        <v>/</v>
      </c>
      <c r="N499" s="151" t="str">
        <f t="shared" si="26"/>
        <v/>
      </c>
      <c r="O499" s="255"/>
      <c r="P499" s="255"/>
      <c r="Q499" s="239" t="str">
        <f t="shared" ca="1" si="27"/>
        <v/>
      </c>
    </row>
    <row r="500" spans="2:17" ht="15.75" hidden="1" customHeight="1" outlineLevel="1" x14ac:dyDescent="0.25">
      <c r="C500" s="208"/>
      <c r="D500" s="105">
        <v>42469</v>
      </c>
      <c r="E500" s="101" t="s">
        <v>0</v>
      </c>
      <c r="F500" s="216" t="s">
        <v>50</v>
      </c>
      <c r="G500" s="3" t="s">
        <v>56</v>
      </c>
      <c r="H500" s="3" t="s">
        <v>56</v>
      </c>
      <c r="L500" s="255"/>
      <c r="M500" s="151" t="str">
        <f t="shared" si="25"/>
        <v/>
      </c>
      <c r="N500" s="151" t="str">
        <f t="shared" si="26"/>
        <v>/</v>
      </c>
      <c r="O500" s="255"/>
      <c r="P500" s="255"/>
      <c r="Q500" s="239" t="str">
        <f t="shared" ca="1" si="27"/>
        <v/>
      </c>
    </row>
    <row r="501" spans="2:17" ht="15.75" hidden="1" customHeight="1" outlineLevel="1" x14ac:dyDescent="0.25">
      <c r="C501" s="208"/>
      <c r="D501" s="105">
        <v>42470</v>
      </c>
      <c r="E501" s="101" t="s">
        <v>6</v>
      </c>
      <c r="F501" s="216" t="s">
        <v>50</v>
      </c>
      <c r="G501" s="3" t="s">
        <v>56</v>
      </c>
      <c r="H501" s="3" t="s">
        <v>56</v>
      </c>
      <c r="L501" s="255"/>
      <c r="M501" s="151" t="str">
        <f t="shared" si="25"/>
        <v/>
      </c>
      <c r="N501" s="151" t="str">
        <f t="shared" si="26"/>
        <v>/</v>
      </c>
      <c r="O501" s="255"/>
      <c r="P501" s="255"/>
      <c r="Q501" s="239" t="str">
        <f t="shared" ca="1" si="27"/>
        <v/>
      </c>
    </row>
    <row r="502" spans="2:17" ht="15.75" hidden="1" customHeight="1" outlineLevel="1" x14ac:dyDescent="0.25">
      <c r="C502" s="208"/>
      <c r="D502" s="105">
        <v>42472</v>
      </c>
      <c r="E502" s="102" t="s">
        <v>12</v>
      </c>
      <c r="F502" s="217" t="s">
        <v>49</v>
      </c>
      <c r="G502" s="3" t="s">
        <v>56</v>
      </c>
      <c r="H502" s="3" t="s">
        <v>56</v>
      </c>
      <c r="L502" s="255"/>
      <c r="M502" s="151" t="str">
        <f t="shared" si="25"/>
        <v>/</v>
      </c>
      <c r="N502" s="151" t="str">
        <f t="shared" si="26"/>
        <v/>
      </c>
      <c r="O502" s="255"/>
      <c r="P502" s="255"/>
      <c r="Q502" s="239" t="str">
        <f t="shared" ca="1" si="27"/>
        <v/>
      </c>
    </row>
    <row r="503" spans="2:17" ht="17.25" customHeight="1" collapsed="1" x14ac:dyDescent="0.25">
      <c r="B503" s="404" t="str">
        <f ca="1">"- "&amp;INDEX(E504:E585,MATCH(TODAY(),D504:D585,0))</f>
        <v>- Orlando</v>
      </c>
      <c r="C503" s="404"/>
      <c r="D503" s="406" t="s">
        <v>5</v>
      </c>
      <c r="E503" s="407"/>
      <c r="F503" s="408"/>
      <c r="H503" s="3"/>
      <c r="O503" s="255"/>
      <c r="P503" s="255"/>
      <c r="Q503" s="239" t="str">
        <f t="shared" ca="1" si="27"/>
        <v/>
      </c>
    </row>
    <row r="504" spans="2:17" ht="16.5" hidden="1" customHeight="1" outlineLevel="1" x14ac:dyDescent="0.25">
      <c r="C504" s="207"/>
      <c r="D504" s="195">
        <v>42669</v>
      </c>
      <c r="E504" s="103" t="s">
        <v>12</v>
      </c>
      <c r="F504" s="215" t="s">
        <v>50</v>
      </c>
      <c r="G504" s="3">
        <v>0</v>
      </c>
      <c r="H504" s="3">
        <v>91</v>
      </c>
      <c r="I504" s="151">
        <v>18</v>
      </c>
      <c r="J504" s="151">
        <v>50</v>
      </c>
      <c r="K504" s="151">
        <v>77</v>
      </c>
      <c r="L504" s="255">
        <v>42</v>
      </c>
      <c r="M504" s="151" t="str">
        <f t="shared" si="25"/>
        <v/>
      </c>
      <c r="N504" s="151">
        <f t="shared" si="26"/>
        <v>91</v>
      </c>
      <c r="O504" s="255"/>
      <c r="P504" s="255">
        <v>109</v>
      </c>
      <c r="Q504" s="239" t="str">
        <f t="shared" ca="1" si="27"/>
        <v/>
      </c>
    </row>
    <row r="505" spans="2:17" ht="15.75" hidden="1" customHeight="1" outlineLevel="1" x14ac:dyDescent="0.25">
      <c r="C505" s="207"/>
      <c r="D505" s="195">
        <v>42671</v>
      </c>
      <c r="E505" s="101" t="s">
        <v>10</v>
      </c>
      <c r="F505" s="216" t="s">
        <v>49</v>
      </c>
      <c r="G505" s="3" t="s">
        <v>56</v>
      </c>
      <c r="H505" s="3" t="s">
        <v>56</v>
      </c>
      <c r="L505" s="255"/>
      <c r="M505" s="151" t="str">
        <f t="shared" si="25"/>
        <v>/</v>
      </c>
      <c r="N505" s="151" t="str">
        <f t="shared" si="26"/>
        <v/>
      </c>
      <c r="O505" s="255"/>
      <c r="P505" s="255"/>
      <c r="Q505" s="239">
        <f t="shared" ca="1" si="27"/>
        <v>1</v>
      </c>
    </row>
    <row r="506" spans="2:17" ht="15.75" hidden="1" customHeight="1" outlineLevel="1" x14ac:dyDescent="0.25">
      <c r="C506" s="207"/>
      <c r="D506" s="195">
        <v>42673</v>
      </c>
      <c r="E506" s="101" t="s">
        <v>8</v>
      </c>
      <c r="F506" s="216" t="s">
        <v>49</v>
      </c>
      <c r="G506" s="3" t="s">
        <v>56</v>
      </c>
      <c r="H506" s="3" t="s">
        <v>56</v>
      </c>
      <c r="L506" s="255"/>
      <c r="M506" s="151" t="str">
        <f t="shared" si="25"/>
        <v>/</v>
      </c>
      <c r="N506" s="151" t="str">
        <f t="shared" si="26"/>
        <v/>
      </c>
      <c r="O506" s="255"/>
      <c r="P506" s="255"/>
      <c r="Q506" s="239" t="str">
        <f t="shared" ca="1" si="27"/>
        <v/>
      </c>
    </row>
    <row r="507" spans="2:17" ht="15.75" hidden="1" customHeight="1" outlineLevel="1" x14ac:dyDescent="0.25">
      <c r="C507" s="207"/>
      <c r="D507" s="195">
        <v>42675</v>
      </c>
      <c r="E507" s="101" t="s">
        <v>9</v>
      </c>
      <c r="F507" s="216" t="s">
        <v>49</v>
      </c>
      <c r="G507" s="3" t="s">
        <v>56</v>
      </c>
      <c r="H507" s="3" t="s">
        <v>56</v>
      </c>
      <c r="L507" s="255"/>
      <c r="M507" s="151" t="str">
        <f t="shared" si="25"/>
        <v>/</v>
      </c>
      <c r="N507" s="151" t="str">
        <f t="shared" si="26"/>
        <v/>
      </c>
      <c r="O507" s="255"/>
      <c r="P507" s="255"/>
      <c r="Q507" s="239" t="str">
        <f t="shared" ca="1" si="27"/>
        <v/>
      </c>
    </row>
    <row r="508" spans="2:17" ht="15.75" hidden="1" customHeight="1" outlineLevel="1" x14ac:dyDescent="0.25">
      <c r="C508" s="207"/>
      <c r="D508" s="195">
        <v>42676</v>
      </c>
      <c r="E508" s="101" t="s">
        <v>45</v>
      </c>
      <c r="F508" s="216" t="s">
        <v>50</v>
      </c>
      <c r="G508" s="3" t="s">
        <v>56</v>
      </c>
      <c r="H508" s="3" t="s">
        <v>56</v>
      </c>
      <c r="L508" s="255"/>
      <c r="M508" s="151" t="str">
        <f t="shared" si="25"/>
        <v/>
      </c>
      <c r="N508" s="151" t="str">
        <f t="shared" si="26"/>
        <v>/</v>
      </c>
      <c r="O508" s="255"/>
      <c r="P508" s="255"/>
      <c r="Q508" s="239" t="str">
        <f t="shared" ca="1" si="27"/>
        <v/>
      </c>
    </row>
    <row r="509" spans="2:17" ht="15.75" hidden="1" customHeight="1" outlineLevel="1" x14ac:dyDescent="0.25">
      <c r="C509" s="207"/>
      <c r="D509" s="195">
        <v>42679</v>
      </c>
      <c r="E509" s="101" t="s">
        <v>15</v>
      </c>
      <c r="F509" s="216" t="s">
        <v>49</v>
      </c>
      <c r="G509" s="3" t="s">
        <v>56</v>
      </c>
      <c r="H509" s="3" t="s">
        <v>56</v>
      </c>
      <c r="L509" s="255"/>
      <c r="M509" s="151" t="str">
        <f t="shared" si="25"/>
        <v>/</v>
      </c>
      <c r="N509" s="151" t="str">
        <f t="shared" si="26"/>
        <v/>
      </c>
      <c r="O509" s="255"/>
      <c r="P509" s="255"/>
      <c r="Q509" s="239" t="str">
        <f t="shared" ca="1" si="27"/>
        <v/>
      </c>
    </row>
    <row r="510" spans="2:17" ht="15.75" hidden="1" customHeight="1" outlineLevel="1" x14ac:dyDescent="0.25">
      <c r="C510" s="207"/>
      <c r="D510" s="195">
        <v>42681</v>
      </c>
      <c r="E510" s="101" t="s">
        <v>18</v>
      </c>
      <c r="F510" s="216" t="s">
        <v>50</v>
      </c>
      <c r="G510" s="3" t="s">
        <v>56</v>
      </c>
      <c r="H510" s="3" t="s">
        <v>56</v>
      </c>
      <c r="L510" s="255"/>
      <c r="M510" s="151" t="str">
        <f t="shared" si="25"/>
        <v/>
      </c>
      <c r="N510" s="151" t="str">
        <f t="shared" si="26"/>
        <v>/</v>
      </c>
      <c r="O510" s="255"/>
      <c r="P510" s="255"/>
      <c r="Q510" s="239" t="str">
        <f t="shared" ca="1" si="27"/>
        <v/>
      </c>
    </row>
    <row r="511" spans="2:17" ht="15.75" hidden="1" customHeight="1" outlineLevel="1" x14ac:dyDescent="0.25">
      <c r="C511" s="207"/>
      <c r="D511" s="195">
        <v>42683</v>
      </c>
      <c r="E511" s="101" t="s">
        <v>11</v>
      </c>
      <c r="F511" s="216" t="s">
        <v>50</v>
      </c>
      <c r="G511" s="3" t="s">
        <v>56</v>
      </c>
      <c r="H511" s="3" t="s">
        <v>56</v>
      </c>
      <c r="L511" s="255"/>
      <c r="M511" s="151" t="str">
        <f t="shared" si="25"/>
        <v/>
      </c>
      <c r="N511" s="151" t="str">
        <f t="shared" si="26"/>
        <v>/</v>
      </c>
      <c r="O511" s="255"/>
      <c r="P511" s="255"/>
      <c r="Q511" s="239" t="str">
        <f t="shared" ca="1" si="27"/>
        <v/>
      </c>
    </row>
    <row r="512" spans="2:17" ht="15.75" hidden="1" customHeight="1" outlineLevel="1" x14ac:dyDescent="0.25">
      <c r="C512" s="207"/>
      <c r="D512" s="195">
        <v>42685</v>
      </c>
      <c r="E512" s="101" t="s">
        <v>46</v>
      </c>
      <c r="F512" s="216" t="s">
        <v>50</v>
      </c>
      <c r="G512" s="3" t="s">
        <v>56</v>
      </c>
      <c r="H512" s="3" t="s">
        <v>56</v>
      </c>
      <c r="L512" s="255"/>
      <c r="M512" s="151" t="str">
        <f t="shared" si="25"/>
        <v/>
      </c>
      <c r="N512" s="151" t="str">
        <f t="shared" si="26"/>
        <v>/</v>
      </c>
      <c r="O512" s="255"/>
      <c r="P512" s="255"/>
      <c r="Q512" s="239" t="str">
        <f t="shared" ca="1" si="27"/>
        <v/>
      </c>
    </row>
    <row r="513" spans="3:17" ht="15.75" hidden="1" customHeight="1" outlineLevel="1" x14ac:dyDescent="0.25">
      <c r="C513" s="207"/>
      <c r="D513" s="195">
        <v>42686</v>
      </c>
      <c r="E513" s="101" t="s">
        <v>15</v>
      </c>
      <c r="F513" s="216" t="s">
        <v>50</v>
      </c>
      <c r="G513" s="3" t="s">
        <v>56</v>
      </c>
      <c r="H513" s="3" t="s">
        <v>56</v>
      </c>
      <c r="L513" s="255"/>
      <c r="M513" s="151" t="str">
        <f t="shared" si="25"/>
        <v/>
      </c>
      <c r="N513" s="151" t="str">
        <f t="shared" si="26"/>
        <v>/</v>
      </c>
      <c r="O513" s="255"/>
      <c r="P513" s="255"/>
      <c r="Q513" s="239" t="str">
        <f t="shared" ca="1" si="27"/>
        <v/>
      </c>
    </row>
    <row r="514" spans="3:17" ht="15.75" hidden="1" customHeight="1" outlineLevel="1" x14ac:dyDescent="0.25">
      <c r="C514" s="207"/>
      <c r="D514" s="195">
        <v>42688</v>
      </c>
      <c r="E514" s="101" t="s">
        <v>23</v>
      </c>
      <c r="F514" s="216" t="s">
        <v>49</v>
      </c>
      <c r="G514" s="3" t="s">
        <v>56</v>
      </c>
      <c r="H514" s="3" t="s">
        <v>56</v>
      </c>
      <c r="L514" s="255"/>
      <c r="M514" s="151" t="str">
        <f t="shared" si="25"/>
        <v>/</v>
      </c>
      <c r="N514" s="151" t="str">
        <f t="shared" si="26"/>
        <v/>
      </c>
      <c r="O514" s="255"/>
      <c r="P514" s="255"/>
      <c r="Q514" s="239" t="str">
        <f t="shared" ca="1" si="27"/>
        <v/>
      </c>
    </row>
    <row r="515" spans="3:17" ht="15.75" hidden="1" customHeight="1" outlineLevel="1" x14ac:dyDescent="0.25">
      <c r="C515" s="207"/>
      <c r="D515" s="195">
        <v>42690</v>
      </c>
      <c r="E515" s="101" t="s">
        <v>9</v>
      </c>
      <c r="F515" s="216" t="s">
        <v>50</v>
      </c>
      <c r="G515" s="3" t="s">
        <v>56</v>
      </c>
      <c r="H515" s="3" t="s">
        <v>56</v>
      </c>
      <c r="L515" s="255"/>
      <c r="M515" s="151" t="str">
        <f t="shared" si="25"/>
        <v/>
      </c>
      <c r="N515" s="151" t="str">
        <f t="shared" si="26"/>
        <v>/</v>
      </c>
      <c r="O515" s="255"/>
      <c r="P515" s="255"/>
      <c r="Q515" s="239" t="str">
        <f t="shared" ca="1" si="27"/>
        <v/>
      </c>
    </row>
    <row r="516" spans="3:17" ht="15.75" hidden="1" customHeight="1" outlineLevel="1" x14ac:dyDescent="0.25">
      <c r="C516" s="207"/>
      <c r="D516" s="195">
        <v>42692</v>
      </c>
      <c r="E516" s="101" t="s">
        <v>4</v>
      </c>
      <c r="F516" s="216" t="s">
        <v>50</v>
      </c>
      <c r="G516" s="3" t="s">
        <v>56</v>
      </c>
      <c r="H516" s="3" t="s">
        <v>56</v>
      </c>
      <c r="L516" s="255"/>
      <c r="M516" s="151" t="str">
        <f t="shared" si="25"/>
        <v/>
      </c>
      <c r="N516" s="151" t="str">
        <f t="shared" si="26"/>
        <v>/</v>
      </c>
      <c r="O516" s="255"/>
      <c r="P516" s="255"/>
      <c r="Q516" s="239" t="str">
        <f t="shared" ca="1" si="27"/>
        <v/>
      </c>
    </row>
    <row r="517" spans="3:17" ht="15.75" hidden="1" customHeight="1" outlineLevel="1" x14ac:dyDescent="0.25">
      <c r="C517" s="207"/>
      <c r="D517" s="195">
        <v>42693</v>
      </c>
      <c r="E517" s="101" t="s">
        <v>1</v>
      </c>
      <c r="F517" s="216" t="s">
        <v>49</v>
      </c>
      <c r="G517" s="3" t="s">
        <v>56</v>
      </c>
      <c r="H517" s="3" t="s">
        <v>56</v>
      </c>
      <c r="L517" s="255"/>
      <c r="M517" s="151" t="str">
        <f t="shared" si="25"/>
        <v>/</v>
      </c>
      <c r="N517" s="151" t="str">
        <f t="shared" si="26"/>
        <v/>
      </c>
      <c r="O517" s="255"/>
      <c r="P517" s="255"/>
      <c r="Q517" s="239" t="str">
        <f t="shared" ca="1" si="27"/>
        <v/>
      </c>
    </row>
    <row r="518" spans="3:17" ht="15.75" hidden="1" customHeight="1" outlineLevel="1" x14ac:dyDescent="0.25">
      <c r="C518" s="207"/>
      <c r="D518" s="195">
        <v>42695</v>
      </c>
      <c r="E518" s="101" t="s">
        <v>17</v>
      </c>
      <c r="F518" s="216" t="s">
        <v>49</v>
      </c>
      <c r="G518" s="3" t="s">
        <v>56</v>
      </c>
      <c r="H518" s="3" t="s">
        <v>56</v>
      </c>
      <c r="L518" s="255"/>
      <c r="M518" s="151" t="str">
        <f t="shared" si="25"/>
        <v>/</v>
      </c>
      <c r="N518" s="151" t="str">
        <f t="shared" si="26"/>
        <v/>
      </c>
      <c r="O518" s="255"/>
      <c r="P518" s="255"/>
      <c r="Q518" s="239" t="str">
        <f t="shared" ca="1" si="27"/>
        <v/>
      </c>
    </row>
    <row r="519" spans="3:17" ht="15.75" hidden="1" customHeight="1" outlineLevel="1" x14ac:dyDescent="0.25">
      <c r="C519" s="207"/>
      <c r="D519" s="195">
        <v>42697</v>
      </c>
      <c r="E519" s="101" t="s">
        <v>6</v>
      </c>
      <c r="F519" s="216" t="s">
        <v>49</v>
      </c>
      <c r="G519" s="3" t="s">
        <v>56</v>
      </c>
      <c r="H519" s="3" t="s">
        <v>56</v>
      </c>
      <c r="L519" s="255"/>
      <c r="M519" s="151" t="str">
        <f t="shared" ref="M519:M582" si="28">IF(F519="D",H519,"")</f>
        <v>/</v>
      </c>
      <c r="N519" s="151" t="str">
        <f t="shared" ref="N519:N582" si="29">IF(F519="E",H519,"")</f>
        <v/>
      </c>
      <c r="O519" s="255"/>
      <c r="P519" s="255"/>
      <c r="Q519" s="239" t="str">
        <f t="shared" ca="1" si="27"/>
        <v/>
      </c>
    </row>
    <row r="520" spans="3:17" ht="15.75" hidden="1" customHeight="1" outlineLevel="1" x14ac:dyDescent="0.25">
      <c r="C520" s="207"/>
      <c r="D520" s="195">
        <v>42699</v>
      </c>
      <c r="E520" s="101" t="s">
        <v>18</v>
      </c>
      <c r="F520" s="216" t="s">
        <v>49</v>
      </c>
      <c r="G520" s="3" t="s">
        <v>56</v>
      </c>
      <c r="H520" s="3" t="s">
        <v>56</v>
      </c>
      <c r="L520" s="255"/>
      <c r="M520" s="151" t="str">
        <f t="shared" si="28"/>
        <v>/</v>
      </c>
      <c r="N520" s="151" t="str">
        <f t="shared" si="29"/>
        <v/>
      </c>
      <c r="O520" s="255"/>
      <c r="P520" s="255"/>
      <c r="Q520" s="239" t="str">
        <f t="shared" ca="1" si="27"/>
        <v/>
      </c>
    </row>
    <row r="521" spans="3:17" ht="15.75" hidden="1" customHeight="1" outlineLevel="1" x14ac:dyDescent="0.25">
      <c r="C521" s="207"/>
      <c r="D521" s="195">
        <v>42700</v>
      </c>
      <c r="E521" s="101" t="s">
        <v>23</v>
      </c>
      <c r="F521" s="216" t="s">
        <v>50</v>
      </c>
      <c r="G521" s="3" t="s">
        <v>56</v>
      </c>
      <c r="H521" s="3" t="s">
        <v>56</v>
      </c>
      <c r="L521" s="255"/>
      <c r="M521" s="151" t="str">
        <f t="shared" si="28"/>
        <v/>
      </c>
      <c r="N521" s="151" t="str">
        <f t="shared" si="29"/>
        <v>/</v>
      </c>
      <c r="O521" s="255"/>
      <c r="P521" s="255"/>
      <c r="Q521" s="239" t="str">
        <f t="shared" ca="1" si="27"/>
        <v/>
      </c>
    </row>
    <row r="522" spans="3:17" ht="15.75" hidden="1" customHeight="1" outlineLevel="1" x14ac:dyDescent="0.25">
      <c r="C522" s="207"/>
      <c r="D522" s="195">
        <v>42703</v>
      </c>
      <c r="E522" s="101" t="s">
        <v>3</v>
      </c>
      <c r="F522" s="216" t="s">
        <v>50</v>
      </c>
      <c r="G522" s="3" t="s">
        <v>56</v>
      </c>
      <c r="H522" s="3" t="s">
        <v>56</v>
      </c>
      <c r="L522" s="255"/>
      <c r="M522" s="151" t="str">
        <f t="shared" si="28"/>
        <v/>
      </c>
      <c r="N522" s="151" t="str">
        <f t="shared" si="29"/>
        <v>/</v>
      </c>
      <c r="O522" s="255"/>
      <c r="P522" s="255"/>
      <c r="Q522" s="239" t="str">
        <f t="shared" ca="1" si="27"/>
        <v/>
      </c>
    </row>
    <row r="523" spans="3:17" ht="15.75" hidden="1" customHeight="1" outlineLevel="1" x14ac:dyDescent="0.25">
      <c r="C523" s="207"/>
      <c r="D523" s="195">
        <v>42704</v>
      </c>
      <c r="E523" s="101" t="s">
        <v>1</v>
      </c>
      <c r="F523" s="216" t="s">
        <v>50</v>
      </c>
      <c r="G523" s="3" t="s">
        <v>56</v>
      </c>
      <c r="H523" s="3" t="s">
        <v>56</v>
      </c>
      <c r="L523" s="255"/>
      <c r="M523" s="151" t="str">
        <f t="shared" si="28"/>
        <v/>
      </c>
      <c r="N523" s="151" t="str">
        <f t="shared" si="29"/>
        <v>/</v>
      </c>
      <c r="O523" s="255"/>
      <c r="P523" s="255"/>
      <c r="Q523" s="239" t="str">
        <f t="shared" ca="1" si="27"/>
        <v/>
      </c>
    </row>
    <row r="524" spans="3:17" ht="15.75" hidden="1" customHeight="1" outlineLevel="1" x14ac:dyDescent="0.25">
      <c r="C524" s="208"/>
      <c r="D524" s="195">
        <v>42706</v>
      </c>
      <c r="E524" s="101" t="s">
        <v>0</v>
      </c>
      <c r="F524" s="216" t="s">
        <v>50</v>
      </c>
      <c r="G524" s="3" t="s">
        <v>56</v>
      </c>
      <c r="H524" s="3" t="s">
        <v>56</v>
      </c>
      <c r="L524" s="255"/>
      <c r="M524" s="151" t="str">
        <f t="shared" si="28"/>
        <v/>
      </c>
      <c r="N524" s="151" t="str">
        <f t="shared" si="29"/>
        <v>/</v>
      </c>
      <c r="O524" s="255"/>
      <c r="P524" s="255"/>
      <c r="Q524" s="239" t="str">
        <f t="shared" ca="1" si="27"/>
        <v/>
      </c>
    </row>
    <row r="525" spans="3:17" ht="15.75" hidden="1" customHeight="1" outlineLevel="1" x14ac:dyDescent="0.25">
      <c r="C525" s="208"/>
      <c r="D525" s="195">
        <v>42708</v>
      </c>
      <c r="E525" s="101" t="s">
        <v>10</v>
      </c>
      <c r="F525" s="216" t="s">
        <v>49</v>
      </c>
      <c r="G525" s="3" t="s">
        <v>56</v>
      </c>
      <c r="H525" s="3" t="s">
        <v>56</v>
      </c>
      <c r="L525" s="255"/>
      <c r="M525" s="151" t="str">
        <f t="shared" si="28"/>
        <v>/</v>
      </c>
      <c r="N525" s="151" t="str">
        <f t="shared" si="29"/>
        <v/>
      </c>
      <c r="O525" s="255"/>
      <c r="P525" s="255"/>
      <c r="Q525" s="239" t="str">
        <f t="shared" ca="1" si="27"/>
        <v/>
      </c>
    </row>
    <row r="526" spans="3:17" ht="15.75" hidden="1" customHeight="1" outlineLevel="1" x14ac:dyDescent="0.25">
      <c r="C526" s="208"/>
      <c r="D526" s="195">
        <v>42710</v>
      </c>
      <c r="E526" s="101" t="s">
        <v>2</v>
      </c>
      <c r="F526" s="216" t="s">
        <v>49</v>
      </c>
      <c r="G526" s="3" t="s">
        <v>56</v>
      </c>
      <c r="H526" s="3" t="s">
        <v>56</v>
      </c>
      <c r="L526" s="255"/>
      <c r="M526" s="151" t="str">
        <f t="shared" si="28"/>
        <v>/</v>
      </c>
      <c r="N526" s="151" t="str">
        <f t="shared" si="29"/>
        <v/>
      </c>
      <c r="O526" s="255"/>
      <c r="P526" s="255"/>
      <c r="Q526" s="239" t="str">
        <f t="shared" ca="1" si="27"/>
        <v/>
      </c>
    </row>
    <row r="527" spans="3:17" ht="15.75" hidden="1" customHeight="1" outlineLevel="1" x14ac:dyDescent="0.25">
      <c r="C527" s="208"/>
      <c r="D527" s="195">
        <v>42711</v>
      </c>
      <c r="E527" s="101" t="s">
        <v>3</v>
      </c>
      <c r="F527" s="216" t="s">
        <v>50</v>
      </c>
      <c r="G527" s="3" t="s">
        <v>56</v>
      </c>
      <c r="H527" s="3" t="s">
        <v>56</v>
      </c>
      <c r="L527" s="255"/>
      <c r="M527" s="151" t="str">
        <f t="shared" si="28"/>
        <v/>
      </c>
      <c r="N527" s="151" t="str">
        <f t="shared" si="29"/>
        <v>/</v>
      </c>
      <c r="O527" s="255"/>
      <c r="P527" s="255"/>
      <c r="Q527" s="239" t="str">
        <f t="shared" ca="1" si="27"/>
        <v/>
      </c>
    </row>
    <row r="528" spans="3:17" ht="15.75" hidden="1" customHeight="1" outlineLevel="1" x14ac:dyDescent="0.25">
      <c r="C528" s="208"/>
      <c r="D528" s="195">
        <v>42713</v>
      </c>
      <c r="E528" s="101" t="s">
        <v>21</v>
      </c>
      <c r="F528" s="216" t="s">
        <v>50</v>
      </c>
      <c r="G528" s="3" t="s">
        <v>56</v>
      </c>
      <c r="H528" s="3" t="s">
        <v>56</v>
      </c>
      <c r="L528" s="255"/>
      <c r="M528" s="151" t="str">
        <f t="shared" si="28"/>
        <v/>
      </c>
      <c r="N528" s="151" t="str">
        <f t="shared" si="29"/>
        <v>/</v>
      </c>
      <c r="O528" s="255"/>
      <c r="P528" s="255"/>
      <c r="Q528" s="239" t="str">
        <f t="shared" ca="1" si="27"/>
        <v/>
      </c>
    </row>
    <row r="529" spans="3:17" ht="15.75" hidden="1" customHeight="1" outlineLevel="1" x14ac:dyDescent="0.25">
      <c r="C529" s="208"/>
      <c r="D529" s="195">
        <v>42715</v>
      </c>
      <c r="E529" s="101" t="s">
        <v>11</v>
      </c>
      <c r="F529" s="216" t="s">
        <v>49</v>
      </c>
      <c r="G529" s="3" t="s">
        <v>56</v>
      </c>
      <c r="H529" s="3" t="s">
        <v>56</v>
      </c>
      <c r="L529" s="255"/>
      <c r="M529" s="151" t="str">
        <f t="shared" si="28"/>
        <v>/</v>
      </c>
      <c r="N529" s="151" t="str">
        <f t="shared" si="29"/>
        <v/>
      </c>
      <c r="O529" s="255"/>
      <c r="P529" s="255"/>
      <c r="Q529" s="239" t="str">
        <f t="shared" ca="1" si="27"/>
        <v/>
      </c>
    </row>
    <row r="530" spans="3:17" ht="15.75" hidden="1" customHeight="1" outlineLevel="1" x14ac:dyDescent="0.25">
      <c r="C530" s="208"/>
      <c r="D530" s="195">
        <v>42718</v>
      </c>
      <c r="E530" s="101" t="s">
        <v>14</v>
      </c>
      <c r="F530" s="216" t="s">
        <v>50</v>
      </c>
      <c r="G530" s="3" t="s">
        <v>56</v>
      </c>
      <c r="H530" s="3" t="s">
        <v>56</v>
      </c>
      <c r="L530" s="255"/>
      <c r="M530" s="151" t="str">
        <f t="shared" si="28"/>
        <v/>
      </c>
      <c r="N530" s="151" t="str">
        <f t="shared" si="29"/>
        <v>/</v>
      </c>
      <c r="O530" s="255"/>
      <c r="P530" s="255"/>
      <c r="Q530" s="239" t="str">
        <f t="shared" ca="1" si="27"/>
        <v/>
      </c>
    </row>
    <row r="531" spans="3:17" ht="15.75" hidden="1" customHeight="1" outlineLevel="1" x14ac:dyDescent="0.25">
      <c r="C531" s="208"/>
      <c r="D531" s="195">
        <v>42720</v>
      </c>
      <c r="E531" s="101" t="s">
        <v>13</v>
      </c>
      <c r="F531" s="216" t="s">
        <v>50</v>
      </c>
      <c r="G531" s="3" t="s">
        <v>56</v>
      </c>
      <c r="H531" s="3" t="s">
        <v>56</v>
      </c>
      <c r="L531" s="255"/>
      <c r="M531" s="151" t="str">
        <f t="shared" si="28"/>
        <v/>
      </c>
      <c r="N531" s="151" t="str">
        <f t="shared" si="29"/>
        <v>/</v>
      </c>
      <c r="O531" s="255"/>
      <c r="P531" s="255"/>
      <c r="Q531" s="239" t="str">
        <f t="shared" ca="1" si="27"/>
        <v/>
      </c>
    </row>
    <row r="532" spans="3:17" ht="15.75" hidden="1" customHeight="1" outlineLevel="1" x14ac:dyDescent="0.25">
      <c r="C532" s="208"/>
      <c r="D532" s="195">
        <v>42721</v>
      </c>
      <c r="E532" s="101" t="s">
        <v>7</v>
      </c>
      <c r="F532" s="216" t="s">
        <v>49</v>
      </c>
      <c r="G532" s="3" t="s">
        <v>56</v>
      </c>
      <c r="H532" s="3" t="s">
        <v>56</v>
      </c>
      <c r="L532" s="255"/>
      <c r="M532" s="151" t="str">
        <f t="shared" si="28"/>
        <v>/</v>
      </c>
      <c r="N532" s="151" t="str">
        <f t="shared" si="29"/>
        <v/>
      </c>
      <c r="O532" s="255"/>
      <c r="P532" s="255"/>
      <c r="Q532" s="239" t="str">
        <f t="shared" ca="1" si="27"/>
        <v/>
      </c>
    </row>
    <row r="533" spans="3:17" ht="15.75" hidden="1" customHeight="1" outlineLevel="1" x14ac:dyDescent="0.25">
      <c r="C533" s="208"/>
      <c r="D533" s="195">
        <v>42723</v>
      </c>
      <c r="E533" s="101" t="s">
        <v>2</v>
      </c>
      <c r="F533" s="216" t="s">
        <v>50</v>
      </c>
      <c r="G533" s="3" t="s">
        <v>56</v>
      </c>
      <c r="H533" s="3" t="s">
        <v>56</v>
      </c>
      <c r="L533" s="255"/>
      <c r="M533" s="151" t="str">
        <f t="shared" si="28"/>
        <v/>
      </c>
      <c r="N533" s="151" t="str">
        <f t="shared" si="29"/>
        <v>/</v>
      </c>
      <c r="O533" s="255"/>
      <c r="P533" s="255"/>
      <c r="Q533" s="239" t="str">
        <f t="shared" ca="1" si="27"/>
        <v/>
      </c>
    </row>
    <row r="534" spans="3:17" ht="15.75" hidden="1" customHeight="1" outlineLevel="1" x14ac:dyDescent="0.25">
      <c r="C534" s="208"/>
      <c r="D534" s="195">
        <v>42725</v>
      </c>
      <c r="E534" s="101" t="s">
        <v>20</v>
      </c>
      <c r="F534" s="216" t="s">
        <v>49</v>
      </c>
      <c r="G534" s="3" t="s">
        <v>56</v>
      </c>
      <c r="H534" s="3" t="s">
        <v>56</v>
      </c>
      <c r="L534" s="255"/>
      <c r="M534" s="151" t="str">
        <f t="shared" si="28"/>
        <v>/</v>
      </c>
      <c r="N534" s="151" t="str">
        <f t="shared" si="29"/>
        <v/>
      </c>
      <c r="O534" s="255"/>
      <c r="P534" s="255"/>
      <c r="Q534" s="239" t="str">
        <f t="shared" ca="1" si="27"/>
        <v/>
      </c>
    </row>
    <row r="535" spans="3:17" ht="15.75" hidden="1" customHeight="1" outlineLevel="1" x14ac:dyDescent="0.25">
      <c r="C535" s="208"/>
      <c r="D535" s="195">
        <v>42727</v>
      </c>
      <c r="E535" s="101" t="s">
        <v>16</v>
      </c>
      <c r="F535" s="216" t="s">
        <v>49</v>
      </c>
      <c r="G535" s="3" t="s">
        <v>56</v>
      </c>
      <c r="H535" s="3" t="s">
        <v>56</v>
      </c>
      <c r="L535" s="255"/>
      <c r="M535" s="151" t="str">
        <f t="shared" si="28"/>
        <v>/</v>
      </c>
      <c r="N535" s="151" t="str">
        <f t="shared" si="29"/>
        <v/>
      </c>
      <c r="O535" s="255"/>
      <c r="P535" s="255"/>
      <c r="Q535" s="239" t="str">
        <f t="shared" ca="1" si="27"/>
        <v/>
      </c>
    </row>
    <row r="536" spans="3:17" ht="15.75" hidden="1" customHeight="1" outlineLevel="1" x14ac:dyDescent="0.25">
      <c r="C536" s="208"/>
      <c r="D536" s="195">
        <v>42730</v>
      </c>
      <c r="E536" s="101" t="s">
        <v>4</v>
      </c>
      <c r="F536" s="216" t="s">
        <v>49</v>
      </c>
      <c r="G536" s="3" t="s">
        <v>56</v>
      </c>
      <c r="H536" s="3" t="s">
        <v>56</v>
      </c>
      <c r="L536" s="255"/>
      <c r="M536" s="151" t="str">
        <f t="shared" si="28"/>
        <v>/</v>
      </c>
      <c r="N536" s="151" t="str">
        <f t="shared" si="29"/>
        <v/>
      </c>
      <c r="O536" s="255"/>
      <c r="P536" s="255"/>
      <c r="Q536" s="239" t="str">
        <f t="shared" ca="1" si="27"/>
        <v/>
      </c>
    </row>
    <row r="537" spans="3:17" ht="15.75" hidden="1" customHeight="1" outlineLevel="1" x14ac:dyDescent="0.25">
      <c r="C537" s="208"/>
      <c r="D537" s="195">
        <v>42732</v>
      </c>
      <c r="E537" s="101" t="s">
        <v>8</v>
      </c>
      <c r="F537" s="216" t="s">
        <v>49</v>
      </c>
      <c r="G537" s="3" t="s">
        <v>56</v>
      </c>
      <c r="H537" s="3" t="s">
        <v>56</v>
      </c>
      <c r="L537" s="255"/>
      <c r="M537" s="151" t="str">
        <f t="shared" si="28"/>
        <v>/</v>
      </c>
      <c r="N537" s="151" t="str">
        <f t="shared" si="29"/>
        <v/>
      </c>
      <c r="O537" s="255"/>
      <c r="P537" s="255"/>
      <c r="Q537" s="239" t="str">
        <f t="shared" ca="1" si="27"/>
        <v/>
      </c>
    </row>
    <row r="538" spans="3:17" ht="15.75" hidden="1" customHeight="1" outlineLevel="1" x14ac:dyDescent="0.25">
      <c r="C538" s="208"/>
      <c r="D538" s="195">
        <v>42734</v>
      </c>
      <c r="E538" s="101" t="s">
        <v>0</v>
      </c>
      <c r="F538" s="216" t="s">
        <v>50</v>
      </c>
      <c r="G538" s="3" t="s">
        <v>56</v>
      </c>
      <c r="H538" s="3" t="s">
        <v>56</v>
      </c>
      <c r="L538" s="255"/>
      <c r="M538" s="151" t="str">
        <f t="shared" si="28"/>
        <v/>
      </c>
      <c r="N538" s="151" t="str">
        <f t="shared" si="29"/>
        <v>/</v>
      </c>
      <c r="O538" s="255"/>
      <c r="P538" s="255"/>
      <c r="Q538" s="239" t="str">
        <f t="shared" ca="1" si="27"/>
        <v/>
      </c>
    </row>
    <row r="539" spans="3:17" ht="15.75" hidden="1" customHeight="1" outlineLevel="1" x14ac:dyDescent="0.25">
      <c r="C539" s="207"/>
      <c r="D539" s="195">
        <v>42370</v>
      </c>
      <c r="E539" s="101" t="s">
        <v>6</v>
      </c>
      <c r="F539" s="216" t="s">
        <v>50</v>
      </c>
      <c r="G539" s="3" t="s">
        <v>56</v>
      </c>
      <c r="H539" s="3" t="s">
        <v>56</v>
      </c>
      <c r="L539" s="255"/>
      <c r="M539" s="151" t="str">
        <f t="shared" si="28"/>
        <v/>
      </c>
      <c r="N539" s="151" t="str">
        <f t="shared" si="29"/>
        <v>/</v>
      </c>
      <c r="O539" s="255"/>
      <c r="P539" s="255"/>
      <c r="Q539" s="239" t="str">
        <f t="shared" ca="1" si="27"/>
        <v/>
      </c>
    </row>
    <row r="540" spans="3:17" ht="15.75" hidden="1" customHeight="1" outlineLevel="1" x14ac:dyDescent="0.25">
      <c r="C540" s="207"/>
      <c r="D540" s="195">
        <v>42372</v>
      </c>
      <c r="E540" s="101" t="s">
        <v>7</v>
      </c>
      <c r="F540" s="216" t="s">
        <v>49</v>
      </c>
      <c r="G540" s="3" t="s">
        <v>56</v>
      </c>
      <c r="H540" s="3" t="s">
        <v>56</v>
      </c>
      <c r="L540" s="255"/>
      <c r="M540" s="151" t="str">
        <f t="shared" si="28"/>
        <v>/</v>
      </c>
      <c r="N540" s="151" t="str">
        <f t="shared" si="29"/>
        <v/>
      </c>
      <c r="O540" s="255"/>
      <c r="P540" s="255"/>
      <c r="Q540" s="239" t="str">
        <f t="shared" ca="1" si="27"/>
        <v/>
      </c>
    </row>
    <row r="541" spans="3:17" ht="15.75" hidden="1" customHeight="1" outlineLevel="1" x14ac:dyDescent="0.25">
      <c r="C541" s="207"/>
      <c r="D541" s="195">
        <v>42374</v>
      </c>
      <c r="E541" s="101" t="s">
        <v>3</v>
      </c>
      <c r="F541" s="216" t="s">
        <v>49</v>
      </c>
      <c r="G541" s="3" t="s">
        <v>56</v>
      </c>
      <c r="H541" s="3" t="s">
        <v>56</v>
      </c>
      <c r="L541" s="255"/>
      <c r="M541" s="151" t="str">
        <f t="shared" si="28"/>
        <v>/</v>
      </c>
      <c r="N541" s="151" t="str">
        <f t="shared" si="29"/>
        <v/>
      </c>
      <c r="O541" s="255"/>
      <c r="P541" s="255"/>
      <c r="Q541" s="239" t="str">
        <f t="shared" ca="1" si="27"/>
        <v/>
      </c>
    </row>
    <row r="542" spans="3:17" ht="15.75" hidden="1" customHeight="1" outlineLevel="1" x14ac:dyDescent="0.25">
      <c r="C542" s="207"/>
      <c r="D542" s="195">
        <v>42376</v>
      </c>
      <c r="E542" s="101" t="s">
        <v>24</v>
      </c>
      <c r="F542" s="216" t="s">
        <v>50</v>
      </c>
      <c r="G542" s="3" t="s">
        <v>56</v>
      </c>
      <c r="H542" s="3" t="s">
        <v>56</v>
      </c>
      <c r="L542" s="255"/>
      <c r="M542" s="151" t="str">
        <f t="shared" si="28"/>
        <v/>
      </c>
      <c r="N542" s="151" t="str">
        <f t="shared" si="29"/>
        <v>/</v>
      </c>
      <c r="O542" s="255"/>
      <c r="P542" s="255"/>
      <c r="Q542" s="239" t="str">
        <f t="shared" ca="1" si="27"/>
        <v/>
      </c>
    </row>
    <row r="543" spans="3:17" ht="15.75" hidden="1" customHeight="1" outlineLevel="1" x14ac:dyDescent="0.25">
      <c r="C543" s="207"/>
      <c r="D543" s="195">
        <v>42379</v>
      </c>
      <c r="E543" s="101" t="s">
        <v>26</v>
      </c>
      <c r="F543" s="216" t="s">
        <v>50</v>
      </c>
      <c r="G543" s="3" t="s">
        <v>56</v>
      </c>
      <c r="H543" s="3" t="s">
        <v>56</v>
      </c>
      <c r="L543" s="255"/>
      <c r="M543" s="151" t="str">
        <f t="shared" si="28"/>
        <v/>
      </c>
      <c r="N543" s="151" t="str">
        <f t="shared" si="29"/>
        <v>/</v>
      </c>
      <c r="O543" s="255"/>
      <c r="P543" s="255"/>
      <c r="Q543" s="239" t="str">
        <f t="shared" ca="1" si="27"/>
        <v/>
      </c>
    </row>
    <row r="544" spans="3:17" ht="15.75" hidden="1" customHeight="1" outlineLevel="1" x14ac:dyDescent="0.25">
      <c r="C544" s="207"/>
      <c r="D544" s="195">
        <v>42381</v>
      </c>
      <c r="E544" s="101" t="s">
        <v>16</v>
      </c>
      <c r="F544" s="216" t="s">
        <v>50</v>
      </c>
      <c r="G544" s="3" t="s">
        <v>56</v>
      </c>
      <c r="H544" s="3" t="s">
        <v>56</v>
      </c>
      <c r="L544" s="255"/>
      <c r="M544" s="151" t="str">
        <f t="shared" si="28"/>
        <v/>
      </c>
      <c r="N544" s="151" t="str">
        <f t="shared" si="29"/>
        <v>/</v>
      </c>
      <c r="O544" s="255"/>
      <c r="P544" s="255"/>
      <c r="Q544" s="239" t="str">
        <f t="shared" ca="1" si="27"/>
        <v/>
      </c>
    </row>
    <row r="545" spans="3:17" ht="15.75" hidden="1" customHeight="1" outlineLevel="1" x14ac:dyDescent="0.25">
      <c r="C545" s="207"/>
      <c r="D545" s="195">
        <v>42382</v>
      </c>
      <c r="E545" s="101" t="s">
        <v>28</v>
      </c>
      <c r="F545" s="216" t="s">
        <v>50</v>
      </c>
      <c r="G545" s="3" t="s">
        <v>56</v>
      </c>
      <c r="H545" s="3" t="s">
        <v>56</v>
      </c>
      <c r="L545" s="255"/>
      <c r="M545" s="151" t="str">
        <f t="shared" si="28"/>
        <v/>
      </c>
      <c r="N545" s="151" t="str">
        <f t="shared" si="29"/>
        <v>/</v>
      </c>
      <c r="O545" s="255"/>
      <c r="P545" s="255"/>
      <c r="Q545" s="239" t="str">
        <f t="shared" ca="1" si="27"/>
        <v/>
      </c>
    </row>
    <row r="546" spans="3:17" ht="15.75" hidden="1" customHeight="1" outlineLevel="1" x14ac:dyDescent="0.25">
      <c r="C546" s="207"/>
      <c r="D546" s="195">
        <v>42384</v>
      </c>
      <c r="E546" s="101" t="s">
        <v>19</v>
      </c>
      <c r="F546" s="216" t="s">
        <v>50</v>
      </c>
      <c r="G546" s="3" t="s">
        <v>56</v>
      </c>
      <c r="H546" s="3" t="s">
        <v>56</v>
      </c>
      <c r="L546" s="255"/>
      <c r="M546" s="151" t="str">
        <f t="shared" si="28"/>
        <v/>
      </c>
      <c r="N546" s="151" t="str">
        <f t="shared" si="29"/>
        <v>/</v>
      </c>
      <c r="O546" s="255"/>
      <c r="P546" s="255"/>
      <c r="Q546" s="239" t="str">
        <f t="shared" ca="1" si="27"/>
        <v/>
      </c>
    </row>
    <row r="547" spans="3:17" ht="15.75" hidden="1" customHeight="1" outlineLevel="1" x14ac:dyDescent="0.25">
      <c r="C547" s="207"/>
      <c r="D547" s="195">
        <v>42387</v>
      </c>
      <c r="E547" s="101" t="s">
        <v>0</v>
      </c>
      <c r="F547" s="216" t="s">
        <v>49</v>
      </c>
      <c r="G547" s="3" t="s">
        <v>56</v>
      </c>
      <c r="H547" s="3" t="s">
        <v>56</v>
      </c>
      <c r="L547" s="255"/>
      <c r="M547" s="151" t="str">
        <f t="shared" si="28"/>
        <v>/</v>
      </c>
      <c r="N547" s="151" t="str">
        <f t="shared" si="29"/>
        <v/>
      </c>
      <c r="O547" s="255"/>
      <c r="P547" s="255"/>
      <c r="Q547" s="239" t="str">
        <f t="shared" ca="1" si="27"/>
        <v/>
      </c>
    </row>
    <row r="548" spans="3:17" ht="15.75" hidden="1" customHeight="1" outlineLevel="1" x14ac:dyDescent="0.25">
      <c r="C548" s="207"/>
      <c r="D548" s="195">
        <v>42390</v>
      </c>
      <c r="E548" s="101" t="s">
        <v>13</v>
      </c>
      <c r="F548" s="216" t="s">
        <v>49</v>
      </c>
      <c r="G548" s="3" t="s">
        <v>56</v>
      </c>
      <c r="H548" s="3" t="s">
        <v>56</v>
      </c>
      <c r="L548" s="255"/>
      <c r="M548" s="151" t="str">
        <f t="shared" si="28"/>
        <v>/</v>
      </c>
      <c r="N548" s="151" t="str">
        <f t="shared" si="29"/>
        <v/>
      </c>
      <c r="O548" s="255"/>
      <c r="P548" s="255"/>
      <c r="Q548" s="239" t="str">
        <f t="shared" ca="1" si="27"/>
        <v/>
      </c>
    </row>
    <row r="549" spans="3:17" ht="15.75" hidden="1" customHeight="1" outlineLevel="1" x14ac:dyDescent="0.25">
      <c r="C549" s="207"/>
      <c r="D549" s="195">
        <v>42392</v>
      </c>
      <c r="E549" s="101" t="s">
        <v>26</v>
      </c>
      <c r="F549" s="216" t="s">
        <v>49</v>
      </c>
      <c r="G549" s="3" t="s">
        <v>56</v>
      </c>
      <c r="H549" s="3" t="s">
        <v>56</v>
      </c>
      <c r="L549" s="255"/>
      <c r="M549" s="151" t="str">
        <f t="shared" si="28"/>
        <v>/</v>
      </c>
      <c r="N549" s="151" t="str">
        <f t="shared" si="29"/>
        <v/>
      </c>
      <c r="O549" s="255"/>
      <c r="P549" s="255"/>
      <c r="Q549" s="239" t="str">
        <f t="shared" ca="1" si="27"/>
        <v/>
      </c>
    </row>
    <row r="550" spans="3:17" ht="15.75" hidden="1" customHeight="1" outlineLevel="1" x14ac:dyDescent="0.25">
      <c r="C550" s="207"/>
      <c r="D550" s="195">
        <v>42397</v>
      </c>
      <c r="E550" s="101" t="s">
        <v>6</v>
      </c>
      <c r="F550" s="216" t="s">
        <v>50</v>
      </c>
      <c r="G550" s="3" t="s">
        <v>56</v>
      </c>
      <c r="H550" s="3" t="s">
        <v>56</v>
      </c>
      <c r="L550" s="255"/>
      <c r="M550" s="151" t="str">
        <f t="shared" si="28"/>
        <v/>
      </c>
      <c r="N550" s="151" t="str">
        <f t="shared" si="29"/>
        <v>/</v>
      </c>
      <c r="O550" s="255"/>
      <c r="P550" s="255"/>
      <c r="Q550" s="239" t="str">
        <f t="shared" ca="1" si="27"/>
        <v/>
      </c>
    </row>
    <row r="551" spans="3:17" ht="15.75" hidden="1" customHeight="1" outlineLevel="1" x14ac:dyDescent="0.25">
      <c r="C551" s="207"/>
      <c r="D551" s="195">
        <v>42400</v>
      </c>
      <c r="E551" s="101" t="s">
        <v>1</v>
      </c>
      <c r="F551" s="216" t="s">
        <v>50</v>
      </c>
      <c r="G551" s="3" t="s">
        <v>56</v>
      </c>
      <c r="H551" s="3" t="s">
        <v>56</v>
      </c>
      <c r="L551" s="255"/>
      <c r="M551" s="151" t="str">
        <f t="shared" si="28"/>
        <v/>
      </c>
      <c r="N551" s="151" t="str">
        <f t="shared" si="29"/>
        <v>/</v>
      </c>
      <c r="O551" s="255"/>
      <c r="P551" s="255"/>
      <c r="Q551" s="239" t="str">
        <f t="shared" ca="1" si="27"/>
        <v/>
      </c>
    </row>
    <row r="552" spans="3:17" ht="15.75" hidden="1" customHeight="1" outlineLevel="1" x14ac:dyDescent="0.25">
      <c r="C552" s="208"/>
      <c r="D552" s="195">
        <v>42401</v>
      </c>
      <c r="E552" s="101" t="s">
        <v>22</v>
      </c>
      <c r="F552" s="216" t="s">
        <v>49</v>
      </c>
      <c r="G552" s="3" t="s">
        <v>56</v>
      </c>
      <c r="H552" s="3" t="s">
        <v>56</v>
      </c>
      <c r="L552" s="255"/>
      <c r="M552" s="151" t="str">
        <f t="shared" si="28"/>
        <v>/</v>
      </c>
      <c r="N552" s="151" t="str">
        <f t="shared" si="29"/>
        <v/>
      </c>
      <c r="O552" s="255"/>
      <c r="P552" s="255"/>
      <c r="Q552" s="239" t="str">
        <f t="shared" ca="1" si="27"/>
        <v/>
      </c>
    </row>
    <row r="553" spans="3:17" ht="15.75" hidden="1" customHeight="1" outlineLevel="1" x14ac:dyDescent="0.25">
      <c r="C553" s="208"/>
      <c r="D553" s="195">
        <v>42403</v>
      </c>
      <c r="E553" s="101" t="s">
        <v>21</v>
      </c>
      <c r="F553" s="216" t="s">
        <v>49</v>
      </c>
      <c r="G553" s="3" t="s">
        <v>56</v>
      </c>
      <c r="H553" s="3" t="s">
        <v>56</v>
      </c>
      <c r="L553" s="255"/>
      <c r="M553" s="151" t="str">
        <f t="shared" si="28"/>
        <v>/</v>
      </c>
      <c r="N553" s="151" t="str">
        <f t="shared" si="29"/>
        <v/>
      </c>
      <c r="O553" s="255"/>
      <c r="P553" s="255"/>
      <c r="Q553" s="239" t="str">
        <f t="shared" ca="1" si="27"/>
        <v/>
      </c>
    </row>
    <row r="554" spans="3:17" ht="15.75" hidden="1" customHeight="1" outlineLevel="1" x14ac:dyDescent="0.25">
      <c r="C554" s="208"/>
      <c r="D554" s="195">
        <v>42404</v>
      </c>
      <c r="E554" s="101" t="s">
        <v>7</v>
      </c>
      <c r="F554" s="216" t="s">
        <v>50</v>
      </c>
      <c r="G554" s="3" t="s">
        <v>56</v>
      </c>
      <c r="H554" s="3" t="s">
        <v>56</v>
      </c>
      <c r="L554" s="255"/>
      <c r="M554" s="151" t="str">
        <f t="shared" si="28"/>
        <v/>
      </c>
      <c r="N554" s="151" t="str">
        <f t="shared" si="29"/>
        <v>/</v>
      </c>
      <c r="O554" s="255"/>
      <c r="P554" s="255"/>
      <c r="Q554" s="239" t="str">
        <f t="shared" ca="1" si="27"/>
        <v/>
      </c>
    </row>
    <row r="555" spans="3:17" ht="15.75" hidden="1" customHeight="1" outlineLevel="1" x14ac:dyDescent="0.25">
      <c r="C555" s="208"/>
      <c r="D555" s="195">
        <v>42406</v>
      </c>
      <c r="E555" s="101" t="s">
        <v>11</v>
      </c>
      <c r="F555" s="216" t="s">
        <v>49</v>
      </c>
      <c r="G555" s="3" t="s">
        <v>56</v>
      </c>
      <c r="H555" s="3" t="s">
        <v>56</v>
      </c>
      <c r="L555" s="255"/>
      <c r="M555" s="151" t="str">
        <f t="shared" si="28"/>
        <v>/</v>
      </c>
      <c r="N555" s="151" t="str">
        <f t="shared" si="29"/>
        <v/>
      </c>
      <c r="O555" s="255"/>
      <c r="P555" s="255"/>
      <c r="Q555" s="239" t="str">
        <f t="shared" ref="Q555:Q618" ca="1" si="30">IF(D555=TODAY(),1,"")</f>
        <v/>
      </c>
    </row>
    <row r="556" spans="3:17" ht="15.75" hidden="1" customHeight="1" outlineLevel="1" x14ac:dyDescent="0.25">
      <c r="C556" s="208"/>
      <c r="D556" s="195">
        <v>42408</v>
      </c>
      <c r="E556" s="101" t="s">
        <v>19</v>
      </c>
      <c r="F556" s="216" t="s">
        <v>49</v>
      </c>
      <c r="G556" s="3" t="s">
        <v>56</v>
      </c>
      <c r="H556" s="3" t="s">
        <v>56</v>
      </c>
      <c r="L556" s="255"/>
      <c r="M556" s="151" t="str">
        <f t="shared" si="28"/>
        <v>/</v>
      </c>
      <c r="N556" s="151" t="str">
        <f t="shared" si="29"/>
        <v/>
      </c>
      <c r="O556" s="255"/>
      <c r="P556" s="255"/>
      <c r="Q556" s="239" t="str">
        <f t="shared" ca="1" si="30"/>
        <v/>
      </c>
    </row>
    <row r="557" spans="3:17" ht="15.75" hidden="1" customHeight="1" outlineLevel="1" x14ac:dyDescent="0.25">
      <c r="C557" s="208"/>
      <c r="D557" s="195">
        <v>42410</v>
      </c>
      <c r="E557" s="101" t="s">
        <v>46</v>
      </c>
      <c r="F557" s="216" t="s">
        <v>49</v>
      </c>
      <c r="G557" s="3" t="s">
        <v>56</v>
      </c>
      <c r="H557" s="3" t="s">
        <v>56</v>
      </c>
      <c r="L557" s="255"/>
      <c r="M557" s="151" t="str">
        <f t="shared" si="28"/>
        <v>/</v>
      </c>
      <c r="N557" s="151" t="str">
        <f t="shared" si="29"/>
        <v/>
      </c>
      <c r="O557" s="255"/>
      <c r="P557" s="255"/>
      <c r="Q557" s="239" t="str">
        <f t="shared" ca="1" si="30"/>
        <v/>
      </c>
    </row>
    <row r="558" spans="3:17" ht="15.75" hidden="1" customHeight="1" outlineLevel="1" x14ac:dyDescent="0.25">
      <c r="C558" s="208"/>
      <c r="D558" s="195">
        <v>42412</v>
      </c>
      <c r="E558" s="101" t="s">
        <v>12</v>
      </c>
      <c r="F558" s="216" t="s">
        <v>50</v>
      </c>
      <c r="G558" s="3" t="s">
        <v>56</v>
      </c>
      <c r="H558" s="3" t="s">
        <v>56</v>
      </c>
      <c r="L558" s="255"/>
      <c r="M558" s="151" t="str">
        <f t="shared" si="28"/>
        <v/>
      </c>
      <c r="N558" s="151" t="str">
        <f t="shared" si="29"/>
        <v>/</v>
      </c>
      <c r="O558" s="255"/>
      <c r="P558" s="255"/>
      <c r="Q558" s="239" t="str">
        <f t="shared" ca="1" si="30"/>
        <v/>
      </c>
    </row>
    <row r="559" spans="3:17" ht="15.75" hidden="1" customHeight="1" outlineLevel="1" x14ac:dyDescent="0.25">
      <c r="C559" s="208"/>
      <c r="D559" s="195">
        <v>42413</v>
      </c>
      <c r="E559" s="101" t="s">
        <v>8</v>
      </c>
      <c r="F559" s="216" t="s">
        <v>50</v>
      </c>
      <c r="G559" s="3" t="s">
        <v>56</v>
      </c>
      <c r="H559" s="3" t="s">
        <v>56</v>
      </c>
      <c r="L559" s="255"/>
      <c r="M559" s="151" t="str">
        <f t="shared" si="28"/>
        <v/>
      </c>
      <c r="N559" s="151" t="str">
        <f t="shared" si="29"/>
        <v>/</v>
      </c>
      <c r="O559" s="255"/>
      <c r="P559" s="255"/>
      <c r="Q559" s="239" t="str">
        <f t="shared" ca="1" si="30"/>
        <v/>
      </c>
    </row>
    <row r="560" spans="3:17" ht="15.75" hidden="1" customHeight="1" outlineLevel="1" x14ac:dyDescent="0.25">
      <c r="C560" s="208"/>
      <c r="D560" s="195">
        <v>42415</v>
      </c>
      <c r="E560" s="101" t="s">
        <v>14</v>
      </c>
      <c r="F560" s="216" t="s">
        <v>49</v>
      </c>
      <c r="G560" s="3" t="s">
        <v>56</v>
      </c>
      <c r="H560" s="3" t="s">
        <v>56</v>
      </c>
      <c r="L560" s="255"/>
      <c r="M560" s="151" t="str">
        <f t="shared" si="28"/>
        <v>/</v>
      </c>
      <c r="N560" s="151" t="str">
        <f t="shared" si="29"/>
        <v/>
      </c>
      <c r="O560" s="255"/>
      <c r="P560" s="255"/>
      <c r="Q560" s="239" t="str">
        <f t="shared" ca="1" si="30"/>
        <v/>
      </c>
    </row>
    <row r="561" spans="3:17" ht="15.75" hidden="1" customHeight="1" outlineLevel="1" x14ac:dyDescent="0.25">
      <c r="C561" s="208"/>
      <c r="D561" s="195">
        <v>42423</v>
      </c>
      <c r="E561" s="101" t="s">
        <v>3</v>
      </c>
      <c r="F561" s="216" t="s">
        <v>49</v>
      </c>
      <c r="G561" s="3" t="s">
        <v>56</v>
      </c>
      <c r="H561" s="3" t="s">
        <v>56</v>
      </c>
      <c r="L561" s="255"/>
      <c r="M561" s="151" t="str">
        <f t="shared" si="28"/>
        <v>/</v>
      </c>
      <c r="N561" s="151" t="str">
        <f t="shared" si="29"/>
        <v/>
      </c>
      <c r="O561" s="255"/>
      <c r="P561" s="255"/>
      <c r="Q561" s="239" t="str">
        <f t="shared" ca="1" si="30"/>
        <v/>
      </c>
    </row>
    <row r="562" spans="3:17" ht="15.75" hidden="1" customHeight="1" outlineLevel="1" x14ac:dyDescent="0.25">
      <c r="C562" s="208"/>
      <c r="D562" s="195">
        <v>42426</v>
      </c>
      <c r="E562" s="101" t="s">
        <v>1</v>
      </c>
      <c r="F562" s="216" t="s">
        <v>49</v>
      </c>
      <c r="G562" s="3" t="s">
        <v>56</v>
      </c>
      <c r="H562" s="3" t="s">
        <v>56</v>
      </c>
      <c r="L562" s="255"/>
      <c r="M562" s="151" t="str">
        <f t="shared" si="28"/>
        <v>/</v>
      </c>
      <c r="N562" s="151" t="str">
        <f t="shared" si="29"/>
        <v/>
      </c>
      <c r="O562" s="255"/>
      <c r="P562" s="255"/>
      <c r="Q562" s="239" t="str">
        <f t="shared" ca="1" si="30"/>
        <v/>
      </c>
    </row>
    <row r="563" spans="3:17" ht="15.75" hidden="1" customHeight="1" outlineLevel="1" x14ac:dyDescent="0.25">
      <c r="C563" s="208"/>
      <c r="D563" s="195">
        <v>42428</v>
      </c>
      <c r="E563" s="101" t="s">
        <v>24</v>
      </c>
      <c r="F563" s="216" t="s">
        <v>49</v>
      </c>
      <c r="G563" s="3" t="s">
        <v>56</v>
      </c>
      <c r="H563" s="3" t="s">
        <v>56</v>
      </c>
      <c r="L563" s="255"/>
      <c r="M563" s="151" t="str">
        <f t="shared" si="28"/>
        <v>/</v>
      </c>
      <c r="N563" s="151" t="str">
        <f t="shared" si="29"/>
        <v/>
      </c>
      <c r="O563" s="255"/>
      <c r="P563" s="255"/>
      <c r="Q563" s="239" t="str">
        <f t="shared" ca="1" si="30"/>
        <v/>
      </c>
    </row>
    <row r="564" spans="3:17" ht="15.75" hidden="1" customHeight="1" outlineLevel="1" x14ac:dyDescent="0.25">
      <c r="C564" s="207"/>
      <c r="D564" s="195">
        <v>42430</v>
      </c>
      <c r="E564" s="101" t="s">
        <v>22</v>
      </c>
      <c r="F564" s="216" t="s">
        <v>50</v>
      </c>
      <c r="G564" s="3" t="s">
        <v>56</v>
      </c>
      <c r="H564" s="3" t="s">
        <v>56</v>
      </c>
      <c r="L564" s="255"/>
      <c r="M564" s="151" t="str">
        <f t="shared" si="28"/>
        <v/>
      </c>
      <c r="N564" s="151" t="str">
        <f t="shared" si="29"/>
        <v>/</v>
      </c>
      <c r="O564" s="255"/>
      <c r="P564" s="255"/>
      <c r="Q564" s="239" t="str">
        <f t="shared" ca="1" si="30"/>
        <v/>
      </c>
    </row>
    <row r="565" spans="3:17" ht="15.75" hidden="1" customHeight="1" outlineLevel="1" x14ac:dyDescent="0.25">
      <c r="C565" s="207"/>
      <c r="D565" s="195">
        <v>42433</v>
      </c>
      <c r="E565" s="101" t="s">
        <v>11</v>
      </c>
      <c r="F565" s="216" t="s">
        <v>50</v>
      </c>
      <c r="G565" s="3" t="s">
        <v>56</v>
      </c>
      <c r="H565" s="3" t="s">
        <v>56</v>
      </c>
      <c r="L565" s="255"/>
      <c r="M565" s="151" t="str">
        <f t="shared" si="28"/>
        <v/>
      </c>
      <c r="N565" s="151" t="str">
        <f t="shared" si="29"/>
        <v>/</v>
      </c>
      <c r="O565" s="255"/>
      <c r="P565" s="255"/>
      <c r="Q565" s="239" t="str">
        <f t="shared" ca="1" si="30"/>
        <v/>
      </c>
    </row>
    <row r="566" spans="3:17" ht="15.75" hidden="1" customHeight="1" outlineLevel="1" x14ac:dyDescent="0.25">
      <c r="C566" s="207"/>
      <c r="D566" s="195">
        <v>42435</v>
      </c>
      <c r="E566" s="101" t="s">
        <v>2</v>
      </c>
      <c r="F566" s="216" t="s">
        <v>49</v>
      </c>
      <c r="G566" s="3" t="s">
        <v>56</v>
      </c>
      <c r="H566" s="3" t="s">
        <v>56</v>
      </c>
      <c r="L566" s="255"/>
      <c r="M566" s="151" t="str">
        <f t="shared" si="28"/>
        <v>/</v>
      </c>
      <c r="N566" s="151" t="str">
        <f t="shared" si="29"/>
        <v/>
      </c>
      <c r="O566" s="255"/>
      <c r="P566" s="255"/>
      <c r="Q566" s="239" t="str">
        <f t="shared" ca="1" si="30"/>
        <v/>
      </c>
    </row>
    <row r="567" spans="3:17" ht="15.75" hidden="1" customHeight="1" outlineLevel="1" x14ac:dyDescent="0.25">
      <c r="C567" s="207"/>
      <c r="D567" s="195">
        <v>42437</v>
      </c>
      <c r="E567" s="101" t="s">
        <v>7</v>
      </c>
      <c r="F567" s="216" t="s">
        <v>50</v>
      </c>
      <c r="G567" s="3" t="s">
        <v>56</v>
      </c>
      <c r="H567" s="3" t="s">
        <v>56</v>
      </c>
      <c r="L567" s="255"/>
      <c r="M567" s="151" t="str">
        <f t="shared" si="28"/>
        <v/>
      </c>
      <c r="N567" s="151" t="str">
        <f t="shared" si="29"/>
        <v>/</v>
      </c>
      <c r="O567" s="255"/>
      <c r="P567" s="255"/>
      <c r="Q567" s="239" t="str">
        <f t="shared" ca="1" si="30"/>
        <v/>
      </c>
    </row>
    <row r="568" spans="3:17" ht="15.75" hidden="1" customHeight="1" outlineLevel="1" x14ac:dyDescent="0.25">
      <c r="C568" s="207"/>
      <c r="D568" s="195">
        <v>42438</v>
      </c>
      <c r="E568" s="101" t="s">
        <v>4</v>
      </c>
      <c r="F568" s="216" t="s">
        <v>49</v>
      </c>
      <c r="G568" s="3" t="s">
        <v>56</v>
      </c>
      <c r="H568" s="3" t="s">
        <v>56</v>
      </c>
      <c r="L568" s="255"/>
      <c r="M568" s="151" t="str">
        <f t="shared" si="28"/>
        <v>/</v>
      </c>
      <c r="N568" s="151" t="str">
        <f t="shared" si="29"/>
        <v/>
      </c>
      <c r="O568" s="255"/>
      <c r="P568" s="255"/>
      <c r="Q568" s="239" t="str">
        <f t="shared" ca="1" si="30"/>
        <v/>
      </c>
    </row>
    <row r="569" spans="3:17" ht="15.75" hidden="1" customHeight="1" outlineLevel="1" x14ac:dyDescent="0.25">
      <c r="C569" s="207"/>
      <c r="D569" s="195">
        <v>42440</v>
      </c>
      <c r="E569" s="101" t="s">
        <v>9</v>
      </c>
      <c r="F569" s="216" t="s">
        <v>49</v>
      </c>
      <c r="G569" s="3" t="s">
        <v>56</v>
      </c>
      <c r="H569" s="3" t="s">
        <v>56</v>
      </c>
      <c r="L569" s="255"/>
      <c r="M569" s="151" t="str">
        <f t="shared" si="28"/>
        <v>/</v>
      </c>
      <c r="N569" s="151" t="str">
        <f t="shared" si="29"/>
        <v/>
      </c>
      <c r="O569" s="255"/>
      <c r="P569" s="255"/>
      <c r="Q569" s="239" t="str">
        <f t="shared" ca="1" si="30"/>
        <v/>
      </c>
    </row>
    <row r="570" spans="3:17" ht="15.75" hidden="1" customHeight="1" outlineLevel="1" x14ac:dyDescent="0.25">
      <c r="C570" s="207"/>
      <c r="D570" s="195">
        <v>42443</v>
      </c>
      <c r="E570" s="101" t="s">
        <v>4</v>
      </c>
      <c r="F570" s="216" t="s">
        <v>50</v>
      </c>
      <c r="G570" s="3" t="s">
        <v>56</v>
      </c>
      <c r="H570" s="3" t="s">
        <v>56</v>
      </c>
      <c r="L570" s="255"/>
      <c r="M570" s="151" t="str">
        <f t="shared" si="28"/>
        <v/>
      </c>
      <c r="N570" s="151" t="str">
        <f t="shared" si="29"/>
        <v>/</v>
      </c>
      <c r="O570" s="255"/>
      <c r="P570" s="255"/>
      <c r="Q570" s="239" t="str">
        <f t="shared" ca="1" si="30"/>
        <v/>
      </c>
    </row>
    <row r="571" spans="3:17" ht="15.75" hidden="1" customHeight="1" outlineLevel="1" x14ac:dyDescent="0.25">
      <c r="C571" s="207"/>
      <c r="D571" s="195">
        <v>42444</v>
      </c>
      <c r="E571" s="101" t="s">
        <v>28</v>
      </c>
      <c r="F571" s="216" t="s">
        <v>49</v>
      </c>
      <c r="G571" s="3" t="s">
        <v>56</v>
      </c>
      <c r="H571" s="3" t="s">
        <v>56</v>
      </c>
      <c r="L571" s="255"/>
      <c r="M571" s="151" t="str">
        <f t="shared" si="28"/>
        <v>/</v>
      </c>
      <c r="N571" s="151" t="str">
        <f t="shared" si="29"/>
        <v/>
      </c>
      <c r="O571" s="255"/>
      <c r="P571" s="255"/>
      <c r="Q571" s="239" t="str">
        <f t="shared" ca="1" si="30"/>
        <v/>
      </c>
    </row>
    <row r="572" spans="3:17" ht="15.75" hidden="1" customHeight="1" outlineLevel="1" x14ac:dyDescent="0.25">
      <c r="C572" s="207"/>
      <c r="D572" s="195">
        <v>42446</v>
      </c>
      <c r="E572" s="101" t="s">
        <v>12</v>
      </c>
      <c r="F572" s="216" t="s">
        <v>49</v>
      </c>
      <c r="G572" s="3" t="s">
        <v>56</v>
      </c>
      <c r="H572" s="3" t="s">
        <v>56</v>
      </c>
      <c r="L572" s="255"/>
      <c r="M572" s="151" t="str">
        <f t="shared" si="28"/>
        <v>/</v>
      </c>
      <c r="N572" s="151" t="str">
        <f t="shared" si="29"/>
        <v/>
      </c>
      <c r="O572" s="255"/>
      <c r="P572" s="255"/>
      <c r="Q572" s="239" t="str">
        <f t="shared" ca="1" si="30"/>
        <v/>
      </c>
    </row>
    <row r="573" spans="3:17" ht="15.75" hidden="1" customHeight="1" outlineLevel="1" x14ac:dyDescent="0.25">
      <c r="C573" s="207"/>
      <c r="D573" s="195">
        <v>42448</v>
      </c>
      <c r="E573" s="101" t="s">
        <v>25</v>
      </c>
      <c r="F573" s="216" t="s">
        <v>49</v>
      </c>
      <c r="G573" s="3" t="s">
        <v>56</v>
      </c>
      <c r="H573" s="3" t="s">
        <v>56</v>
      </c>
      <c r="L573" s="255"/>
      <c r="M573" s="151" t="str">
        <f t="shared" si="28"/>
        <v>/</v>
      </c>
      <c r="N573" s="151" t="str">
        <f t="shared" si="29"/>
        <v/>
      </c>
      <c r="O573" s="255"/>
      <c r="P573" s="255"/>
      <c r="Q573" s="239" t="str">
        <f t="shared" ca="1" si="30"/>
        <v/>
      </c>
    </row>
    <row r="574" spans="3:17" ht="15.75" hidden="1" customHeight="1" outlineLevel="1" x14ac:dyDescent="0.25">
      <c r="C574" s="207"/>
      <c r="D574" s="195">
        <v>42450</v>
      </c>
      <c r="E574" s="101" t="s">
        <v>45</v>
      </c>
      <c r="F574" s="216" t="s">
        <v>50</v>
      </c>
      <c r="G574" s="3" t="s">
        <v>56</v>
      </c>
      <c r="H574" s="3" t="s">
        <v>56</v>
      </c>
      <c r="L574" s="255"/>
      <c r="M574" s="151" t="str">
        <f t="shared" si="28"/>
        <v/>
      </c>
      <c r="N574" s="151" t="str">
        <f t="shared" si="29"/>
        <v>/</v>
      </c>
      <c r="O574" s="255"/>
      <c r="P574" s="255"/>
      <c r="Q574" s="239" t="str">
        <f t="shared" ca="1" si="30"/>
        <v/>
      </c>
    </row>
    <row r="575" spans="3:17" ht="15.75" hidden="1" customHeight="1" outlineLevel="1" x14ac:dyDescent="0.25">
      <c r="C575" s="207"/>
      <c r="D575" s="195">
        <v>42451</v>
      </c>
      <c r="E575" s="101" t="s">
        <v>2</v>
      </c>
      <c r="F575" s="216" t="s">
        <v>50</v>
      </c>
      <c r="G575" s="3" t="s">
        <v>56</v>
      </c>
      <c r="H575" s="3" t="s">
        <v>56</v>
      </c>
      <c r="L575" s="255"/>
      <c r="M575" s="151" t="str">
        <f t="shared" si="28"/>
        <v/>
      </c>
      <c r="N575" s="151" t="str">
        <f t="shared" si="29"/>
        <v>/</v>
      </c>
      <c r="O575" s="255"/>
      <c r="P575" s="255"/>
      <c r="Q575" s="239" t="str">
        <f t="shared" ca="1" si="30"/>
        <v/>
      </c>
    </row>
    <row r="576" spans="3:17" ht="15.75" hidden="1" customHeight="1" outlineLevel="1" x14ac:dyDescent="0.25">
      <c r="C576" s="207"/>
      <c r="D576" s="195">
        <v>42453</v>
      </c>
      <c r="E576" s="101" t="s">
        <v>10</v>
      </c>
      <c r="F576" s="216" t="s">
        <v>50</v>
      </c>
      <c r="G576" s="3" t="s">
        <v>56</v>
      </c>
      <c r="H576" s="3" t="s">
        <v>56</v>
      </c>
      <c r="L576" s="255"/>
      <c r="M576" s="151" t="str">
        <f t="shared" si="28"/>
        <v/>
      </c>
      <c r="N576" s="151" t="str">
        <f t="shared" si="29"/>
        <v>/</v>
      </c>
      <c r="O576" s="255"/>
      <c r="P576" s="255"/>
      <c r="Q576" s="239" t="str">
        <f t="shared" ca="1" si="30"/>
        <v/>
      </c>
    </row>
    <row r="577" spans="2:17" ht="15.75" hidden="1" customHeight="1" outlineLevel="1" x14ac:dyDescent="0.25">
      <c r="C577" s="207"/>
      <c r="D577" s="195">
        <v>42456</v>
      </c>
      <c r="E577" s="101" t="s">
        <v>9</v>
      </c>
      <c r="F577" s="216" t="s">
        <v>50</v>
      </c>
      <c r="G577" s="3" t="s">
        <v>56</v>
      </c>
      <c r="H577" s="3" t="s">
        <v>56</v>
      </c>
      <c r="L577" s="255"/>
      <c r="M577" s="151" t="str">
        <f t="shared" si="28"/>
        <v/>
      </c>
      <c r="N577" s="151" t="str">
        <f t="shared" si="29"/>
        <v>/</v>
      </c>
      <c r="O577" s="255"/>
      <c r="P577" s="255"/>
      <c r="Q577" s="239" t="str">
        <f t="shared" ca="1" si="30"/>
        <v/>
      </c>
    </row>
    <row r="578" spans="2:17" ht="15.75" hidden="1" customHeight="1" outlineLevel="1" x14ac:dyDescent="0.25">
      <c r="C578" s="207"/>
      <c r="D578" s="195">
        <v>42457</v>
      </c>
      <c r="E578" s="101" t="s">
        <v>6</v>
      </c>
      <c r="F578" s="216" t="s">
        <v>49</v>
      </c>
      <c r="G578" s="3" t="s">
        <v>56</v>
      </c>
      <c r="H578" s="3" t="s">
        <v>56</v>
      </c>
      <c r="L578" s="255"/>
      <c r="M578" s="151" t="str">
        <f t="shared" si="28"/>
        <v>/</v>
      </c>
      <c r="N578" s="151" t="str">
        <f t="shared" si="29"/>
        <v/>
      </c>
      <c r="O578" s="255"/>
      <c r="P578" s="255"/>
      <c r="Q578" s="239" t="str">
        <f t="shared" ca="1" si="30"/>
        <v/>
      </c>
    </row>
    <row r="579" spans="2:17" ht="15.75" hidden="1" customHeight="1" outlineLevel="1" x14ac:dyDescent="0.25">
      <c r="C579" s="207"/>
      <c r="D579" s="195">
        <v>42459</v>
      </c>
      <c r="E579" s="101" t="s">
        <v>45</v>
      </c>
      <c r="F579" s="216" t="s">
        <v>49</v>
      </c>
      <c r="G579" s="3" t="s">
        <v>56</v>
      </c>
      <c r="H579" s="3" t="s">
        <v>56</v>
      </c>
      <c r="L579" s="255"/>
      <c r="M579" s="151" t="str">
        <f t="shared" si="28"/>
        <v>/</v>
      </c>
      <c r="N579" s="151" t="str">
        <f t="shared" si="29"/>
        <v/>
      </c>
      <c r="O579" s="255"/>
      <c r="P579" s="255"/>
      <c r="Q579" s="239" t="str">
        <f t="shared" ca="1" si="30"/>
        <v/>
      </c>
    </row>
    <row r="580" spans="2:17" ht="15.75" hidden="1" customHeight="1" outlineLevel="1" x14ac:dyDescent="0.25">
      <c r="C580" s="207"/>
      <c r="D580" s="195">
        <v>42460</v>
      </c>
      <c r="E580" s="101" t="s">
        <v>8</v>
      </c>
      <c r="F580" s="216" t="s">
        <v>50</v>
      </c>
      <c r="G580" s="3" t="s">
        <v>56</v>
      </c>
      <c r="H580" s="3" t="s">
        <v>56</v>
      </c>
      <c r="L580" s="255"/>
      <c r="M580" s="151" t="str">
        <f t="shared" si="28"/>
        <v/>
      </c>
      <c r="N580" s="151" t="str">
        <f t="shared" si="29"/>
        <v>/</v>
      </c>
      <c r="O580" s="255"/>
      <c r="P580" s="255"/>
      <c r="Q580" s="239" t="str">
        <f t="shared" ca="1" si="30"/>
        <v/>
      </c>
    </row>
    <row r="581" spans="2:17" ht="15.75" hidden="1" customHeight="1" outlineLevel="1" x14ac:dyDescent="0.25">
      <c r="C581" s="208"/>
      <c r="D581" s="195">
        <v>42465</v>
      </c>
      <c r="E581" s="101" t="s">
        <v>12</v>
      </c>
      <c r="F581" s="216" t="s">
        <v>49</v>
      </c>
      <c r="G581" s="3" t="s">
        <v>56</v>
      </c>
      <c r="H581" s="3" t="s">
        <v>56</v>
      </c>
      <c r="M581" s="151" t="str">
        <f t="shared" si="28"/>
        <v>/</v>
      </c>
      <c r="N581" s="151" t="str">
        <f t="shared" si="29"/>
        <v/>
      </c>
      <c r="O581" s="255"/>
      <c r="P581" s="255"/>
      <c r="Q581" s="239" t="str">
        <f t="shared" ca="1" si="30"/>
        <v/>
      </c>
    </row>
    <row r="582" spans="2:17" ht="15.75" hidden="1" customHeight="1" outlineLevel="1" x14ac:dyDescent="0.25">
      <c r="C582" s="208"/>
      <c r="D582" s="195">
        <v>42467</v>
      </c>
      <c r="E582" s="101" t="s">
        <v>17</v>
      </c>
      <c r="F582" s="216" t="s">
        <v>50</v>
      </c>
      <c r="G582" s="3" t="s">
        <v>56</v>
      </c>
      <c r="H582" s="3" t="s">
        <v>56</v>
      </c>
      <c r="M582" s="151" t="str">
        <f t="shared" si="28"/>
        <v/>
      </c>
      <c r="N582" s="151" t="str">
        <f t="shared" si="29"/>
        <v>/</v>
      </c>
      <c r="O582" s="255"/>
      <c r="P582" s="255"/>
      <c r="Q582" s="239" t="str">
        <f t="shared" ca="1" si="30"/>
        <v/>
      </c>
    </row>
    <row r="583" spans="2:17" ht="15.75" hidden="1" customHeight="1" outlineLevel="1" x14ac:dyDescent="0.25">
      <c r="C583" s="208"/>
      <c r="D583" s="195">
        <v>42469</v>
      </c>
      <c r="E583" s="101" t="s">
        <v>20</v>
      </c>
      <c r="F583" s="216" t="s">
        <v>50</v>
      </c>
      <c r="G583" s="3" t="s">
        <v>56</v>
      </c>
      <c r="H583" s="3" t="s">
        <v>56</v>
      </c>
      <c r="M583" s="151" t="str">
        <f t="shared" ref="M583:M646" si="31">IF(F583="D",H583,"")</f>
        <v/>
      </c>
      <c r="N583" s="151" t="str">
        <f t="shared" ref="N583:N646" si="32">IF(F583="E",H583,"")</f>
        <v>/</v>
      </c>
      <c r="O583" s="255"/>
      <c r="P583" s="255"/>
      <c r="Q583" s="239" t="str">
        <f t="shared" ca="1" si="30"/>
        <v/>
      </c>
    </row>
    <row r="584" spans="2:17" ht="15.75" hidden="1" customHeight="1" outlineLevel="1" x14ac:dyDescent="0.25">
      <c r="C584" s="208"/>
      <c r="D584" s="195">
        <v>42470</v>
      </c>
      <c r="E584" s="101" t="s">
        <v>13</v>
      </c>
      <c r="F584" s="216" t="s">
        <v>49</v>
      </c>
      <c r="G584" s="3" t="s">
        <v>56</v>
      </c>
      <c r="H584" s="3" t="s">
        <v>56</v>
      </c>
      <c r="M584" s="151" t="str">
        <f t="shared" si="31"/>
        <v>/</v>
      </c>
      <c r="N584" s="151" t="str">
        <f t="shared" si="32"/>
        <v/>
      </c>
      <c r="O584" s="255"/>
      <c r="P584" s="255"/>
      <c r="Q584" s="239" t="str">
        <f t="shared" ca="1" si="30"/>
        <v/>
      </c>
    </row>
    <row r="585" spans="2:17" ht="15.75" hidden="1" customHeight="1" outlineLevel="1" x14ac:dyDescent="0.25">
      <c r="C585" s="208"/>
      <c r="D585" s="195">
        <v>42472</v>
      </c>
      <c r="E585" s="102" t="s">
        <v>10</v>
      </c>
      <c r="F585" s="217" t="s">
        <v>50</v>
      </c>
      <c r="G585" s="3" t="s">
        <v>56</v>
      </c>
      <c r="H585" s="3" t="s">
        <v>56</v>
      </c>
      <c r="M585" s="151" t="str">
        <f t="shared" si="31"/>
        <v/>
      </c>
      <c r="N585" s="151" t="str">
        <f t="shared" si="32"/>
        <v>/</v>
      </c>
      <c r="O585" s="255"/>
      <c r="P585" s="255"/>
      <c r="Q585" s="239" t="str">
        <f t="shared" ca="1" si="30"/>
        <v/>
      </c>
    </row>
    <row r="586" spans="2:17" collapsed="1" x14ac:dyDescent="0.25">
      <c r="B586" s="404" t="str">
        <f ca="1">"- "&amp;INDEX(E587:E668,MATCH(TODAY(),D587:D668,0))</f>
        <v>- Brooklyn</v>
      </c>
      <c r="C586" s="404"/>
      <c r="D586" s="406" t="s">
        <v>7</v>
      </c>
      <c r="E586" s="407"/>
      <c r="F586" s="408"/>
      <c r="H586" s="3"/>
      <c r="Q586" s="239" t="str">
        <f t="shared" ca="1" si="30"/>
        <v/>
      </c>
    </row>
    <row r="587" spans="2:17" ht="16.5" hidden="1" customHeight="1" outlineLevel="1" x14ac:dyDescent="0.25">
      <c r="C587" s="207"/>
      <c r="D587" s="195">
        <v>42669</v>
      </c>
      <c r="E587" s="103" t="s">
        <v>14</v>
      </c>
      <c r="F587" s="215" t="s">
        <v>49</v>
      </c>
      <c r="G587" s="3">
        <v>1</v>
      </c>
      <c r="H587" s="3">
        <v>130</v>
      </c>
      <c r="I587" s="151">
        <v>53</v>
      </c>
      <c r="J587" s="151">
        <v>50</v>
      </c>
      <c r="K587" s="151">
        <v>76</v>
      </c>
      <c r="L587" s="151">
        <v>51</v>
      </c>
      <c r="M587" s="151">
        <f t="shared" si="31"/>
        <v>130</v>
      </c>
      <c r="N587" s="151" t="str">
        <f t="shared" si="32"/>
        <v/>
      </c>
      <c r="O587" s="151">
        <v>121</v>
      </c>
      <c r="Q587" s="239" t="str">
        <f t="shared" ca="1" si="30"/>
        <v/>
      </c>
    </row>
    <row r="588" spans="2:17" ht="15.75" hidden="1" customHeight="1" outlineLevel="1" x14ac:dyDescent="0.25">
      <c r="C588" s="207"/>
      <c r="D588" s="195">
        <v>42671</v>
      </c>
      <c r="E588" s="101" t="s">
        <v>45</v>
      </c>
      <c r="F588" s="216" t="s">
        <v>50</v>
      </c>
      <c r="G588" s="3" t="s">
        <v>56</v>
      </c>
      <c r="H588" s="3" t="s">
        <v>56</v>
      </c>
      <c r="M588" s="151" t="str">
        <f t="shared" si="31"/>
        <v/>
      </c>
      <c r="N588" s="151" t="str">
        <f t="shared" si="32"/>
        <v>/</v>
      </c>
      <c r="Q588" s="239">
        <f t="shared" ca="1" si="30"/>
        <v>1</v>
      </c>
    </row>
    <row r="589" spans="2:17" ht="15.75" hidden="1" customHeight="1" outlineLevel="1" x14ac:dyDescent="0.25">
      <c r="C589" s="207"/>
      <c r="D589" s="195">
        <v>42672</v>
      </c>
      <c r="E589" s="101" t="s">
        <v>2</v>
      </c>
      <c r="F589" s="216" t="s">
        <v>50</v>
      </c>
      <c r="G589" s="3" t="s">
        <v>56</v>
      </c>
      <c r="H589" s="3" t="s">
        <v>56</v>
      </c>
      <c r="M589" s="151" t="str">
        <f t="shared" si="31"/>
        <v/>
      </c>
      <c r="N589" s="151" t="str">
        <f t="shared" si="32"/>
        <v>/</v>
      </c>
      <c r="Q589" s="239" t="str">
        <f t="shared" ca="1" si="30"/>
        <v/>
      </c>
    </row>
    <row r="590" spans="2:17" ht="15.75" hidden="1" customHeight="1" outlineLevel="1" x14ac:dyDescent="0.25">
      <c r="C590" s="207"/>
      <c r="D590" s="195">
        <v>42675</v>
      </c>
      <c r="E590" s="101" t="s">
        <v>19</v>
      </c>
      <c r="F590" s="216" t="s">
        <v>49</v>
      </c>
      <c r="G590" s="3" t="s">
        <v>56</v>
      </c>
      <c r="H590" s="3" t="s">
        <v>56</v>
      </c>
      <c r="M590" s="151" t="str">
        <f t="shared" si="31"/>
        <v>/</v>
      </c>
      <c r="N590" s="151" t="str">
        <f t="shared" si="32"/>
        <v/>
      </c>
      <c r="Q590" s="239" t="str">
        <f t="shared" ca="1" si="30"/>
        <v/>
      </c>
    </row>
    <row r="591" spans="2:17" ht="15.75" hidden="1" customHeight="1" outlineLevel="1" x14ac:dyDescent="0.25">
      <c r="C591" s="207"/>
      <c r="D591" s="195">
        <v>42677</v>
      </c>
      <c r="E591" s="101" t="s">
        <v>8</v>
      </c>
      <c r="F591" s="216" t="s">
        <v>50</v>
      </c>
      <c r="G591" s="3" t="s">
        <v>56</v>
      </c>
      <c r="H591" s="3" t="s">
        <v>56</v>
      </c>
      <c r="M591" s="151" t="str">
        <f t="shared" si="31"/>
        <v/>
      </c>
      <c r="N591" s="151" t="str">
        <f t="shared" si="32"/>
        <v>/</v>
      </c>
      <c r="Q591" s="239" t="str">
        <f t="shared" ca="1" si="30"/>
        <v/>
      </c>
    </row>
    <row r="592" spans="2:17" ht="15.75" hidden="1" customHeight="1" outlineLevel="1" x14ac:dyDescent="0.25">
      <c r="C592" s="207"/>
      <c r="D592" s="195">
        <v>42679</v>
      </c>
      <c r="E592" s="101" t="s">
        <v>2</v>
      </c>
      <c r="F592" s="216" t="s">
        <v>49</v>
      </c>
      <c r="G592" s="3" t="s">
        <v>56</v>
      </c>
      <c r="H592" s="3" t="s">
        <v>56</v>
      </c>
      <c r="M592" s="151" t="str">
        <f t="shared" si="31"/>
        <v>/</v>
      </c>
      <c r="N592" s="151" t="str">
        <f t="shared" si="32"/>
        <v/>
      </c>
      <c r="Q592" s="239" t="str">
        <f t="shared" ca="1" si="30"/>
        <v/>
      </c>
    </row>
    <row r="593" spans="3:17" ht="15.75" hidden="1" customHeight="1" outlineLevel="1" x14ac:dyDescent="0.25">
      <c r="C593" s="207"/>
      <c r="D593" s="195">
        <v>42681</v>
      </c>
      <c r="E593" s="101" t="s">
        <v>3</v>
      </c>
      <c r="F593" s="216" t="s">
        <v>50</v>
      </c>
      <c r="G593" s="3" t="s">
        <v>56</v>
      </c>
      <c r="H593" s="3" t="s">
        <v>56</v>
      </c>
      <c r="M593" s="151" t="str">
        <f t="shared" si="31"/>
        <v/>
      </c>
      <c r="N593" s="151" t="str">
        <f t="shared" si="32"/>
        <v>/</v>
      </c>
      <c r="Q593" s="239" t="str">
        <f t="shared" ca="1" si="30"/>
        <v/>
      </c>
    </row>
    <row r="594" spans="3:17" ht="15.75" hidden="1" customHeight="1" outlineLevel="1" x14ac:dyDescent="0.25">
      <c r="C594" s="207"/>
      <c r="D594" s="195">
        <v>42683</v>
      </c>
      <c r="E594" s="101" t="s">
        <v>11</v>
      </c>
      <c r="F594" s="216" t="s">
        <v>49</v>
      </c>
      <c r="G594" s="3" t="s">
        <v>56</v>
      </c>
      <c r="H594" s="3" t="s">
        <v>56</v>
      </c>
      <c r="M594" s="151" t="str">
        <f t="shared" si="31"/>
        <v>/</v>
      </c>
      <c r="N594" s="151" t="str">
        <f t="shared" si="32"/>
        <v/>
      </c>
      <c r="Q594" s="239" t="str">
        <f t="shared" ca="1" si="30"/>
        <v/>
      </c>
    </row>
    <row r="595" spans="3:17" ht="15.75" hidden="1" customHeight="1" outlineLevel="1" x14ac:dyDescent="0.25">
      <c r="C595" s="207"/>
      <c r="D595" s="195">
        <v>42685</v>
      </c>
      <c r="E595" s="101" t="s">
        <v>11</v>
      </c>
      <c r="F595" s="216" t="s">
        <v>50</v>
      </c>
      <c r="G595" s="3" t="s">
        <v>56</v>
      </c>
      <c r="H595" s="3" t="s">
        <v>56</v>
      </c>
      <c r="M595" s="151" t="str">
        <f t="shared" si="31"/>
        <v/>
      </c>
      <c r="N595" s="151" t="str">
        <f t="shared" si="32"/>
        <v>/</v>
      </c>
      <c r="Q595" s="239" t="str">
        <f t="shared" ca="1" si="30"/>
        <v/>
      </c>
    </row>
    <row r="596" spans="3:17" ht="15.75" hidden="1" customHeight="1" outlineLevel="1" x14ac:dyDescent="0.25">
      <c r="C596" s="207"/>
      <c r="D596" s="195">
        <v>42686</v>
      </c>
      <c r="E596" s="101" t="s">
        <v>1</v>
      </c>
      <c r="F596" s="216" t="s">
        <v>49</v>
      </c>
      <c r="G596" s="3" t="s">
        <v>56</v>
      </c>
      <c r="H596" s="3" t="s">
        <v>56</v>
      </c>
      <c r="M596" s="151" t="str">
        <f t="shared" si="31"/>
        <v>/</v>
      </c>
      <c r="N596" s="151" t="str">
        <f t="shared" si="32"/>
        <v/>
      </c>
      <c r="Q596" s="239" t="str">
        <f t="shared" ca="1" si="30"/>
        <v/>
      </c>
    </row>
    <row r="597" spans="3:17" ht="15.75" hidden="1" customHeight="1" outlineLevel="1" x14ac:dyDescent="0.25">
      <c r="C597" s="207"/>
      <c r="D597" s="195">
        <v>42688</v>
      </c>
      <c r="E597" s="101" t="s">
        <v>10</v>
      </c>
      <c r="F597" s="216" t="s">
        <v>49</v>
      </c>
      <c r="G597" s="3" t="s">
        <v>56</v>
      </c>
      <c r="H597" s="3" t="s">
        <v>56</v>
      </c>
      <c r="M597" s="151" t="str">
        <f t="shared" si="31"/>
        <v>/</v>
      </c>
      <c r="N597" s="151" t="str">
        <f t="shared" si="32"/>
        <v/>
      </c>
      <c r="Q597" s="239" t="str">
        <f t="shared" ca="1" si="30"/>
        <v/>
      </c>
    </row>
    <row r="598" spans="3:17" ht="15.75" hidden="1" customHeight="1" outlineLevel="1" x14ac:dyDescent="0.25">
      <c r="C598" s="207"/>
      <c r="D598" s="195">
        <v>42690</v>
      </c>
      <c r="E598" s="101" t="s">
        <v>4</v>
      </c>
      <c r="F598" s="216" t="s">
        <v>49</v>
      </c>
      <c r="G598" s="3" t="s">
        <v>56</v>
      </c>
      <c r="H598" s="3" t="s">
        <v>56</v>
      </c>
      <c r="M598" s="151" t="str">
        <f t="shared" si="31"/>
        <v>/</v>
      </c>
      <c r="N598" s="151" t="str">
        <f t="shared" si="32"/>
        <v/>
      </c>
      <c r="Q598" s="239" t="str">
        <f t="shared" ca="1" si="30"/>
        <v/>
      </c>
    </row>
    <row r="599" spans="3:17" ht="15.75" hidden="1" customHeight="1" outlineLevel="1" x14ac:dyDescent="0.25">
      <c r="C599" s="207"/>
      <c r="D599" s="195">
        <v>42692</v>
      </c>
      <c r="E599" s="101" t="s">
        <v>25</v>
      </c>
      <c r="F599" s="216" t="s">
        <v>49</v>
      </c>
      <c r="G599" s="3" t="s">
        <v>56</v>
      </c>
      <c r="H599" s="3" t="s">
        <v>56</v>
      </c>
      <c r="M599" s="151" t="str">
        <f t="shared" si="31"/>
        <v>/</v>
      </c>
      <c r="N599" s="151" t="str">
        <f t="shared" si="32"/>
        <v/>
      </c>
      <c r="Q599" s="239" t="str">
        <f t="shared" ca="1" si="30"/>
        <v/>
      </c>
    </row>
    <row r="600" spans="3:17" ht="15.75" hidden="1" customHeight="1" outlineLevel="1" x14ac:dyDescent="0.25">
      <c r="C600" s="207"/>
      <c r="D600" s="195">
        <v>42694</v>
      </c>
      <c r="E600" s="101" t="s">
        <v>23</v>
      </c>
      <c r="F600" s="216" t="s">
        <v>50</v>
      </c>
      <c r="G600" s="3" t="s">
        <v>56</v>
      </c>
      <c r="H600" s="3" t="s">
        <v>56</v>
      </c>
      <c r="M600" s="151" t="str">
        <f t="shared" si="31"/>
        <v/>
      </c>
      <c r="N600" s="151" t="str">
        <f t="shared" si="32"/>
        <v>/</v>
      </c>
      <c r="Q600" s="239" t="str">
        <f t="shared" ca="1" si="30"/>
        <v/>
      </c>
    </row>
    <row r="601" spans="3:17" ht="15.75" hidden="1" customHeight="1" outlineLevel="1" x14ac:dyDescent="0.25">
      <c r="C601" s="207"/>
      <c r="D601" s="195">
        <v>42695</v>
      </c>
      <c r="E601" s="101" t="s">
        <v>16</v>
      </c>
      <c r="F601" s="216" t="s">
        <v>49</v>
      </c>
      <c r="G601" s="3" t="s">
        <v>56</v>
      </c>
      <c r="H601" s="3" t="s">
        <v>56</v>
      </c>
      <c r="M601" s="151" t="str">
        <f t="shared" si="31"/>
        <v>/</v>
      </c>
      <c r="N601" s="151" t="str">
        <f t="shared" si="32"/>
        <v/>
      </c>
      <c r="Q601" s="239" t="str">
        <f t="shared" ca="1" si="30"/>
        <v/>
      </c>
    </row>
    <row r="602" spans="3:17" ht="15.75" hidden="1" customHeight="1" outlineLevel="1" x14ac:dyDescent="0.25">
      <c r="C602" s="207"/>
      <c r="D602" s="195">
        <v>42697</v>
      </c>
      <c r="E602" s="101" t="s">
        <v>0</v>
      </c>
      <c r="F602" s="216" t="s">
        <v>49</v>
      </c>
      <c r="G602" s="3" t="s">
        <v>56</v>
      </c>
      <c r="H602" s="3" t="s">
        <v>56</v>
      </c>
      <c r="M602" s="151" t="str">
        <f t="shared" si="31"/>
        <v>/</v>
      </c>
      <c r="N602" s="151" t="str">
        <f t="shared" si="32"/>
        <v/>
      </c>
      <c r="Q602" s="239" t="str">
        <f t="shared" ca="1" si="30"/>
        <v/>
      </c>
    </row>
    <row r="603" spans="3:17" ht="15.75" hidden="1" customHeight="1" outlineLevel="1" x14ac:dyDescent="0.25">
      <c r="C603" s="207"/>
      <c r="D603" s="195">
        <v>42699</v>
      </c>
      <c r="E603" s="101" t="s">
        <v>45</v>
      </c>
      <c r="F603" s="216" t="s">
        <v>49</v>
      </c>
      <c r="G603" s="3" t="s">
        <v>56</v>
      </c>
      <c r="H603" s="3" t="s">
        <v>56</v>
      </c>
      <c r="M603" s="151" t="str">
        <f t="shared" si="31"/>
        <v>/</v>
      </c>
      <c r="N603" s="151" t="str">
        <f t="shared" si="32"/>
        <v/>
      </c>
      <c r="Q603" s="239" t="str">
        <f t="shared" ca="1" si="30"/>
        <v/>
      </c>
    </row>
    <row r="604" spans="3:17" ht="15.75" hidden="1" customHeight="1" outlineLevel="1" x14ac:dyDescent="0.25">
      <c r="C604" s="207"/>
      <c r="D604" s="195">
        <v>42701</v>
      </c>
      <c r="E604" s="101" t="s">
        <v>18</v>
      </c>
      <c r="F604" s="216" t="s">
        <v>49</v>
      </c>
      <c r="G604" s="3" t="s">
        <v>56</v>
      </c>
      <c r="H604" s="3" t="s">
        <v>56</v>
      </c>
      <c r="M604" s="151" t="str">
        <f t="shared" si="31"/>
        <v>/</v>
      </c>
      <c r="N604" s="151" t="str">
        <f t="shared" si="32"/>
        <v/>
      </c>
      <c r="Q604" s="239" t="str">
        <f t="shared" ca="1" si="30"/>
        <v/>
      </c>
    </row>
    <row r="605" spans="3:17" ht="15.75" hidden="1" customHeight="1" outlineLevel="1" x14ac:dyDescent="0.25">
      <c r="C605" s="207"/>
      <c r="D605" s="195">
        <v>42704</v>
      </c>
      <c r="E605" s="101" t="s">
        <v>24</v>
      </c>
      <c r="F605" s="216" t="s">
        <v>50</v>
      </c>
      <c r="G605" s="3" t="s">
        <v>56</v>
      </c>
      <c r="H605" s="3" t="s">
        <v>56</v>
      </c>
      <c r="M605" s="151" t="str">
        <f t="shared" si="31"/>
        <v/>
      </c>
      <c r="N605" s="151" t="str">
        <f t="shared" si="32"/>
        <v>/</v>
      </c>
      <c r="Q605" s="239" t="str">
        <f t="shared" ca="1" si="30"/>
        <v/>
      </c>
    </row>
    <row r="606" spans="3:17" ht="15.75" hidden="1" customHeight="1" outlineLevel="1" x14ac:dyDescent="0.25">
      <c r="C606" s="208"/>
      <c r="D606" s="195">
        <v>42708</v>
      </c>
      <c r="E606" s="101" t="s">
        <v>18</v>
      </c>
      <c r="F606" s="216" t="s">
        <v>50</v>
      </c>
      <c r="G606" s="3" t="s">
        <v>56</v>
      </c>
      <c r="H606" s="3" t="s">
        <v>56</v>
      </c>
      <c r="M606" s="151" t="str">
        <f t="shared" si="31"/>
        <v/>
      </c>
      <c r="N606" s="151" t="str">
        <f t="shared" si="32"/>
        <v>/</v>
      </c>
      <c r="Q606" s="239" t="str">
        <f t="shared" ca="1" si="30"/>
        <v/>
      </c>
    </row>
    <row r="607" spans="3:17" ht="15.75" hidden="1" customHeight="1" outlineLevel="1" x14ac:dyDescent="0.25">
      <c r="C607" s="208"/>
      <c r="D607" s="195">
        <v>42709</v>
      </c>
      <c r="E607" s="101" t="s">
        <v>16</v>
      </c>
      <c r="F607" s="216" t="s">
        <v>50</v>
      </c>
      <c r="G607" s="3" t="s">
        <v>56</v>
      </c>
      <c r="H607" s="3" t="s">
        <v>56</v>
      </c>
      <c r="M607" s="151" t="str">
        <f t="shared" si="31"/>
        <v/>
      </c>
      <c r="N607" s="151" t="str">
        <f t="shared" si="32"/>
        <v>/</v>
      </c>
      <c r="Q607" s="239" t="str">
        <f t="shared" ca="1" si="30"/>
        <v/>
      </c>
    </row>
    <row r="608" spans="3:17" ht="15.75" hidden="1" customHeight="1" outlineLevel="1" x14ac:dyDescent="0.25">
      <c r="C608" s="208"/>
      <c r="D608" s="195">
        <v>42711</v>
      </c>
      <c r="E608" s="101" t="s">
        <v>25</v>
      </c>
      <c r="F608" s="216" t="s">
        <v>50</v>
      </c>
      <c r="G608" s="3" t="s">
        <v>56</v>
      </c>
      <c r="H608" s="3" t="s">
        <v>56</v>
      </c>
      <c r="M608" s="151" t="str">
        <f t="shared" si="31"/>
        <v/>
      </c>
      <c r="N608" s="151" t="str">
        <f t="shared" si="32"/>
        <v>/</v>
      </c>
      <c r="Q608" s="239" t="str">
        <f t="shared" ca="1" si="30"/>
        <v/>
      </c>
    </row>
    <row r="609" spans="3:17" ht="15.75" hidden="1" customHeight="1" outlineLevel="1" x14ac:dyDescent="0.25">
      <c r="C609" s="208"/>
      <c r="D609" s="195">
        <v>42713</v>
      </c>
      <c r="E609" s="101" t="s">
        <v>14</v>
      </c>
      <c r="F609" s="216" t="s">
        <v>50</v>
      </c>
      <c r="G609" s="3" t="s">
        <v>56</v>
      </c>
      <c r="H609" s="3" t="s">
        <v>56</v>
      </c>
      <c r="M609" s="151" t="str">
        <f t="shared" si="31"/>
        <v/>
      </c>
      <c r="N609" s="151" t="str">
        <f t="shared" si="32"/>
        <v>/</v>
      </c>
      <c r="Q609" s="239" t="str">
        <f t="shared" ca="1" si="30"/>
        <v/>
      </c>
    </row>
    <row r="610" spans="3:17" ht="15.75" hidden="1" customHeight="1" outlineLevel="1" x14ac:dyDescent="0.25">
      <c r="C610" s="208"/>
      <c r="D610" s="195">
        <v>42714</v>
      </c>
      <c r="E610" s="101" t="s">
        <v>24</v>
      </c>
      <c r="F610" s="216" t="s">
        <v>49</v>
      </c>
      <c r="G610" s="3" t="s">
        <v>56</v>
      </c>
      <c r="H610" s="3" t="s">
        <v>56</v>
      </c>
      <c r="M610" s="151" t="str">
        <f t="shared" si="31"/>
        <v>/</v>
      </c>
      <c r="N610" s="151" t="str">
        <f t="shared" si="32"/>
        <v/>
      </c>
      <c r="Q610" s="239" t="str">
        <f t="shared" ca="1" si="30"/>
        <v/>
      </c>
    </row>
    <row r="611" spans="3:17" ht="15.75" hidden="1" customHeight="1" outlineLevel="1" x14ac:dyDescent="0.25">
      <c r="C611" s="208"/>
      <c r="D611" s="195">
        <v>42716</v>
      </c>
      <c r="E611" s="101" t="s">
        <v>3</v>
      </c>
      <c r="F611" s="216" t="s">
        <v>49</v>
      </c>
      <c r="G611" s="3" t="s">
        <v>56</v>
      </c>
      <c r="H611" s="3" t="s">
        <v>56</v>
      </c>
      <c r="M611" s="151" t="str">
        <f t="shared" si="31"/>
        <v>/</v>
      </c>
      <c r="N611" s="151" t="str">
        <f t="shared" si="32"/>
        <v/>
      </c>
      <c r="Q611" s="239" t="str">
        <f t="shared" ca="1" si="30"/>
        <v/>
      </c>
    </row>
    <row r="612" spans="3:17" ht="15.75" hidden="1" customHeight="1" outlineLevel="1" x14ac:dyDescent="0.25">
      <c r="C612" s="208"/>
      <c r="D612" s="195">
        <v>42718</v>
      </c>
      <c r="E612" s="101" t="s">
        <v>6</v>
      </c>
      <c r="F612" s="216" t="s">
        <v>50</v>
      </c>
      <c r="G612" s="3" t="s">
        <v>56</v>
      </c>
      <c r="H612" s="3" t="s">
        <v>56</v>
      </c>
      <c r="M612" s="151" t="str">
        <f t="shared" si="31"/>
        <v/>
      </c>
      <c r="N612" s="151" t="str">
        <f t="shared" si="32"/>
        <v>/</v>
      </c>
      <c r="Q612" s="239" t="str">
        <f t="shared" ca="1" si="30"/>
        <v/>
      </c>
    </row>
    <row r="613" spans="3:17" ht="15.75" hidden="1" customHeight="1" outlineLevel="1" x14ac:dyDescent="0.25">
      <c r="C613" s="208"/>
      <c r="D613" s="195">
        <v>42719</v>
      </c>
      <c r="E613" s="101" t="s">
        <v>22</v>
      </c>
      <c r="F613" s="216" t="s">
        <v>50</v>
      </c>
      <c r="G613" s="3" t="s">
        <v>56</v>
      </c>
      <c r="H613" s="3" t="s">
        <v>56</v>
      </c>
      <c r="M613" s="151" t="str">
        <f t="shared" si="31"/>
        <v/>
      </c>
      <c r="N613" s="151" t="str">
        <f t="shared" si="32"/>
        <v>/</v>
      </c>
      <c r="Q613" s="239" t="str">
        <f t="shared" ca="1" si="30"/>
        <v/>
      </c>
    </row>
    <row r="614" spans="3:17" ht="15.75" hidden="1" customHeight="1" outlineLevel="1" x14ac:dyDescent="0.25">
      <c r="C614" s="208"/>
      <c r="D614" s="195">
        <v>42721</v>
      </c>
      <c r="E614" s="101" t="s">
        <v>5</v>
      </c>
      <c r="F614" s="216" t="s">
        <v>50</v>
      </c>
      <c r="G614" s="3" t="s">
        <v>56</v>
      </c>
      <c r="H614" s="3" t="s">
        <v>56</v>
      </c>
      <c r="M614" s="151" t="str">
        <f t="shared" si="31"/>
        <v/>
      </c>
      <c r="N614" s="151" t="str">
        <f t="shared" si="32"/>
        <v>/</v>
      </c>
      <c r="Q614" s="239" t="str">
        <f t="shared" ca="1" si="30"/>
        <v/>
      </c>
    </row>
    <row r="615" spans="3:17" ht="15.75" hidden="1" customHeight="1" outlineLevel="1" x14ac:dyDescent="0.25">
      <c r="C615" s="208"/>
      <c r="D615" s="195">
        <v>42723</v>
      </c>
      <c r="E615" s="101" t="s">
        <v>13</v>
      </c>
      <c r="F615" s="216" t="s">
        <v>49</v>
      </c>
      <c r="G615" s="3" t="s">
        <v>56</v>
      </c>
      <c r="H615" s="3" t="s">
        <v>56</v>
      </c>
      <c r="M615" s="151" t="str">
        <f t="shared" si="31"/>
        <v>/</v>
      </c>
      <c r="N615" s="151" t="str">
        <f t="shared" si="32"/>
        <v/>
      </c>
      <c r="Q615" s="239" t="str">
        <f t="shared" ca="1" si="30"/>
        <v/>
      </c>
    </row>
    <row r="616" spans="3:17" ht="15.75" hidden="1" customHeight="1" outlineLevel="1" x14ac:dyDescent="0.25">
      <c r="C616" s="208"/>
      <c r="D616" s="195">
        <v>42724</v>
      </c>
      <c r="E616" s="101" t="s">
        <v>9</v>
      </c>
      <c r="F616" s="216" t="s">
        <v>50</v>
      </c>
      <c r="G616" s="3" t="s">
        <v>56</v>
      </c>
      <c r="H616" s="3" t="s">
        <v>56</v>
      </c>
      <c r="M616" s="151" t="str">
        <f t="shared" si="31"/>
        <v/>
      </c>
      <c r="N616" s="151" t="str">
        <f t="shared" si="32"/>
        <v>/</v>
      </c>
      <c r="Q616" s="239" t="str">
        <f t="shared" ca="1" si="30"/>
        <v/>
      </c>
    </row>
    <row r="617" spans="3:17" ht="15.75" hidden="1" customHeight="1" outlineLevel="1" x14ac:dyDescent="0.25">
      <c r="C617" s="208"/>
      <c r="D617" s="195">
        <v>42726</v>
      </c>
      <c r="E617" s="101" t="s">
        <v>1</v>
      </c>
      <c r="F617" s="216" t="s">
        <v>49</v>
      </c>
      <c r="G617" s="3" t="s">
        <v>56</v>
      </c>
      <c r="H617" s="3" t="s">
        <v>56</v>
      </c>
      <c r="M617" s="151" t="str">
        <f t="shared" si="31"/>
        <v>/</v>
      </c>
      <c r="N617" s="151" t="str">
        <f t="shared" si="32"/>
        <v/>
      </c>
      <c r="Q617" s="239" t="str">
        <f t="shared" ca="1" si="30"/>
        <v/>
      </c>
    </row>
    <row r="618" spans="3:17" ht="15.75" hidden="1" customHeight="1" outlineLevel="1" x14ac:dyDescent="0.25">
      <c r="C618" s="208"/>
      <c r="D618" s="195">
        <v>42730</v>
      </c>
      <c r="E618" s="101" t="s">
        <v>2</v>
      </c>
      <c r="F618" s="216" t="s">
        <v>50</v>
      </c>
      <c r="G618" s="3" t="s">
        <v>56</v>
      </c>
      <c r="H618" s="3" t="s">
        <v>56</v>
      </c>
      <c r="M618" s="151" t="str">
        <f t="shared" si="31"/>
        <v/>
      </c>
      <c r="N618" s="151" t="str">
        <f t="shared" si="32"/>
        <v>/</v>
      </c>
      <c r="Q618" s="239" t="str">
        <f t="shared" ca="1" si="30"/>
        <v/>
      </c>
    </row>
    <row r="619" spans="3:17" ht="15.75" hidden="1" customHeight="1" outlineLevel="1" x14ac:dyDescent="0.25">
      <c r="C619" s="208"/>
      <c r="D619" s="195">
        <v>42732</v>
      </c>
      <c r="E619" s="101" t="s">
        <v>13</v>
      </c>
      <c r="F619" s="216" t="s">
        <v>50</v>
      </c>
      <c r="G619" s="3" t="s">
        <v>56</v>
      </c>
      <c r="H619" s="3" t="s">
        <v>56</v>
      </c>
      <c r="M619" s="151" t="str">
        <f t="shared" si="31"/>
        <v/>
      </c>
      <c r="N619" s="151" t="str">
        <f t="shared" si="32"/>
        <v>/</v>
      </c>
      <c r="Q619" s="239" t="str">
        <f t="shared" ref="Q619:Q682" ca="1" si="33">IF(D619=TODAY(),1,"")</f>
        <v/>
      </c>
    </row>
    <row r="620" spans="3:17" ht="15.75" hidden="1" customHeight="1" outlineLevel="1" x14ac:dyDescent="0.25">
      <c r="C620" s="208"/>
      <c r="D620" s="195">
        <v>42734</v>
      </c>
      <c r="E620" s="101" t="s">
        <v>2</v>
      </c>
      <c r="F620" s="216" t="s">
        <v>49</v>
      </c>
      <c r="G620" s="3" t="s">
        <v>56</v>
      </c>
      <c r="H620" s="3" t="s">
        <v>56</v>
      </c>
      <c r="M620" s="151" t="str">
        <f t="shared" si="31"/>
        <v>/</v>
      </c>
      <c r="N620" s="151" t="str">
        <f t="shared" si="32"/>
        <v/>
      </c>
      <c r="Q620" s="239" t="str">
        <f t="shared" ca="1" si="33"/>
        <v/>
      </c>
    </row>
    <row r="621" spans="3:17" ht="15.75" hidden="1" customHeight="1" outlineLevel="1" x14ac:dyDescent="0.25">
      <c r="C621" s="207"/>
      <c r="D621" s="195">
        <v>42370</v>
      </c>
      <c r="E621" s="101" t="s">
        <v>10</v>
      </c>
      <c r="F621" s="216" t="s">
        <v>49</v>
      </c>
      <c r="G621" s="3" t="s">
        <v>56</v>
      </c>
      <c r="H621" s="3" t="s">
        <v>56</v>
      </c>
      <c r="M621" s="151" t="str">
        <f t="shared" si="31"/>
        <v>/</v>
      </c>
      <c r="N621" s="151" t="str">
        <f t="shared" si="32"/>
        <v/>
      </c>
      <c r="Q621" s="239" t="str">
        <f t="shared" ca="1" si="33"/>
        <v/>
      </c>
    </row>
    <row r="622" spans="3:17" ht="15.75" hidden="1" customHeight="1" outlineLevel="1" x14ac:dyDescent="0.25">
      <c r="C622" s="207"/>
      <c r="D622" s="195">
        <v>42372</v>
      </c>
      <c r="E622" s="101" t="s">
        <v>5</v>
      </c>
      <c r="F622" s="216" t="s">
        <v>50</v>
      </c>
      <c r="G622" s="3" t="s">
        <v>56</v>
      </c>
      <c r="H622" s="3" t="s">
        <v>56</v>
      </c>
      <c r="M622" s="151" t="str">
        <f t="shared" si="31"/>
        <v/>
      </c>
      <c r="N622" s="151" t="str">
        <f t="shared" si="32"/>
        <v>/</v>
      </c>
      <c r="Q622" s="239" t="str">
        <f t="shared" ca="1" si="33"/>
        <v/>
      </c>
    </row>
    <row r="623" spans="3:17" ht="15.75" hidden="1" customHeight="1" outlineLevel="1" x14ac:dyDescent="0.25">
      <c r="C623" s="207"/>
      <c r="D623" s="195">
        <v>42374</v>
      </c>
      <c r="E623" s="101" t="s">
        <v>45</v>
      </c>
      <c r="F623" s="216" t="s">
        <v>49</v>
      </c>
      <c r="G623" s="3" t="s">
        <v>56</v>
      </c>
      <c r="H623" s="3" t="s">
        <v>56</v>
      </c>
      <c r="M623" s="151" t="str">
        <f t="shared" si="31"/>
        <v>/</v>
      </c>
      <c r="N623" s="151" t="str">
        <f t="shared" si="32"/>
        <v/>
      </c>
      <c r="Q623" s="239" t="str">
        <f t="shared" ca="1" si="33"/>
        <v/>
      </c>
    </row>
    <row r="624" spans="3:17" ht="15.75" hidden="1" customHeight="1" outlineLevel="1" x14ac:dyDescent="0.25">
      <c r="C624" s="207"/>
      <c r="D624" s="195">
        <v>42376</v>
      </c>
      <c r="E624" s="101" t="s">
        <v>9</v>
      </c>
      <c r="F624" s="216" t="s">
        <v>49</v>
      </c>
      <c r="G624" s="3" t="s">
        <v>56</v>
      </c>
      <c r="H624" s="3" t="s">
        <v>56</v>
      </c>
      <c r="M624" s="151" t="str">
        <f t="shared" si="31"/>
        <v>/</v>
      </c>
      <c r="N624" s="151" t="str">
        <f t="shared" si="32"/>
        <v/>
      </c>
      <c r="Q624" s="239" t="str">
        <f t="shared" ca="1" si="33"/>
        <v/>
      </c>
    </row>
    <row r="625" spans="3:17" ht="15.75" hidden="1" customHeight="1" outlineLevel="1" x14ac:dyDescent="0.25">
      <c r="C625" s="207"/>
      <c r="D625" s="195">
        <v>42381</v>
      </c>
      <c r="E625" s="101" t="s">
        <v>15</v>
      </c>
      <c r="F625" s="216" t="s">
        <v>50</v>
      </c>
      <c r="G625" s="3" t="s">
        <v>56</v>
      </c>
      <c r="H625" s="3" t="s">
        <v>56</v>
      </c>
      <c r="M625" s="151" t="str">
        <f t="shared" si="31"/>
        <v/>
      </c>
      <c r="N625" s="151" t="str">
        <f t="shared" si="32"/>
        <v>/</v>
      </c>
      <c r="Q625" s="239" t="str">
        <f t="shared" ca="1" si="33"/>
        <v/>
      </c>
    </row>
    <row r="626" spans="3:17" ht="15.75" hidden="1" customHeight="1" outlineLevel="1" x14ac:dyDescent="0.25">
      <c r="C626" s="207"/>
      <c r="D626" s="195">
        <v>42385</v>
      </c>
      <c r="E626" s="101" t="s">
        <v>22</v>
      </c>
      <c r="F626" s="216" t="s">
        <v>49</v>
      </c>
      <c r="G626" s="3" t="s">
        <v>56</v>
      </c>
      <c r="H626" s="3" t="s">
        <v>56</v>
      </c>
      <c r="M626" s="151" t="str">
        <f t="shared" si="31"/>
        <v>/</v>
      </c>
      <c r="N626" s="151" t="str">
        <f t="shared" si="32"/>
        <v/>
      </c>
      <c r="Q626" s="239" t="str">
        <f t="shared" ca="1" si="33"/>
        <v/>
      </c>
    </row>
    <row r="627" spans="3:17" ht="15.75" hidden="1" customHeight="1" outlineLevel="1" x14ac:dyDescent="0.25">
      <c r="C627" s="207"/>
      <c r="D627" s="195">
        <v>42387</v>
      </c>
      <c r="E627" s="101" t="s">
        <v>26</v>
      </c>
      <c r="F627" s="216" t="s">
        <v>50</v>
      </c>
      <c r="G627" s="3" t="s">
        <v>56</v>
      </c>
      <c r="H627" s="3" t="s">
        <v>56</v>
      </c>
      <c r="M627" s="151" t="str">
        <f t="shared" si="31"/>
        <v/>
      </c>
      <c r="N627" s="151" t="str">
        <f t="shared" si="32"/>
        <v>/</v>
      </c>
      <c r="Q627" s="239" t="str">
        <f t="shared" ca="1" si="33"/>
        <v/>
      </c>
    </row>
    <row r="628" spans="3:17" ht="15.75" hidden="1" customHeight="1" outlineLevel="1" x14ac:dyDescent="0.25">
      <c r="C628" s="207"/>
      <c r="D628" s="195">
        <v>42389</v>
      </c>
      <c r="E628" s="101" t="s">
        <v>644</v>
      </c>
      <c r="F628" s="216" t="s">
        <v>50</v>
      </c>
      <c r="G628" s="3" t="s">
        <v>56</v>
      </c>
      <c r="H628" s="3" t="s">
        <v>56</v>
      </c>
      <c r="M628" s="151" t="str">
        <f t="shared" si="31"/>
        <v/>
      </c>
      <c r="N628" s="151" t="str">
        <f t="shared" si="32"/>
        <v>/</v>
      </c>
      <c r="Q628" s="239" t="str">
        <f t="shared" ca="1" si="33"/>
        <v/>
      </c>
    </row>
    <row r="629" spans="3:17" ht="15.75" hidden="1" customHeight="1" outlineLevel="1" x14ac:dyDescent="0.25">
      <c r="C629" s="207"/>
      <c r="D629" s="195">
        <v>42390</v>
      </c>
      <c r="E629" s="101" t="s">
        <v>28</v>
      </c>
      <c r="F629" s="216" t="s">
        <v>50</v>
      </c>
      <c r="G629" s="3" t="s">
        <v>56</v>
      </c>
      <c r="H629" s="3" t="s">
        <v>56</v>
      </c>
      <c r="M629" s="151" t="str">
        <f t="shared" si="31"/>
        <v/>
      </c>
      <c r="N629" s="151" t="str">
        <f t="shared" si="32"/>
        <v>/</v>
      </c>
      <c r="Q629" s="239" t="str">
        <f t="shared" ca="1" si="33"/>
        <v/>
      </c>
    </row>
    <row r="630" spans="3:17" ht="15.75" hidden="1" customHeight="1" outlineLevel="1" x14ac:dyDescent="0.25">
      <c r="C630" s="207"/>
      <c r="D630" s="195">
        <v>42392</v>
      </c>
      <c r="E630" s="101" t="s">
        <v>9</v>
      </c>
      <c r="F630" s="216" t="s">
        <v>49</v>
      </c>
      <c r="G630" s="3" t="s">
        <v>56</v>
      </c>
      <c r="H630" s="3" t="s">
        <v>56</v>
      </c>
      <c r="M630" s="151" t="str">
        <f t="shared" si="31"/>
        <v>/</v>
      </c>
      <c r="N630" s="151" t="str">
        <f t="shared" si="32"/>
        <v/>
      </c>
      <c r="Q630" s="239" t="str">
        <f t="shared" ca="1" si="33"/>
        <v/>
      </c>
    </row>
    <row r="631" spans="3:17" ht="15.75" hidden="1" customHeight="1" outlineLevel="1" x14ac:dyDescent="0.25">
      <c r="C631" s="207"/>
      <c r="D631" s="195">
        <v>42395</v>
      </c>
      <c r="E631" s="101" t="s">
        <v>21</v>
      </c>
      <c r="F631" s="216" t="s">
        <v>50</v>
      </c>
      <c r="G631" s="3" t="s">
        <v>56</v>
      </c>
      <c r="H631" s="3" t="s">
        <v>56</v>
      </c>
      <c r="M631" s="151" t="str">
        <f t="shared" si="31"/>
        <v/>
      </c>
      <c r="N631" s="151" t="str">
        <f t="shared" si="32"/>
        <v>/</v>
      </c>
      <c r="Q631" s="239" t="str">
        <f t="shared" ca="1" si="33"/>
        <v/>
      </c>
    </row>
    <row r="632" spans="3:17" ht="15.75" hidden="1" customHeight="1" outlineLevel="1" x14ac:dyDescent="0.25">
      <c r="C632" s="207"/>
      <c r="D632" s="195">
        <v>42396</v>
      </c>
      <c r="E632" s="101" t="s">
        <v>26</v>
      </c>
      <c r="F632" s="216" t="s">
        <v>49</v>
      </c>
      <c r="G632" s="3" t="s">
        <v>56</v>
      </c>
      <c r="H632" s="3" t="s">
        <v>56</v>
      </c>
      <c r="M632" s="151" t="str">
        <f t="shared" si="31"/>
        <v>/</v>
      </c>
      <c r="N632" s="151" t="str">
        <f t="shared" si="32"/>
        <v/>
      </c>
      <c r="Q632" s="239" t="str">
        <f t="shared" ca="1" si="33"/>
        <v/>
      </c>
    </row>
    <row r="633" spans="3:17" ht="15.75" hidden="1" customHeight="1" outlineLevel="1" x14ac:dyDescent="0.25">
      <c r="C633" s="207"/>
      <c r="D633" s="195">
        <v>42398</v>
      </c>
      <c r="E633" s="101" t="s">
        <v>17</v>
      </c>
      <c r="F633" s="216" t="s">
        <v>49</v>
      </c>
      <c r="G633" s="3" t="s">
        <v>56</v>
      </c>
      <c r="H633" s="3" t="s">
        <v>56</v>
      </c>
      <c r="M633" s="151" t="str">
        <f t="shared" si="31"/>
        <v>/</v>
      </c>
      <c r="N633" s="151" t="str">
        <f t="shared" si="32"/>
        <v/>
      </c>
      <c r="Q633" s="239" t="str">
        <f t="shared" ca="1" si="33"/>
        <v/>
      </c>
    </row>
    <row r="634" spans="3:17" ht="15.75" hidden="1" customHeight="1" outlineLevel="1" x14ac:dyDescent="0.25">
      <c r="C634" s="208"/>
      <c r="D634" s="195">
        <v>42401</v>
      </c>
      <c r="E634" s="101" t="s">
        <v>10</v>
      </c>
      <c r="F634" s="216" t="s">
        <v>50</v>
      </c>
      <c r="G634" s="3" t="s">
        <v>56</v>
      </c>
      <c r="H634" s="3" t="s">
        <v>56</v>
      </c>
      <c r="M634" s="151" t="str">
        <f t="shared" si="31"/>
        <v/>
      </c>
      <c r="N634" s="151" t="str">
        <f t="shared" si="32"/>
        <v>/</v>
      </c>
      <c r="Q634" s="239" t="str">
        <f t="shared" ca="1" si="33"/>
        <v/>
      </c>
    </row>
    <row r="635" spans="3:17" ht="15.75" hidden="1" customHeight="1" outlineLevel="1" x14ac:dyDescent="0.25">
      <c r="C635" s="208"/>
      <c r="D635" s="195">
        <v>42403</v>
      </c>
      <c r="E635" s="101" t="s">
        <v>45</v>
      </c>
      <c r="F635" s="216" t="s">
        <v>50</v>
      </c>
      <c r="G635" s="3" t="s">
        <v>56</v>
      </c>
      <c r="H635" s="3" t="s">
        <v>56</v>
      </c>
      <c r="M635" s="151" t="str">
        <f t="shared" si="31"/>
        <v/>
      </c>
      <c r="N635" s="151" t="str">
        <f t="shared" si="32"/>
        <v>/</v>
      </c>
      <c r="Q635" s="239" t="str">
        <f t="shared" ca="1" si="33"/>
        <v/>
      </c>
    </row>
    <row r="636" spans="3:17" ht="15.75" hidden="1" customHeight="1" outlineLevel="1" x14ac:dyDescent="0.25">
      <c r="C636" s="208"/>
      <c r="D636" s="195">
        <v>42404</v>
      </c>
      <c r="E636" s="101" t="s">
        <v>5</v>
      </c>
      <c r="F636" s="216" t="s">
        <v>49</v>
      </c>
      <c r="G636" s="3" t="s">
        <v>56</v>
      </c>
      <c r="H636" s="3" t="s">
        <v>56</v>
      </c>
      <c r="M636" s="151" t="str">
        <f t="shared" si="31"/>
        <v>/</v>
      </c>
      <c r="N636" s="151" t="str">
        <f t="shared" si="32"/>
        <v/>
      </c>
      <c r="Q636" s="239" t="str">
        <f t="shared" ca="1" si="33"/>
        <v/>
      </c>
    </row>
    <row r="637" spans="3:17" ht="15.75" hidden="1" customHeight="1" outlineLevel="1" x14ac:dyDescent="0.25">
      <c r="C637" s="208"/>
      <c r="D637" s="195">
        <v>42406</v>
      </c>
      <c r="E637" s="101" t="s">
        <v>23</v>
      </c>
      <c r="F637" s="216" t="s">
        <v>49</v>
      </c>
      <c r="G637" s="3" t="s">
        <v>56</v>
      </c>
      <c r="H637" s="3" t="s">
        <v>56</v>
      </c>
      <c r="M637" s="151" t="str">
        <f t="shared" si="31"/>
        <v>/</v>
      </c>
      <c r="N637" s="151" t="str">
        <f t="shared" si="32"/>
        <v/>
      </c>
      <c r="Q637" s="239" t="str">
        <f t="shared" ca="1" si="33"/>
        <v/>
      </c>
    </row>
    <row r="638" spans="3:17" ht="15.75" hidden="1" customHeight="1" outlineLevel="1" x14ac:dyDescent="0.25">
      <c r="C638" s="208"/>
      <c r="D638" s="195">
        <v>42408</v>
      </c>
      <c r="E638" s="101" t="s">
        <v>4</v>
      </c>
      <c r="F638" s="216" t="s">
        <v>49</v>
      </c>
      <c r="G638" s="3" t="s">
        <v>56</v>
      </c>
      <c r="H638" s="3" t="s">
        <v>56</v>
      </c>
      <c r="M638" s="151" t="str">
        <f t="shared" si="31"/>
        <v>/</v>
      </c>
      <c r="N638" s="151" t="str">
        <f t="shared" si="32"/>
        <v/>
      </c>
      <c r="Q638" s="239" t="str">
        <f t="shared" ca="1" si="33"/>
        <v/>
      </c>
    </row>
    <row r="639" spans="3:17" ht="15.75" hidden="1" customHeight="1" outlineLevel="1" x14ac:dyDescent="0.25">
      <c r="C639" s="208"/>
      <c r="D639" s="195">
        <v>42410</v>
      </c>
      <c r="E639" s="101" t="s">
        <v>13</v>
      </c>
      <c r="F639" s="216" t="s">
        <v>50</v>
      </c>
      <c r="G639" s="3" t="s">
        <v>56</v>
      </c>
      <c r="H639" s="3" t="s">
        <v>56</v>
      </c>
      <c r="M639" s="151" t="str">
        <f t="shared" si="31"/>
        <v/>
      </c>
      <c r="N639" s="151" t="str">
        <f t="shared" si="32"/>
        <v>/</v>
      </c>
      <c r="Q639" s="239" t="str">
        <f t="shared" ca="1" si="33"/>
        <v/>
      </c>
    </row>
    <row r="640" spans="3:17" ht="15.75" hidden="1" customHeight="1" outlineLevel="1" x14ac:dyDescent="0.25">
      <c r="C640" s="208"/>
      <c r="D640" s="195">
        <v>42411</v>
      </c>
      <c r="E640" s="101" t="s">
        <v>8</v>
      </c>
      <c r="F640" s="216" t="s">
        <v>49</v>
      </c>
      <c r="G640" s="3" t="s">
        <v>56</v>
      </c>
      <c r="H640" s="3" t="s">
        <v>56</v>
      </c>
      <c r="M640" s="151" t="str">
        <f t="shared" si="31"/>
        <v>/</v>
      </c>
      <c r="N640" s="151" t="str">
        <f t="shared" si="32"/>
        <v/>
      </c>
      <c r="Q640" s="239" t="str">
        <f t="shared" ca="1" si="33"/>
        <v/>
      </c>
    </row>
    <row r="641" spans="3:17" ht="15.75" hidden="1" customHeight="1" outlineLevel="1" x14ac:dyDescent="0.25">
      <c r="C641" s="208"/>
      <c r="D641" s="195">
        <v>42413</v>
      </c>
      <c r="E641" s="101" t="s">
        <v>46</v>
      </c>
      <c r="F641" s="216" t="s">
        <v>49</v>
      </c>
      <c r="G641" s="3" t="s">
        <v>56</v>
      </c>
      <c r="H641" s="3" t="s">
        <v>56</v>
      </c>
      <c r="M641" s="151" t="str">
        <f t="shared" si="31"/>
        <v>/</v>
      </c>
      <c r="N641" s="151" t="str">
        <f t="shared" si="32"/>
        <v/>
      </c>
      <c r="Q641" s="239" t="str">
        <f t="shared" ca="1" si="33"/>
        <v/>
      </c>
    </row>
    <row r="642" spans="3:17" ht="15.75" hidden="1" customHeight="1" outlineLevel="1" x14ac:dyDescent="0.25">
      <c r="C642" s="208"/>
      <c r="D642" s="195">
        <v>42415</v>
      </c>
      <c r="E642" s="101" t="s">
        <v>4</v>
      </c>
      <c r="F642" s="216" t="s">
        <v>50</v>
      </c>
      <c r="G642" s="3" t="s">
        <v>56</v>
      </c>
      <c r="H642" s="3" t="s">
        <v>56</v>
      </c>
      <c r="M642" s="151" t="str">
        <f t="shared" si="31"/>
        <v/>
      </c>
      <c r="N642" s="151" t="str">
        <f t="shared" si="32"/>
        <v>/</v>
      </c>
      <c r="Q642" s="239" t="str">
        <f t="shared" ca="1" si="33"/>
        <v/>
      </c>
    </row>
    <row r="643" spans="3:17" ht="15.75" hidden="1" customHeight="1" outlineLevel="1" x14ac:dyDescent="0.25">
      <c r="C643" s="208"/>
      <c r="D643" s="195">
        <v>42416</v>
      </c>
      <c r="E643" s="101" t="s">
        <v>13</v>
      </c>
      <c r="F643" s="216" t="s">
        <v>49</v>
      </c>
      <c r="G643" s="3" t="s">
        <v>56</v>
      </c>
      <c r="H643" s="3" t="s">
        <v>56</v>
      </c>
      <c r="M643" s="151" t="str">
        <f t="shared" si="31"/>
        <v>/</v>
      </c>
      <c r="N643" s="151" t="str">
        <f t="shared" si="32"/>
        <v/>
      </c>
      <c r="Q643" s="239" t="str">
        <f t="shared" ca="1" si="33"/>
        <v/>
      </c>
    </row>
    <row r="644" spans="3:17" ht="15.75" hidden="1" customHeight="1" outlineLevel="1" x14ac:dyDescent="0.25">
      <c r="C644" s="208"/>
      <c r="D644" s="195">
        <v>42424</v>
      </c>
      <c r="E644" s="101" t="s">
        <v>20</v>
      </c>
      <c r="F644" s="216" t="s">
        <v>49</v>
      </c>
      <c r="G644" s="3" t="s">
        <v>56</v>
      </c>
      <c r="H644" s="3" t="s">
        <v>56</v>
      </c>
      <c r="M644" s="151" t="str">
        <f t="shared" si="31"/>
        <v>/</v>
      </c>
      <c r="N644" s="151" t="str">
        <f t="shared" si="32"/>
        <v/>
      </c>
      <c r="Q644" s="239" t="str">
        <f t="shared" ca="1" si="33"/>
        <v/>
      </c>
    </row>
    <row r="645" spans="3:17" ht="15.75" hidden="1" customHeight="1" outlineLevel="1" x14ac:dyDescent="0.25">
      <c r="C645" s="208"/>
      <c r="D645" s="195">
        <v>42425</v>
      </c>
      <c r="E645" s="101" t="s">
        <v>6</v>
      </c>
      <c r="F645" s="216" t="s">
        <v>50</v>
      </c>
      <c r="G645" s="3" t="s">
        <v>56</v>
      </c>
      <c r="H645" s="3" t="s">
        <v>56</v>
      </c>
      <c r="M645" s="151" t="str">
        <f t="shared" si="31"/>
        <v/>
      </c>
      <c r="N645" s="151" t="str">
        <f t="shared" si="32"/>
        <v>/</v>
      </c>
      <c r="Q645" s="239" t="str">
        <f t="shared" ca="1" si="33"/>
        <v/>
      </c>
    </row>
    <row r="646" spans="3:17" ht="15.75" hidden="1" customHeight="1" outlineLevel="1" x14ac:dyDescent="0.25">
      <c r="C646" s="208"/>
      <c r="D646" s="195">
        <v>42427</v>
      </c>
      <c r="E646" s="101" t="s">
        <v>17</v>
      </c>
      <c r="F646" s="216" t="s">
        <v>50</v>
      </c>
      <c r="G646" s="3" t="s">
        <v>56</v>
      </c>
      <c r="H646" s="3" t="s">
        <v>56</v>
      </c>
      <c r="M646" s="151" t="str">
        <f t="shared" si="31"/>
        <v/>
      </c>
      <c r="N646" s="151" t="str">
        <f t="shared" si="32"/>
        <v>/</v>
      </c>
      <c r="Q646" s="239" t="str">
        <f t="shared" ca="1" si="33"/>
        <v/>
      </c>
    </row>
    <row r="647" spans="3:17" ht="15.75" hidden="1" customHeight="1" outlineLevel="1" x14ac:dyDescent="0.25">
      <c r="C647" s="207"/>
      <c r="D647" s="195">
        <v>42430</v>
      </c>
      <c r="E647" s="101" t="s">
        <v>46</v>
      </c>
      <c r="F647" s="216" t="s">
        <v>50</v>
      </c>
      <c r="G647" s="3" t="s">
        <v>56</v>
      </c>
      <c r="H647" s="3" t="s">
        <v>56</v>
      </c>
      <c r="M647" s="151" t="str">
        <f t="shared" ref="M647:M710" si="34">IF(F647="D",H647,"")</f>
        <v/>
      </c>
      <c r="N647" s="151" t="str">
        <f t="shared" ref="N647:N710" si="35">IF(F647="E",H647,"")</f>
        <v>/</v>
      </c>
      <c r="Q647" s="239" t="str">
        <f t="shared" ca="1" si="33"/>
        <v/>
      </c>
    </row>
    <row r="648" spans="3:17" ht="15.75" hidden="1" customHeight="1" outlineLevel="1" x14ac:dyDescent="0.25">
      <c r="C648" s="207"/>
      <c r="D648" s="195">
        <v>42434</v>
      </c>
      <c r="E648" s="101" t="s">
        <v>0</v>
      </c>
      <c r="F648" s="216" t="s">
        <v>50</v>
      </c>
      <c r="G648" s="3" t="s">
        <v>56</v>
      </c>
      <c r="H648" s="3" t="s">
        <v>56</v>
      </c>
      <c r="M648" s="151" t="str">
        <f t="shared" si="34"/>
        <v/>
      </c>
      <c r="N648" s="151" t="str">
        <f t="shared" si="35"/>
        <v>/</v>
      </c>
      <c r="Q648" s="239" t="str">
        <f t="shared" ca="1" si="33"/>
        <v/>
      </c>
    </row>
    <row r="649" spans="3:17" ht="15.75" hidden="1" customHeight="1" outlineLevel="1" x14ac:dyDescent="0.25">
      <c r="C649" s="207"/>
      <c r="D649" s="195">
        <v>42435</v>
      </c>
      <c r="E649" s="101" t="s">
        <v>3</v>
      </c>
      <c r="F649" s="216" t="s">
        <v>50</v>
      </c>
      <c r="G649" s="3" t="s">
        <v>56</v>
      </c>
      <c r="H649" s="3" t="s">
        <v>56</v>
      </c>
      <c r="M649" s="151" t="str">
        <f t="shared" si="34"/>
        <v/>
      </c>
      <c r="N649" s="151" t="str">
        <f t="shared" si="35"/>
        <v>/</v>
      </c>
      <c r="Q649" s="239" t="str">
        <f t="shared" ca="1" si="33"/>
        <v/>
      </c>
    </row>
    <row r="650" spans="3:17" ht="15.75" hidden="1" customHeight="1" outlineLevel="1" x14ac:dyDescent="0.25">
      <c r="C650" s="207"/>
      <c r="D650" s="195">
        <v>42437</v>
      </c>
      <c r="E650" s="101" t="s">
        <v>5</v>
      </c>
      <c r="F650" s="216" t="s">
        <v>49</v>
      </c>
      <c r="G650" s="3" t="s">
        <v>56</v>
      </c>
      <c r="H650" s="3" t="s">
        <v>56</v>
      </c>
      <c r="M650" s="151" t="str">
        <f t="shared" si="34"/>
        <v>/</v>
      </c>
      <c r="N650" s="151" t="str">
        <f t="shared" si="35"/>
        <v/>
      </c>
      <c r="Q650" s="239" t="str">
        <f t="shared" ca="1" si="33"/>
        <v/>
      </c>
    </row>
    <row r="651" spans="3:17" ht="15.75" hidden="1" customHeight="1" outlineLevel="1" x14ac:dyDescent="0.25">
      <c r="C651" s="207"/>
      <c r="D651" s="195">
        <v>42439</v>
      </c>
      <c r="E651" s="101" t="s">
        <v>8</v>
      </c>
      <c r="F651" s="216" t="s">
        <v>50</v>
      </c>
      <c r="G651" s="3" t="s">
        <v>56</v>
      </c>
      <c r="H651" s="3" t="s">
        <v>56</v>
      </c>
      <c r="M651" s="151" t="str">
        <f t="shared" si="34"/>
        <v/>
      </c>
      <c r="N651" s="151" t="str">
        <f t="shared" si="35"/>
        <v>/</v>
      </c>
      <c r="Q651" s="239" t="str">
        <f t="shared" ca="1" si="33"/>
        <v/>
      </c>
    </row>
    <row r="652" spans="3:17" ht="15.75" hidden="1" customHeight="1" outlineLevel="1" x14ac:dyDescent="0.25">
      <c r="C652" s="207"/>
      <c r="D652" s="195">
        <v>42441</v>
      </c>
      <c r="E652" s="101" t="s">
        <v>6</v>
      </c>
      <c r="F652" s="216" t="s">
        <v>49</v>
      </c>
      <c r="G652" s="3" t="s">
        <v>56</v>
      </c>
      <c r="H652" s="3" t="s">
        <v>56</v>
      </c>
      <c r="M652" s="151" t="str">
        <f t="shared" si="34"/>
        <v>/</v>
      </c>
      <c r="N652" s="151" t="str">
        <f t="shared" si="35"/>
        <v/>
      </c>
      <c r="Q652" s="239" t="str">
        <f t="shared" ca="1" si="33"/>
        <v/>
      </c>
    </row>
    <row r="653" spans="3:17" ht="15.75" hidden="1" customHeight="1" outlineLevel="1" x14ac:dyDescent="0.25">
      <c r="C653" s="207"/>
      <c r="D653" s="195">
        <v>42443</v>
      </c>
      <c r="E653" s="101" t="s">
        <v>9</v>
      </c>
      <c r="F653" s="216" t="s">
        <v>50</v>
      </c>
      <c r="G653" s="3" t="s">
        <v>56</v>
      </c>
      <c r="H653" s="3" t="s">
        <v>56</v>
      </c>
      <c r="M653" s="151" t="str">
        <f t="shared" si="34"/>
        <v/>
      </c>
      <c r="N653" s="151" t="str">
        <f t="shared" si="35"/>
        <v>/</v>
      </c>
      <c r="Q653" s="239" t="str">
        <f t="shared" ca="1" si="33"/>
        <v/>
      </c>
    </row>
    <row r="654" spans="3:17" ht="15.75" hidden="1" customHeight="1" outlineLevel="1" x14ac:dyDescent="0.25">
      <c r="C654" s="207"/>
      <c r="D654" s="195">
        <v>42444</v>
      </c>
      <c r="E654" s="101" t="s">
        <v>3</v>
      </c>
      <c r="F654" s="216" t="s">
        <v>49</v>
      </c>
      <c r="G654" s="3" t="s">
        <v>56</v>
      </c>
      <c r="H654" s="3" t="s">
        <v>56</v>
      </c>
      <c r="M654" s="151" t="str">
        <f t="shared" si="34"/>
        <v>/</v>
      </c>
      <c r="N654" s="151" t="str">
        <f t="shared" si="35"/>
        <v/>
      </c>
      <c r="Q654" s="239" t="str">
        <f t="shared" ca="1" si="33"/>
        <v/>
      </c>
    </row>
    <row r="655" spans="3:17" ht="15.75" hidden="1" customHeight="1" outlineLevel="1" x14ac:dyDescent="0.25">
      <c r="C655" s="207"/>
      <c r="D655" s="195">
        <v>42448</v>
      </c>
      <c r="E655" s="101" t="s">
        <v>12</v>
      </c>
      <c r="F655" s="216" t="s">
        <v>50</v>
      </c>
      <c r="G655" s="3" t="s">
        <v>56</v>
      </c>
      <c r="H655" s="3" t="s">
        <v>56</v>
      </c>
      <c r="M655" s="151" t="str">
        <f t="shared" si="34"/>
        <v/>
      </c>
      <c r="N655" s="151" t="str">
        <f t="shared" si="35"/>
        <v>/</v>
      </c>
      <c r="Q655" s="239" t="str">
        <f t="shared" ca="1" si="33"/>
        <v/>
      </c>
    </row>
    <row r="656" spans="3:17" ht="15.75" hidden="1" customHeight="1" outlineLevel="1" x14ac:dyDescent="0.25">
      <c r="C656" s="207"/>
      <c r="D656" s="195">
        <v>42449</v>
      </c>
      <c r="E656" s="101" t="s">
        <v>28</v>
      </c>
      <c r="F656" s="216" t="s">
        <v>49</v>
      </c>
      <c r="G656" s="3" t="s">
        <v>56</v>
      </c>
      <c r="H656" s="3" t="s">
        <v>56</v>
      </c>
      <c r="M656" s="151" t="str">
        <f t="shared" si="34"/>
        <v>/</v>
      </c>
      <c r="N656" s="151" t="str">
        <f t="shared" si="35"/>
        <v/>
      </c>
      <c r="Q656" s="239" t="str">
        <f t="shared" ca="1" si="33"/>
        <v/>
      </c>
    </row>
    <row r="657" spans="2:17" ht="15.75" hidden="1" customHeight="1" outlineLevel="1" x14ac:dyDescent="0.25">
      <c r="C657" s="207"/>
      <c r="D657" s="195">
        <v>42451</v>
      </c>
      <c r="E657" s="101" t="s">
        <v>1</v>
      </c>
      <c r="F657" s="216" t="s">
        <v>50</v>
      </c>
      <c r="G657" s="3" t="s">
        <v>56</v>
      </c>
      <c r="H657" s="3" t="s">
        <v>56</v>
      </c>
      <c r="M657" s="151" t="str">
        <f t="shared" si="34"/>
        <v/>
      </c>
      <c r="N657" s="151" t="str">
        <f t="shared" si="35"/>
        <v>/</v>
      </c>
      <c r="Q657" s="239" t="str">
        <f t="shared" ca="1" si="33"/>
        <v/>
      </c>
    </row>
    <row r="658" spans="2:17" ht="15.75" hidden="1" customHeight="1" outlineLevel="1" x14ac:dyDescent="0.25">
      <c r="C658" s="207"/>
      <c r="D658" s="195">
        <v>42453</v>
      </c>
      <c r="E658" s="101" t="s">
        <v>15</v>
      </c>
      <c r="F658" s="216" t="s">
        <v>49</v>
      </c>
      <c r="G658" s="3" t="s">
        <v>56</v>
      </c>
      <c r="H658" s="3" t="s">
        <v>56</v>
      </c>
      <c r="M658" s="151" t="str">
        <f t="shared" si="34"/>
        <v>/</v>
      </c>
      <c r="N658" s="151" t="str">
        <f t="shared" si="35"/>
        <v/>
      </c>
      <c r="Q658" s="239" t="str">
        <f t="shared" ca="1" si="33"/>
        <v/>
      </c>
    </row>
    <row r="659" spans="2:17" ht="15.75" hidden="1" customHeight="1" outlineLevel="1" x14ac:dyDescent="0.25">
      <c r="C659" s="207"/>
      <c r="D659" s="195">
        <v>42455</v>
      </c>
      <c r="E659" s="101" t="s">
        <v>11</v>
      </c>
      <c r="F659" s="216" t="s">
        <v>49</v>
      </c>
      <c r="G659" s="3" t="s">
        <v>56</v>
      </c>
      <c r="H659" s="3" t="s">
        <v>56</v>
      </c>
      <c r="M659" s="151" t="str">
        <f t="shared" si="34"/>
        <v>/</v>
      </c>
      <c r="N659" s="151" t="str">
        <f t="shared" si="35"/>
        <v/>
      </c>
      <c r="Q659" s="239" t="str">
        <f t="shared" ca="1" si="33"/>
        <v/>
      </c>
    </row>
    <row r="660" spans="2:17" ht="15.75" hidden="1" customHeight="1" outlineLevel="1" x14ac:dyDescent="0.25">
      <c r="C660" s="207"/>
      <c r="D660" s="195">
        <v>42457</v>
      </c>
      <c r="E660" s="101" t="s">
        <v>21</v>
      </c>
      <c r="F660" s="216" t="s">
        <v>49</v>
      </c>
      <c r="G660" s="3" t="s">
        <v>56</v>
      </c>
      <c r="H660" s="3" t="s">
        <v>56</v>
      </c>
      <c r="M660" s="151" t="str">
        <f t="shared" si="34"/>
        <v>/</v>
      </c>
      <c r="N660" s="151" t="str">
        <f t="shared" si="35"/>
        <v/>
      </c>
      <c r="Q660" s="239" t="str">
        <f t="shared" ca="1" si="33"/>
        <v/>
      </c>
    </row>
    <row r="661" spans="2:17" ht="15.75" hidden="1" customHeight="1" outlineLevel="1" x14ac:dyDescent="0.25">
      <c r="C661" s="207"/>
      <c r="D661" s="195">
        <v>42458</v>
      </c>
      <c r="E661" s="101" t="s">
        <v>20</v>
      </c>
      <c r="F661" s="216" t="s">
        <v>50</v>
      </c>
      <c r="G661" s="3" t="s">
        <v>56</v>
      </c>
      <c r="H661" s="3" t="s">
        <v>56</v>
      </c>
      <c r="M661" s="151" t="str">
        <f t="shared" si="34"/>
        <v/>
      </c>
      <c r="N661" s="151" t="str">
        <f t="shared" si="35"/>
        <v>/</v>
      </c>
      <c r="Q661" s="239" t="str">
        <f t="shared" ca="1" si="33"/>
        <v/>
      </c>
    </row>
    <row r="662" spans="2:17" ht="15.75" hidden="1" customHeight="1" outlineLevel="1" x14ac:dyDescent="0.25">
      <c r="C662" s="207"/>
      <c r="D662" s="195">
        <v>42460</v>
      </c>
      <c r="E662" s="101" t="s">
        <v>12</v>
      </c>
      <c r="F662" s="216" t="s">
        <v>50</v>
      </c>
      <c r="G662" s="3" t="s">
        <v>56</v>
      </c>
      <c r="H662" s="3" t="s">
        <v>56</v>
      </c>
      <c r="M662" s="151" t="str">
        <f t="shared" si="34"/>
        <v/>
      </c>
      <c r="N662" s="151" t="str">
        <f t="shared" si="35"/>
        <v>/</v>
      </c>
      <c r="Q662" s="239" t="str">
        <f t="shared" ca="1" si="33"/>
        <v/>
      </c>
    </row>
    <row r="663" spans="2:17" ht="15.75" hidden="1" customHeight="1" outlineLevel="1" x14ac:dyDescent="0.25">
      <c r="C663" s="208"/>
      <c r="D663" s="195">
        <v>42462</v>
      </c>
      <c r="E663" s="101" t="s">
        <v>4</v>
      </c>
      <c r="F663" s="216" t="s">
        <v>50</v>
      </c>
      <c r="G663" s="3" t="s">
        <v>56</v>
      </c>
      <c r="H663" s="3" t="s">
        <v>56</v>
      </c>
      <c r="M663" s="151" t="str">
        <f t="shared" si="34"/>
        <v/>
      </c>
      <c r="N663" s="151" t="str">
        <f t="shared" si="35"/>
        <v>/</v>
      </c>
      <c r="Q663" s="239" t="str">
        <f t="shared" ca="1" si="33"/>
        <v/>
      </c>
    </row>
    <row r="664" spans="2:17" ht="15.75" hidden="1" customHeight="1" outlineLevel="1" x14ac:dyDescent="0.25">
      <c r="C664" s="208"/>
      <c r="D664" s="195">
        <v>42464</v>
      </c>
      <c r="E664" s="101" t="s">
        <v>12</v>
      </c>
      <c r="F664" s="216" t="s">
        <v>49</v>
      </c>
      <c r="G664" s="3" t="s">
        <v>56</v>
      </c>
      <c r="H664" s="3" t="s">
        <v>56</v>
      </c>
      <c r="M664" s="151" t="str">
        <f t="shared" si="34"/>
        <v>/</v>
      </c>
      <c r="N664" s="151" t="str">
        <f t="shared" si="35"/>
        <v/>
      </c>
      <c r="Q664" s="239" t="str">
        <f t="shared" ca="1" si="33"/>
        <v/>
      </c>
    </row>
    <row r="665" spans="2:17" ht="15.75" hidden="1" customHeight="1" outlineLevel="1" x14ac:dyDescent="0.25">
      <c r="C665" s="208"/>
      <c r="D665" s="195">
        <v>42466</v>
      </c>
      <c r="E665" s="101" t="s">
        <v>8</v>
      </c>
      <c r="F665" s="216" t="s">
        <v>49</v>
      </c>
      <c r="G665" s="3" t="s">
        <v>56</v>
      </c>
      <c r="H665" s="3" t="s">
        <v>56</v>
      </c>
      <c r="M665" s="151" t="str">
        <f t="shared" si="34"/>
        <v>/</v>
      </c>
      <c r="N665" s="151" t="str">
        <f t="shared" si="35"/>
        <v/>
      </c>
      <c r="Q665" s="239" t="str">
        <f t="shared" ca="1" si="33"/>
        <v/>
      </c>
    </row>
    <row r="666" spans="2:17" ht="15.75" hidden="1" customHeight="1" outlineLevel="1" x14ac:dyDescent="0.25">
      <c r="C666" s="208"/>
      <c r="D666" s="195">
        <v>42468</v>
      </c>
      <c r="E666" s="101" t="s">
        <v>10</v>
      </c>
      <c r="F666" s="216" t="s">
        <v>50</v>
      </c>
      <c r="G666" s="3" t="s">
        <v>56</v>
      </c>
      <c r="H666" s="3" t="s">
        <v>56</v>
      </c>
      <c r="M666" s="151" t="str">
        <f t="shared" si="34"/>
        <v/>
      </c>
      <c r="N666" s="151" t="str">
        <f t="shared" si="35"/>
        <v>/</v>
      </c>
      <c r="Q666" s="239" t="str">
        <f t="shared" ca="1" si="33"/>
        <v/>
      </c>
    </row>
    <row r="667" spans="2:17" ht="15.75" hidden="1" customHeight="1" outlineLevel="1" x14ac:dyDescent="0.25">
      <c r="C667" s="208"/>
      <c r="D667" s="195">
        <v>42470</v>
      </c>
      <c r="E667" s="101" t="s">
        <v>11</v>
      </c>
      <c r="F667" s="216" t="s">
        <v>50</v>
      </c>
      <c r="G667" s="3" t="s">
        <v>56</v>
      </c>
      <c r="H667" s="3" t="s">
        <v>56</v>
      </c>
      <c r="M667" s="151" t="str">
        <f t="shared" si="34"/>
        <v/>
      </c>
      <c r="N667" s="151" t="str">
        <f t="shared" si="35"/>
        <v>/</v>
      </c>
      <c r="Q667" s="239" t="str">
        <f t="shared" ca="1" si="33"/>
        <v/>
      </c>
    </row>
    <row r="668" spans="2:17" ht="15.75" hidden="1" customHeight="1" outlineLevel="1" x14ac:dyDescent="0.25">
      <c r="C668" s="208"/>
      <c r="D668" s="195">
        <v>42472</v>
      </c>
      <c r="E668" s="102" t="s">
        <v>0</v>
      </c>
      <c r="F668" s="217" t="s">
        <v>49</v>
      </c>
      <c r="G668" s="3" t="s">
        <v>56</v>
      </c>
      <c r="H668" s="3" t="s">
        <v>56</v>
      </c>
      <c r="M668" s="151" t="str">
        <f t="shared" si="34"/>
        <v>/</v>
      </c>
      <c r="N668" s="151" t="str">
        <f t="shared" si="35"/>
        <v/>
      </c>
      <c r="Q668" s="239" t="str">
        <f t="shared" ca="1" si="33"/>
        <v/>
      </c>
    </row>
    <row r="669" spans="2:17" collapsed="1" x14ac:dyDescent="0.25">
      <c r="B669" s="404" t="str">
        <f ca="1">"- "&amp;INDEX(E670:E751,MATCH(TODAY(),D670:D751,0))</f>
        <v>- Charlotte</v>
      </c>
      <c r="C669" s="404"/>
      <c r="D669" s="406" t="s">
        <v>6</v>
      </c>
      <c r="E669" s="407"/>
      <c r="F669" s="408"/>
      <c r="H669" s="3"/>
      <c r="Q669" s="239" t="str">
        <f t="shared" ca="1" si="33"/>
        <v/>
      </c>
    </row>
    <row r="670" spans="2:17" ht="16.5" hidden="1" customHeight="1" outlineLevel="1" x14ac:dyDescent="0.25">
      <c r="C670" s="207"/>
      <c r="D670" s="195">
        <v>42669</v>
      </c>
      <c r="E670" s="103" t="s">
        <v>10</v>
      </c>
      <c r="F670" s="215" t="s">
        <v>50</v>
      </c>
      <c r="G670" s="3">
        <v>1</v>
      </c>
      <c r="H670" s="3">
        <v>108</v>
      </c>
      <c r="I670" s="151">
        <v>25</v>
      </c>
      <c r="J670" s="151">
        <v>54</v>
      </c>
      <c r="K670" s="151">
        <v>63</v>
      </c>
      <c r="L670" s="151">
        <v>47</v>
      </c>
      <c r="M670" s="151" t="str">
        <f t="shared" si="34"/>
        <v/>
      </c>
      <c r="N670" s="151">
        <f t="shared" si="35"/>
        <v>108</v>
      </c>
      <c r="P670" s="151">
        <v>96</v>
      </c>
      <c r="Q670" s="239" t="str">
        <f t="shared" ca="1" si="33"/>
        <v/>
      </c>
    </row>
    <row r="671" spans="2:17" ht="15.75" hidden="1" customHeight="1" outlineLevel="1" x14ac:dyDescent="0.25">
      <c r="C671" s="207"/>
      <c r="D671" s="195">
        <v>42671</v>
      </c>
      <c r="E671" s="101" t="s">
        <v>3</v>
      </c>
      <c r="F671" s="216" t="s">
        <v>49</v>
      </c>
      <c r="G671" s="3" t="s">
        <v>56</v>
      </c>
      <c r="H671" s="3" t="s">
        <v>56</v>
      </c>
      <c r="M671" s="151" t="str">
        <f t="shared" si="34"/>
        <v>/</v>
      </c>
      <c r="N671" s="151" t="str">
        <f t="shared" si="35"/>
        <v/>
      </c>
      <c r="Q671" s="239">
        <f t="shared" ca="1" si="33"/>
        <v>1</v>
      </c>
    </row>
    <row r="672" spans="2:17" ht="15.75" hidden="1" customHeight="1" outlineLevel="1" x14ac:dyDescent="0.25">
      <c r="C672" s="207"/>
      <c r="D672" s="195">
        <v>42734</v>
      </c>
      <c r="E672" s="101" t="s">
        <v>46</v>
      </c>
      <c r="F672" s="216" t="s">
        <v>49</v>
      </c>
      <c r="G672" s="3" t="s">
        <v>56</v>
      </c>
      <c r="H672" s="3" t="s">
        <v>56</v>
      </c>
      <c r="M672" s="151" t="str">
        <f t="shared" si="34"/>
        <v>/</v>
      </c>
      <c r="N672" s="151" t="str">
        <f t="shared" si="35"/>
        <v/>
      </c>
      <c r="Q672" s="239" t="str">
        <f t="shared" ca="1" si="33"/>
        <v/>
      </c>
    </row>
    <row r="673" spans="3:17" ht="15.75" hidden="1" customHeight="1" outlineLevel="1" x14ac:dyDescent="0.25">
      <c r="C673" s="207"/>
      <c r="D673" s="195">
        <v>42675</v>
      </c>
      <c r="E673" s="101" t="s">
        <v>26</v>
      </c>
      <c r="F673" s="216" t="s">
        <v>49</v>
      </c>
      <c r="G673" s="3" t="s">
        <v>56</v>
      </c>
      <c r="H673" s="3" t="s">
        <v>56</v>
      </c>
      <c r="M673" s="151" t="str">
        <f t="shared" si="34"/>
        <v>/</v>
      </c>
      <c r="N673" s="151" t="str">
        <f t="shared" si="35"/>
        <v/>
      </c>
      <c r="Q673" s="239" t="str">
        <f t="shared" ca="1" si="33"/>
        <v/>
      </c>
    </row>
    <row r="674" spans="3:17" ht="15.75" hidden="1" customHeight="1" outlineLevel="1" x14ac:dyDescent="0.25">
      <c r="C674" s="207"/>
      <c r="D674" s="195">
        <v>42678</v>
      </c>
      <c r="E674" s="101" t="s">
        <v>12</v>
      </c>
      <c r="F674" s="216" t="s">
        <v>50</v>
      </c>
      <c r="G674" s="3" t="s">
        <v>56</v>
      </c>
      <c r="H674" s="3" t="s">
        <v>56</v>
      </c>
      <c r="M674" s="151" t="str">
        <f t="shared" si="34"/>
        <v/>
      </c>
      <c r="N674" s="151" t="str">
        <f t="shared" si="35"/>
        <v>/</v>
      </c>
      <c r="Q674" s="239" t="str">
        <f t="shared" ca="1" si="33"/>
        <v/>
      </c>
    </row>
    <row r="675" spans="3:17" ht="15.75" hidden="1" customHeight="1" outlineLevel="1" x14ac:dyDescent="0.25">
      <c r="C675" s="207"/>
      <c r="D675" s="195">
        <v>42681</v>
      </c>
      <c r="E675" s="101" t="s">
        <v>23</v>
      </c>
      <c r="F675" s="216" t="s">
        <v>50</v>
      </c>
      <c r="G675" s="3" t="s">
        <v>56</v>
      </c>
      <c r="H675" s="3" t="s">
        <v>56</v>
      </c>
      <c r="M675" s="151" t="str">
        <f t="shared" si="34"/>
        <v/>
      </c>
      <c r="N675" s="151" t="str">
        <f t="shared" si="35"/>
        <v>/</v>
      </c>
      <c r="Q675" s="239" t="str">
        <f t="shared" ca="1" si="33"/>
        <v/>
      </c>
    </row>
    <row r="676" spans="3:17" ht="15.75" hidden="1" customHeight="1" outlineLevel="1" x14ac:dyDescent="0.25">
      <c r="C676" s="207"/>
      <c r="D676" s="195">
        <v>42684</v>
      </c>
      <c r="E676" s="101" t="s">
        <v>2</v>
      </c>
      <c r="F676" s="216" t="s">
        <v>49</v>
      </c>
      <c r="G676" s="3" t="s">
        <v>56</v>
      </c>
      <c r="H676" s="3" t="s">
        <v>56</v>
      </c>
      <c r="M676" s="151" t="str">
        <f t="shared" si="34"/>
        <v>/</v>
      </c>
      <c r="N676" s="151" t="str">
        <f t="shared" si="35"/>
        <v/>
      </c>
      <c r="Q676" s="239" t="str">
        <f t="shared" ca="1" si="33"/>
        <v/>
      </c>
    </row>
    <row r="677" spans="3:17" ht="15.75" hidden="1" customHeight="1" outlineLevel="1" x14ac:dyDescent="0.25">
      <c r="C677" s="207"/>
      <c r="D677" s="195">
        <v>42686</v>
      </c>
      <c r="E677" s="101" t="s">
        <v>28</v>
      </c>
      <c r="F677" s="216" t="s">
        <v>49</v>
      </c>
      <c r="G677" s="3" t="s">
        <v>56</v>
      </c>
      <c r="H677" s="3" t="s">
        <v>56</v>
      </c>
      <c r="M677" s="151" t="str">
        <f t="shared" si="34"/>
        <v>/</v>
      </c>
      <c r="N677" s="151" t="str">
        <f t="shared" si="35"/>
        <v/>
      </c>
      <c r="Q677" s="239" t="str">
        <f t="shared" ca="1" si="33"/>
        <v/>
      </c>
    </row>
    <row r="678" spans="3:17" ht="15.75" hidden="1" customHeight="1" outlineLevel="1" x14ac:dyDescent="0.25">
      <c r="C678" s="207"/>
      <c r="D678" s="195">
        <v>42688</v>
      </c>
      <c r="E678" s="101" t="s">
        <v>46</v>
      </c>
      <c r="F678" s="216" t="s">
        <v>50</v>
      </c>
      <c r="G678" s="3" t="s">
        <v>56</v>
      </c>
      <c r="H678" s="3" t="s">
        <v>56</v>
      </c>
      <c r="M678" s="151" t="str">
        <f t="shared" si="34"/>
        <v/>
      </c>
      <c r="N678" s="151" t="str">
        <f t="shared" si="35"/>
        <v>/</v>
      </c>
      <c r="Q678" s="239" t="str">
        <f t="shared" ca="1" si="33"/>
        <v/>
      </c>
    </row>
    <row r="679" spans="3:17" ht="15.75" hidden="1" customHeight="1" outlineLevel="1" x14ac:dyDescent="0.25">
      <c r="C679" s="207"/>
      <c r="D679" s="195">
        <v>42689</v>
      </c>
      <c r="E679" s="101" t="s">
        <v>0</v>
      </c>
      <c r="F679" s="216" t="s">
        <v>49</v>
      </c>
      <c r="G679" s="3" t="s">
        <v>56</v>
      </c>
      <c r="H679" s="3" t="s">
        <v>56</v>
      </c>
      <c r="M679" s="151" t="str">
        <f t="shared" si="34"/>
        <v>/</v>
      </c>
      <c r="N679" s="151" t="str">
        <f t="shared" si="35"/>
        <v/>
      </c>
      <c r="Q679" s="239" t="str">
        <f t="shared" ca="1" si="33"/>
        <v/>
      </c>
    </row>
    <row r="680" spans="3:17" ht="15.75" hidden="1" customHeight="1" outlineLevel="1" x14ac:dyDescent="0.25">
      <c r="C680" s="207"/>
      <c r="D680" s="195">
        <v>42691</v>
      </c>
      <c r="E680" s="101" t="s">
        <v>8</v>
      </c>
      <c r="F680" s="216" t="s">
        <v>49</v>
      </c>
      <c r="G680" s="3" t="s">
        <v>56</v>
      </c>
      <c r="H680" s="3" t="s">
        <v>56</v>
      </c>
      <c r="M680" s="151" t="str">
        <f t="shared" si="34"/>
        <v>/</v>
      </c>
      <c r="N680" s="151" t="str">
        <f t="shared" si="35"/>
        <v/>
      </c>
      <c r="Q680" s="239" t="str">
        <f t="shared" ca="1" si="33"/>
        <v/>
      </c>
    </row>
    <row r="681" spans="3:17" ht="15.75" hidden="1" customHeight="1" outlineLevel="1" x14ac:dyDescent="0.25">
      <c r="C681" s="207"/>
      <c r="D681" s="195">
        <v>42693</v>
      </c>
      <c r="E681" s="101" t="s">
        <v>13</v>
      </c>
      <c r="F681" s="216" t="s">
        <v>50</v>
      </c>
      <c r="G681" s="3" t="s">
        <v>56</v>
      </c>
      <c r="H681" s="3" t="s">
        <v>56</v>
      </c>
      <c r="M681" s="151" t="str">
        <f t="shared" si="34"/>
        <v/>
      </c>
      <c r="N681" s="151" t="str">
        <f t="shared" si="35"/>
        <v>/</v>
      </c>
      <c r="Q681" s="239" t="str">
        <f t="shared" ca="1" si="33"/>
        <v/>
      </c>
    </row>
    <row r="682" spans="3:17" ht="15.75" hidden="1" customHeight="1" outlineLevel="1" x14ac:dyDescent="0.25">
      <c r="C682" s="207"/>
      <c r="D682" s="195">
        <v>42695</v>
      </c>
      <c r="E682" s="101" t="s">
        <v>11</v>
      </c>
      <c r="F682" s="216" t="s">
        <v>50</v>
      </c>
      <c r="G682" s="3" t="s">
        <v>56</v>
      </c>
      <c r="H682" s="3" t="s">
        <v>56</v>
      </c>
      <c r="M682" s="151" t="str">
        <f t="shared" si="34"/>
        <v/>
      </c>
      <c r="N682" s="151" t="str">
        <f t="shared" si="35"/>
        <v>/</v>
      </c>
      <c r="Q682" s="239" t="str">
        <f t="shared" ca="1" si="33"/>
        <v/>
      </c>
    </row>
    <row r="683" spans="3:17" ht="15.75" hidden="1" customHeight="1" outlineLevel="1" x14ac:dyDescent="0.25">
      <c r="C683" s="207"/>
      <c r="D683" s="195">
        <v>42697</v>
      </c>
      <c r="E683" s="101" t="s">
        <v>5</v>
      </c>
      <c r="F683" s="216" t="s">
        <v>50</v>
      </c>
      <c r="G683" s="3" t="s">
        <v>56</v>
      </c>
      <c r="H683" s="3" t="s">
        <v>56</v>
      </c>
      <c r="M683" s="151" t="str">
        <f t="shared" si="34"/>
        <v/>
      </c>
      <c r="N683" s="151" t="str">
        <f t="shared" si="35"/>
        <v>/</v>
      </c>
      <c r="Q683" s="239" t="str">
        <f t="shared" ref="Q683:Q746" ca="1" si="36">IF(D683=TODAY(),1,"")</f>
        <v/>
      </c>
    </row>
    <row r="684" spans="3:17" ht="15.75" hidden="1" customHeight="1" outlineLevel="1" x14ac:dyDescent="0.25">
      <c r="C684" s="207"/>
      <c r="D684" s="195">
        <v>42699</v>
      </c>
      <c r="E684" s="101" t="s">
        <v>20</v>
      </c>
      <c r="F684" s="216" t="s">
        <v>50</v>
      </c>
      <c r="G684" s="3" t="s">
        <v>56</v>
      </c>
      <c r="H684" s="3" t="s">
        <v>56</v>
      </c>
      <c r="M684" s="151" t="str">
        <f t="shared" si="34"/>
        <v/>
      </c>
      <c r="N684" s="151" t="str">
        <f t="shared" si="35"/>
        <v>/</v>
      </c>
      <c r="Q684" s="239" t="str">
        <f t="shared" ca="1" si="36"/>
        <v/>
      </c>
    </row>
    <row r="685" spans="3:17" ht="15.75" hidden="1" customHeight="1" outlineLevel="1" x14ac:dyDescent="0.25">
      <c r="C685" s="207"/>
      <c r="D685" s="195">
        <v>42700</v>
      </c>
      <c r="E685" s="101" t="s">
        <v>20</v>
      </c>
      <c r="F685" s="216" t="s">
        <v>49</v>
      </c>
      <c r="G685" s="3" t="s">
        <v>56</v>
      </c>
      <c r="H685" s="3" t="s">
        <v>56</v>
      </c>
      <c r="M685" s="151" t="str">
        <f t="shared" si="34"/>
        <v>/</v>
      </c>
      <c r="N685" s="151" t="str">
        <f t="shared" si="35"/>
        <v/>
      </c>
      <c r="Q685" s="239" t="str">
        <f t="shared" ca="1" si="36"/>
        <v/>
      </c>
    </row>
    <row r="686" spans="3:17" ht="15.75" hidden="1" customHeight="1" outlineLevel="1" x14ac:dyDescent="0.25">
      <c r="C686" s="207"/>
      <c r="D686" s="195">
        <v>42702</v>
      </c>
      <c r="E686" s="101" t="s">
        <v>1</v>
      </c>
      <c r="F686" s="216" t="s">
        <v>49</v>
      </c>
      <c r="G686" s="3" t="s">
        <v>56</v>
      </c>
      <c r="H686" s="3" t="s">
        <v>56</v>
      </c>
      <c r="M686" s="151" t="str">
        <f t="shared" si="34"/>
        <v>/</v>
      </c>
      <c r="N686" s="151" t="str">
        <f t="shared" si="35"/>
        <v/>
      </c>
      <c r="Q686" s="239" t="str">
        <f t="shared" ca="1" si="36"/>
        <v/>
      </c>
    </row>
    <row r="687" spans="3:17" ht="15.75" hidden="1" customHeight="1" outlineLevel="1" x14ac:dyDescent="0.25">
      <c r="C687" s="207"/>
      <c r="D687" s="195">
        <v>42704</v>
      </c>
      <c r="E687" s="101" t="s">
        <v>15</v>
      </c>
      <c r="F687" s="216" t="s">
        <v>50</v>
      </c>
      <c r="G687" s="3" t="s">
        <v>56</v>
      </c>
      <c r="H687" s="3" t="s">
        <v>56</v>
      </c>
      <c r="M687" s="151" t="str">
        <f t="shared" si="34"/>
        <v/>
      </c>
      <c r="N687" s="151" t="str">
        <f t="shared" si="35"/>
        <v>/</v>
      </c>
      <c r="Q687" s="239" t="str">
        <f t="shared" ca="1" si="36"/>
        <v/>
      </c>
    </row>
    <row r="688" spans="3:17" ht="15.75" hidden="1" customHeight="1" outlineLevel="1" x14ac:dyDescent="0.25">
      <c r="C688" s="208"/>
      <c r="D688" s="195">
        <v>42705</v>
      </c>
      <c r="E688" s="101" t="s">
        <v>28</v>
      </c>
      <c r="F688" s="216" t="s">
        <v>50</v>
      </c>
      <c r="G688" s="3" t="s">
        <v>56</v>
      </c>
      <c r="H688" s="3" t="s">
        <v>56</v>
      </c>
      <c r="M688" s="151" t="str">
        <f t="shared" si="34"/>
        <v/>
      </c>
      <c r="N688" s="151" t="str">
        <f t="shared" si="35"/>
        <v>/</v>
      </c>
      <c r="Q688" s="239" t="str">
        <f t="shared" ca="1" si="36"/>
        <v/>
      </c>
    </row>
    <row r="689" spans="3:17" ht="15.75" hidden="1" customHeight="1" outlineLevel="1" x14ac:dyDescent="0.25">
      <c r="C689" s="208"/>
      <c r="D689" s="195">
        <v>42707</v>
      </c>
      <c r="E689" s="101" t="s">
        <v>24</v>
      </c>
      <c r="F689" s="216" t="s">
        <v>50</v>
      </c>
      <c r="G689" s="3" t="s">
        <v>56</v>
      </c>
      <c r="H689" s="3" t="s">
        <v>56</v>
      </c>
      <c r="M689" s="151" t="str">
        <f t="shared" si="34"/>
        <v/>
      </c>
      <c r="N689" s="151" t="str">
        <f t="shared" si="35"/>
        <v>/</v>
      </c>
      <c r="Q689" s="239" t="str">
        <f t="shared" ca="1" si="36"/>
        <v/>
      </c>
    </row>
    <row r="690" spans="3:17" ht="15.75" hidden="1" customHeight="1" outlineLevel="1" x14ac:dyDescent="0.25">
      <c r="C690" s="208"/>
      <c r="D690" s="195">
        <v>42710</v>
      </c>
      <c r="E690" s="101" t="s">
        <v>9</v>
      </c>
      <c r="F690" s="216" t="s">
        <v>49</v>
      </c>
      <c r="G690" s="3" t="s">
        <v>56</v>
      </c>
      <c r="H690" s="3" t="s">
        <v>56</v>
      </c>
      <c r="M690" s="151" t="str">
        <f t="shared" si="34"/>
        <v>/</v>
      </c>
      <c r="N690" s="151" t="str">
        <f t="shared" si="35"/>
        <v/>
      </c>
      <c r="Q690" s="239" t="str">
        <f t="shared" ca="1" si="36"/>
        <v/>
      </c>
    </row>
    <row r="691" spans="3:17" ht="15.75" hidden="1" customHeight="1" outlineLevel="1" x14ac:dyDescent="0.25">
      <c r="C691" s="208"/>
      <c r="D691" s="195">
        <v>42711</v>
      </c>
      <c r="E691" s="101" t="s">
        <v>0</v>
      </c>
      <c r="F691" s="216" t="s">
        <v>50</v>
      </c>
      <c r="G691" s="3" t="s">
        <v>56</v>
      </c>
      <c r="H691" s="3" t="s">
        <v>56</v>
      </c>
      <c r="M691" s="151" t="str">
        <f t="shared" si="34"/>
        <v/>
      </c>
      <c r="N691" s="151" t="str">
        <f t="shared" si="35"/>
        <v>/</v>
      </c>
      <c r="Q691" s="239" t="str">
        <f t="shared" ca="1" si="36"/>
        <v/>
      </c>
    </row>
    <row r="692" spans="3:17" ht="15.75" hidden="1" customHeight="1" outlineLevel="1" x14ac:dyDescent="0.25">
      <c r="C692" s="208"/>
      <c r="D692" s="195">
        <v>42713</v>
      </c>
      <c r="E692" s="101" t="s">
        <v>4</v>
      </c>
      <c r="F692" s="216" t="s">
        <v>50</v>
      </c>
      <c r="G692" s="3" t="s">
        <v>56</v>
      </c>
      <c r="H692" s="3" t="s">
        <v>56</v>
      </c>
      <c r="M692" s="151" t="str">
        <f t="shared" si="34"/>
        <v/>
      </c>
      <c r="N692" s="151" t="str">
        <f t="shared" si="35"/>
        <v>/</v>
      </c>
      <c r="Q692" s="239" t="str">
        <f t="shared" ca="1" si="36"/>
        <v/>
      </c>
    </row>
    <row r="693" spans="3:17" ht="15.75" hidden="1" customHeight="1" outlineLevel="1" x14ac:dyDescent="0.25">
      <c r="C693" s="208"/>
      <c r="D693" s="195">
        <v>42714</v>
      </c>
      <c r="E693" s="101" t="s">
        <v>2</v>
      </c>
      <c r="F693" s="216" t="s">
        <v>50</v>
      </c>
      <c r="G693" s="3" t="s">
        <v>56</v>
      </c>
      <c r="H693" s="3" t="s">
        <v>56</v>
      </c>
      <c r="M693" s="151" t="str">
        <f t="shared" si="34"/>
        <v/>
      </c>
      <c r="N693" s="151" t="str">
        <f t="shared" si="35"/>
        <v>/</v>
      </c>
      <c r="Q693" s="239" t="str">
        <f t="shared" ca="1" si="36"/>
        <v/>
      </c>
    </row>
    <row r="694" spans="3:17" ht="15.75" hidden="1" customHeight="1" outlineLevel="1" x14ac:dyDescent="0.25">
      <c r="C694" s="208"/>
      <c r="D694" s="195">
        <v>42716</v>
      </c>
      <c r="E694" s="101" t="s">
        <v>13</v>
      </c>
      <c r="F694" s="216" t="s">
        <v>49</v>
      </c>
      <c r="G694" s="3" t="s">
        <v>56</v>
      </c>
      <c r="H694" s="3" t="s">
        <v>56</v>
      </c>
      <c r="M694" s="151" t="str">
        <f t="shared" si="34"/>
        <v>/</v>
      </c>
      <c r="N694" s="151" t="str">
        <f t="shared" si="35"/>
        <v/>
      </c>
      <c r="Q694" s="239" t="str">
        <f t="shared" ca="1" si="36"/>
        <v/>
      </c>
    </row>
    <row r="695" spans="3:17" ht="15.75" hidden="1" customHeight="1" outlineLevel="1" x14ac:dyDescent="0.25">
      <c r="C695" s="208"/>
      <c r="D695" s="195">
        <v>42718</v>
      </c>
      <c r="E695" s="101" t="s">
        <v>7</v>
      </c>
      <c r="F695" s="216" t="s">
        <v>49</v>
      </c>
      <c r="G695" s="3" t="s">
        <v>56</v>
      </c>
      <c r="H695" s="3" t="s">
        <v>56</v>
      </c>
      <c r="M695" s="151" t="str">
        <f t="shared" si="34"/>
        <v>/</v>
      </c>
      <c r="N695" s="151" t="str">
        <f t="shared" si="35"/>
        <v/>
      </c>
      <c r="Q695" s="239" t="str">
        <f t="shared" ca="1" si="36"/>
        <v/>
      </c>
    </row>
    <row r="696" spans="3:17" ht="15.75" hidden="1" customHeight="1" outlineLevel="1" x14ac:dyDescent="0.25">
      <c r="C696" s="208"/>
      <c r="D696" s="195">
        <v>42720</v>
      </c>
      <c r="E696" s="101" t="s">
        <v>18</v>
      </c>
      <c r="F696" s="216" t="s">
        <v>49</v>
      </c>
      <c r="G696" s="3" t="s">
        <v>56</v>
      </c>
      <c r="H696" s="3" t="s">
        <v>56</v>
      </c>
      <c r="M696" s="151" t="str">
        <f t="shared" si="34"/>
        <v>/</v>
      </c>
      <c r="N696" s="151" t="str">
        <f t="shared" si="35"/>
        <v/>
      </c>
      <c r="Q696" s="239" t="str">
        <f t="shared" ca="1" si="36"/>
        <v/>
      </c>
    </row>
    <row r="697" spans="3:17" ht="15.75" hidden="1" customHeight="1" outlineLevel="1" x14ac:dyDescent="0.25">
      <c r="C697" s="208"/>
      <c r="D697" s="195">
        <v>42722</v>
      </c>
      <c r="E697" s="101" t="s">
        <v>1</v>
      </c>
      <c r="F697" s="216" t="s">
        <v>49</v>
      </c>
      <c r="G697" s="3" t="s">
        <v>56</v>
      </c>
      <c r="H697" s="3" t="s">
        <v>56</v>
      </c>
      <c r="M697" s="151" t="str">
        <f t="shared" si="34"/>
        <v>/</v>
      </c>
      <c r="N697" s="151" t="str">
        <f t="shared" si="35"/>
        <v/>
      </c>
      <c r="Q697" s="239" t="str">
        <f t="shared" ca="1" si="36"/>
        <v/>
      </c>
    </row>
    <row r="698" spans="3:17" ht="15.75" hidden="1" customHeight="1" outlineLevel="1" x14ac:dyDescent="0.25">
      <c r="C698" s="208"/>
      <c r="D698" s="195">
        <v>42724</v>
      </c>
      <c r="E698" s="101" t="s">
        <v>10</v>
      </c>
      <c r="F698" s="216" t="s">
        <v>49</v>
      </c>
      <c r="G698" s="3" t="s">
        <v>56</v>
      </c>
      <c r="H698" s="3" t="s">
        <v>56</v>
      </c>
      <c r="M698" s="151" t="str">
        <f t="shared" si="34"/>
        <v>/</v>
      </c>
      <c r="N698" s="151" t="str">
        <f t="shared" si="35"/>
        <v/>
      </c>
      <c r="Q698" s="239" t="str">
        <f t="shared" ca="1" si="36"/>
        <v/>
      </c>
    </row>
    <row r="699" spans="3:17" ht="15.75" hidden="1" customHeight="1" outlineLevel="1" x14ac:dyDescent="0.25">
      <c r="C699" s="208"/>
      <c r="D699" s="195">
        <v>42726</v>
      </c>
      <c r="E699" s="101" t="s">
        <v>644</v>
      </c>
      <c r="F699" s="216" t="s">
        <v>49</v>
      </c>
      <c r="G699" s="3" t="s">
        <v>56</v>
      </c>
      <c r="H699" s="3" t="s">
        <v>56</v>
      </c>
      <c r="M699" s="151" t="str">
        <f t="shared" si="34"/>
        <v>/</v>
      </c>
      <c r="N699" s="151" t="str">
        <f t="shared" si="35"/>
        <v/>
      </c>
      <c r="Q699" s="239" t="str">
        <f t="shared" ca="1" si="36"/>
        <v/>
      </c>
    </row>
    <row r="700" spans="3:17" ht="15.75" hidden="1" customHeight="1" outlineLevel="1" x14ac:dyDescent="0.25">
      <c r="C700" s="208"/>
      <c r="D700" s="195">
        <v>42727</v>
      </c>
      <c r="E700" s="101" t="s">
        <v>22</v>
      </c>
      <c r="F700" s="216" t="s">
        <v>50</v>
      </c>
      <c r="G700" s="3" t="s">
        <v>56</v>
      </c>
      <c r="H700" s="3" t="s">
        <v>56</v>
      </c>
      <c r="M700" s="151" t="str">
        <f t="shared" si="34"/>
        <v/>
      </c>
      <c r="N700" s="151" t="str">
        <f t="shared" si="35"/>
        <v>/</v>
      </c>
      <c r="Q700" s="239" t="str">
        <f t="shared" ca="1" si="36"/>
        <v/>
      </c>
    </row>
    <row r="701" spans="3:17" ht="15.75" hidden="1" customHeight="1" outlineLevel="1" x14ac:dyDescent="0.25">
      <c r="C701" s="208"/>
      <c r="D701" s="195">
        <v>42731</v>
      </c>
      <c r="E701" s="101" t="s">
        <v>23</v>
      </c>
      <c r="F701" s="216" t="s">
        <v>49</v>
      </c>
      <c r="G701" s="3" t="s">
        <v>56</v>
      </c>
      <c r="H701" s="3" t="s">
        <v>56</v>
      </c>
      <c r="M701" s="151" t="str">
        <f t="shared" si="34"/>
        <v>/</v>
      </c>
      <c r="N701" s="151" t="str">
        <f t="shared" si="35"/>
        <v/>
      </c>
      <c r="Q701" s="239" t="str">
        <f t="shared" ca="1" si="36"/>
        <v/>
      </c>
    </row>
    <row r="702" spans="3:17" ht="15.75" hidden="1" customHeight="1" outlineLevel="1" x14ac:dyDescent="0.25">
      <c r="C702" s="208"/>
      <c r="D702" s="195">
        <v>42733</v>
      </c>
      <c r="E702" s="101" t="s">
        <v>3</v>
      </c>
      <c r="F702" s="216" t="s">
        <v>50</v>
      </c>
      <c r="G702" s="3" t="s">
        <v>56</v>
      </c>
      <c r="H702" s="3" t="s">
        <v>56</v>
      </c>
      <c r="M702" s="151" t="str">
        <f t="shared" si="34"/>
        <v/>
      </c>
      <c r="N702" s="151" t="str">
        <f t="shared" si="35"/>
        <v>/</v>
      </c>
      <c r="Q702" s="239" t="str">
        <f t="shared" ca="1" si="36"/>
        <v/>
      </c>
    </row>
    <row r="703" spans="3:17" ht="15.75" hidden="1" customHeight="1" outlineLevel="1" x14ac:dyDescent="0.25">
      <c r="C703" s="208"/>
      <c r="D703" s="195">
        <v>42734</v>
      </c>
      <c r="E703" s="101" t="s">
        <v>1</v>
      </c>
      <c r="F703" s="216" t="s">
        <v>50</v>
      </c>
      <c r="G703" s="3" t="s">
        <v>56</v>
      </c>
      <c r="H703" s="3" t="s">
        <v>56</v>
      </c>
      <c r="M703" s="151" t="str">
        <f t="shared" si="34"/>
        <v/>
      </c>
      <c r="N703" s="151" t="str">
        <f t="shared" si="35"/>
        <v>/</v>
      </c>
      <c r="Q703" s="239" t="str">
        <f t="shared" ca="1" si="36"/>
        <v/>
      </c>
    </row>
    <row r="704" spans="3:17" ht="15.75" hidden="1" customHeight="1" outlineLevel="1" x14ac:dyDescent="0.25">
      <c r="C704" s="207"/>
      <c r="D704" s="195">
        <v>42370</v>
      </c>
      <c r="E704" s="101" t="s">
        <v>5</v>
      </c>
      <c r="F704" s="216" t="s">
        <v>49</v>
      </c>
      <c r="G704" s="3" t="s">
        <v>56</v>
      </c>
      <c r="H704" s="3" t="s">
        <v>56</v>
      </c>
      <c r="M704" s="151" t="str">
        <f t="shared" si="34"/>
        <v>/</v>
      </c>
      <c r="N704" s="151" t="str">
        <f t="shared" si="35"/>
        <v/>
      </c>
      <c r="Q704" s="239" t="str">
        <f t="shared" ca="1" si="36"/>
        <v/>
      </c>
    </row>
    <row r="705" spans="3:17" ht="15.75" hidden="1" customHeight="1" outlineLevel="1" x14ac:dyDescent="0.25">
      <c r="C705" s="207"/>
      <c r="D705" s="195">
        <v>42372</v>
      </c>
      <c r="E705" s="101" t="s">
        <v>25</v>
      </c>
      <c r="F705" s="216" t="s">
        <v>50</v>
      </c>
      <c r="G705" s="3" t="s">
        <v>56</v>
      </c>
      <c r="H705" s="3" t="s">
        <v>56</v>
      </c>
      <c r="M705" s="151" t="str">
        <f t="shared" si="34"/>
        <v/>
      </c>
      <c r="N705" s="151" t="str">
        <f t="shared" si="35"/>
        <v>/</v>
      </c>
      <c r="Q705" s="239" t="str">
        <f t="shared" ca="1" si="36"/>
        <v/>
      </c>
    </row>
    <row r="706" spans="3:17" ht="15.75" hidden="1" customHeight="1" outlineLevel="1" x14ac:dyDescent="0.25">
      <c r="C706" s="207"/>
      <c r="D706" s="195">
        <v>42373</v>
      </c>
      <c r="E706" s="101" t="s">
        <v>26</v>
      </c>
      <c r="F706" s="216" t="s">
        <v>50</v>
      </c>
      <c r="G706" s="3" t="s">
        <v>56</v>
      </c>
      <c r="H706" s="3" t="s">
        <v>56</v>
      </c>
      <c r="M706" s="151" t="str">
        <f t="shared" si="34"/>
        <v/>
      </c>
      <c r="N706" s="151" t="str">
        <f t="shared" si="35"/>
        <v>/</v>
      </c>
      <c r="Q706" s="239" t="str">
        <f t="shared" ca="1" si="36"/>
        <v/>
      </c>
    </row>
    <row r="707" spans="3:17" ht="15.75" hidden="1" customHeight="1" outlineLevel="1" x14ac:dyDescent="0.25">
      <c r="C707" s="207"/>
      <c r="D707" s="195">
        <v>42375</v>
      </c>
      <c r="E707" s="101" t="s">
        <v>644</v>
      </c>
      <c r="F707" s="216" t="s">
        <v>50</v>
      </c>
      <c r="G707" s="3" t="s">
        <v>56</v>
      </c>
      <c r="H707" s="3" t="s">
        <v>56</v>
      </c>
      <c r="M707" s="151" t="str">
        <f t="shared" si="34"/>
        <v/>
      </c>
      <c r="N707" s="151" t="str">
        <f t="shared" si="35"/>
        <v>/</v>
      </c>
      <c r="Q707" s="239" t="str">
        <f t="shared" ca="1" si="36"/>
        <v/>
      </c>
    </row>
    <row r="708" spans="3:17" ht="15.75" hidden="1" customHeight="1" outlineLevel="1" x14ac:dyDescent="0.25">
      <c r="C708" s="207"/>
      <c r="D708" s="195">
        <v>42377</v>
      </c>
      <c r="E708" s="101" t="s">
        <v>18</v>
      </c>
      <c r="F708" s="216" t="s">
        <v>50</v>
      </c>
      <c r="G708" s="3" t="s">
        <v>56</v>
      </c>
      <c r="H708" s="3" t="s">
        <v>56</v>
      </c>
      <c r="M708" s="151" t="str">
        <f t="shared" si="34"/>
        <v/>
      </c>
      <c r="N708" s="151" t="str">
        <f t="shared" si="35"/>
        <v>/</v>
      </c>
      <c r="Q708" s="239" t="str">
        <f t="shared" ca="1" si="36"/>
        <v/>
      </c>
    </row>
    <row r="709" spans="3:17" ht="15.75" hidden="1" customHeight="1" outlineLevel="1" x14ac:dyDescent="0.25">
      <c r="C709" s="207"/>
      <c r="D709" s="195">
        <v>42379</v>
      </c>
      <c r="E709" s="101" t="s">
        <v>16</v>
      </c>
      <c r="F709" s="216" t="s">
        <v>50</v>
      </c>
      <c r="G709" s="3" t="s">
        <v>56</v>
      </c>
      <c r="H709" s="3" t="s">
        <v>56</v>
      </c>
      <c r="M709" s="151" t="str">
        <f t="shared" si="34"/>
        <v/>
      </c>
      <c r="N709" s="151" t="str">
        <f t="shared" si="35"/>
        <v>/</v>
      </c>
      <c r="Q709" s="239" t="str">
        <f t="shared" ca="1" si="36"/>
        <v/>
      </c>
    </row>
    <row r="710" spans="3:17" ht="15.75" hidden="1" customHeight="1" outlineLevel="1" x14ac:dyDescent="0.25">
      <c r="C710" s="207"/>
      <c r="D710" s="195">
        <v>42382</v>
      </c>
      <c r="E710" s="101" t="s">
        <v>8</v>
      </c>
      <c r="F710" s="216" t="s">
        <v>50</v>
      </c>
      <c r="G710" s="3" t="s">
        <v>56</v>
      </c>
      <c r="H710" s="3" t="s">
        <v>56</v>
      </c>
      <c r="M710" s="151" t="str">
        <f t="shared" si="34"/>
        <v/>
      </c>
      <c r="N710" s="151" t="str">
        <f t="shared" si="35"/>
        <v>/</v>
      </c>
      <c r="Q710" s="239" t="str">
        <f t="shared" ca="1" si="36"/>
        <v/>
      </c>
    </row>
    <row r="711" spans="3:17" ht="15.75" hidden="1" customHeight="1" outlineLevel="1" x14ac:dyDescent="0.25">
      <c r="C711" s="207"/>
      <c r="D711" s="195">
        <v>42386</v>
      </c>
      <c r="E711" s="101" t="s">
        <v>17</v>
      </c>
      <c r="F711" s="216" t="s">
        <v>49</v>
      </c>
      <c r="G711" s="3" t="s">
        <v>56</v>
      </c>
      <c r="H711" s="3" t="s">
        <v>56</v>
      </c>
      <c r="M711" s="151" t="str">
        <f t="shared" ref="M711:M774" si="37">IF(F711="D",H711,"")</f>
        <v>/</v>
      </c>
      <c r="N711" s="151" t="str">
        <f t="shared" ref="N711:N774" si="38">IF(F711="E",H711,"")</f>
        <v/>
      </c>
      <c r="Q711" s="239" t="str">
        <f t="shared" ca="1" si="36"/>
        <v/>
      </c>
    </row>
    <row r="712" spans="3:17" ht="15.75" hidden="1" customHeight="1" outlineLevel="1" x14ac:dyDescent="0.25">
      <c r="C712" s="207"/>
      <c r="D712" s="195">
        <v>42388</v>
      </c>
      <c r="E712" s="101" t="s">
        <v>14</v>
      </c>
      <c r="F712" s="216" t="s">
        <v>49</v>
      </c>
      <c r="G712" s="3" t="s">
        <v>56</v>
      </c>
      <c r="H712" s="3" t="s">
        <v>56</v>
      </c>
      <c r="M712" s="151" t="str">
        <f t="shared" si="37"/>
        <v>/</v>
      </c>
      <c r="N712" s="151" t="str">
        <f t="shared" si="38"/>
        <v/>
      </c>
      <c r="Q712" s="239" t="str">
        <f t="shared" ca="1" si="36"/>
        <v/>
      </c>
    </row>
    <row r="713" spans="3:17" ht="15.75" hidden="1" customHeight="1" outlineLevel="1" x14ac:dyDescent="0.25">
      <c r="C713" s="207"/>
      <c r="D713" s="195">
        <v>42390</v>
      </c>
      <c r="E713" s="101" t="s">
        <v>8</v>
      </c>
      <c r="F713" s="216" t="s">
        <v>49</v>
      </c>
      <c r="G713" s="3" t="s">
        <v>56</v>
      </c>
      <c r="H713" s="3" t="s">
        <v>56</v>
      </c>
      <c r="M713" s="151" t="str">
        <f t="shared" si="37"/>
        <v>/</v>
      </c>
      <c r="N713" s="151" t="str">
        <f t="shared" si="38"/>
        <v/>
      </c>
      <c r="Q713" s="239" t="str">
        <f t="shared" ca="1" si="36"/>
        <v/>
      </c>
    </row>
    <row r="714" spans="3:17" ht="15.75" hidden="1" customHeight="1" outlineLevel="1" x14ac:dyDescent="0.25">
      <c r="C714" s="207"/>
      <c r="D714" s="195">
        <v>42392</v>
      </c>
      <c r="E714" s="101" t="s">
        <v>16</v>
      </c>
      <c r="F714" s="216" t="s">
        <v>49</v>
      </c>
      <c r="G714" s="3" t="s">
        <v>56</v>
      </c>
      <c r="H714" s="3" t="s">
        <v>56</v>
      </c>
      <c r="M714" s="151" t="str">
        <f t="shared" si="37"/>
        <v>/</v>
      </c>
      <c r="N714" s="151" t="str">
        <f t="shared" si="38"/>
        <v/>
      </c>
      <c r="Q714" s="239" t="str">
        <f t="shared" ca="1" si="36"/>
        <v/>
      </c>
    </row>
    <row r="715" spans="3:17" ht="15.75" hidden="1" customHeight="1" outlineLevel="1" x14ac:dyDescent="0.25">
      <c r="C715" s="207"/>
      <c r="D715" s="195">
        <v>42394</v>
      </c>
      <c r="E715" s="101" t="s">
        <v>45</v>
      </c>
      <c r="F715" s="216" t="s">
        <v>50</v>
      </c>
      <c r="G715" s="3" t="s">
        <v>56</v>
      </c>
      <c r="H715" s="3" t="s">
        <v>56</v>
      </c>
      <c r="M715" s="151" t="str">
        <f t="shared" si="37"/>
        <v/>
      </c>
      <c r="N715" s="151" t="str">
        <f t="shared" si="38"/>
        <v>/</v>
      </c>
      <c r="Q715" s="239" t="str">
        <f t="shared" ca="1" si="36"/>
        <v/>
      </c>
    </row>
    <row r="716" spans="3:17" ht="15.75" hidden="1" customHeight="1" outlineLevel="1" x14ac:dyDescent="0.25">
      <c r="C716" s="207"/>
      <c r="D716" s="195">
        <v>42396</v>
      </c>
      <c r="E716" s="101" t="s">
        <v>2</v>
      </c>
      <c r="F716" s="216" t="s">
        <v>50</v>
      </c>
      <c r="G716" s="3" t="s">
        <v>56</v>
      </c>
      <c r="H716" s="3" t="s">
        <v>56</v>
      </c>
      <c r="M716" s="151" t="str">
        <f t="shared" si="37"/>
        <v/>
      </c>
      <c r="N716" s="151" t="str">
        <f t="shared" si="38"/>
        <v>/</v>
      </c>
      <c r="Q716" s="239" t="str">
        <f t="shared" ca="1" si="36"/>
        <v/>
      </c>
    </row>
    <row r="717" spans="3:17" ht="15.75" hidden="1" customHeight="1" outlineLevel="1" x14ac:dyDescent="0.25">
      <c r="C717" s="207"/>
      <c r="D717" s="195">
        <v>42397</v>
      </c>
      <c r="E717" s="101" t="s">
        <v>5</v>
      </c>
      <c r="F717" s="216" t="s">
        <v>49</v>
      </c>
      <c r="G717" s="3" t="s">
        <v>56</v>
      </c>
      <c r="H717" s="3" t="s">
        <v>56</v>
      </c>
      <c r="M717" s="151" t="str">
        <f t="shared" si="37"/>
        <v>/</v>
      </c>
      <c r="N717" s="151" t="str">
        <f t="shared" si="38"/>
        <v/>
      </c>
      <c r="Q717" s="239" t="str">
        <f t="shared" ca="1" si="36"/>
        <v/>
      </c>
    </row>
    <row r="718" spans="3:17" ht="15.75" hidden="1" customHeight="1" outlineLevel="1" x14ac:dyDescent="0.25">
      <c r="C718" s="207"/>
      <c r="D718" s="195">
        <v>42399</v>
      </c>
      <c r="E718" s="101" t="s">
        <v>45</v>
      </c>
      <c r="F718" s="216" t="s">
        <v>49</v>
      </c>
      <c r="G718" s="3" t="s">
        <v>56</v>
      </c>
      <c r="H718" s="3" t="s">
        <v>56</v>
      </c>
      <c r="M718" s="151" t="str">
        <f t="shared" si="37"/>
        <v>/</v>
      </c>
      <c r="N718" s="151" t="str">
        <f t="shared" si="38"/>
        <v/>
      </c>
      <c r="Q718" s="239" t="str">
        <f t="shared" ca="1" si="36"/>
        <v/>
      </c>
    </row>
    <row r="719" spans="3:17" ht="15.75" hidden="1" customHeight="1" outlineLevel="1" x14ac:dyDescent="0.25">
      <c r="C719" s="208"/>
      <c r="D719" s="195">
        <v>42401</v>
      </c>
      <c r="E719" s="101" t="s">
        <v>0</v>
      </c>
      <c r="F719" s="216" t="s">
        <v>49</v>
      </c>
      <c r="G719" s="3" t="s">
        <v>56</v>
      </c>
      <c r="H719" s="3" t="s">
        <v>56</v>
      </c>
      <c r="M719" s="151" t="str">
        <f t="shared" si="37"/>
        <v>/</v>
      </c>
      <c r="N719" s="151" t="str">
        <f t="shared" si="38"/>
        <v/>
      </c>
      <c r="Q719" s="239" t="str">
        <f t="shared" ca="1" si="36"/>
        <v/>
      </c>
    </row>
    <row r="720" spans="3:17" ht="15.75" hidden="1" customHeight="1" outlineLevel="1" x14ac:dyDescent="0.25">
      <c r="C720" s="208"/>
      <c r="D720" s="195">
        <v>42404</v>
      </c>
      <c r="E720" s="101" t="s">
        <v>11</v>
      </c>
      <c r="F720" s="216" t="s">
        <v>49</v>
      </c>
      <c r="G720" s="3" t="s">
        <v>56</v>
      </c>
      <c r="H720" s="3" t="s">
        <v>56</v>
      </c>
      <c r="M720" s="151" t="str">
        <f t="shared" si="37"/>
        <v>/</v>
      </c>
      <c r="N720" s="151" t="str">
        <f t="shared" si="38"/>
        <v/>
      </c>
      <c r="Q720" s="239" t="str">
        <f t="shared" ca="1" si="36"/>
        <v/>
      </c>
    </row>
    <row r="721" spans="3:17" ht="15.75" hidden="1" customHeight="1" outlineLevel="1" x14ac:dyDescent="0.25">
      <c r="C721" s="208"/>
      <c r="D721" s="195">
        <v>42406</v>
      </c>
      <c r="E721" s="101" t="s">
        <v>21</v>
      </c>
      <c r="F721" s="216" t="s">
        <v>50</v>
      </c>
      <c r="G721" s="3" t="s">
        <v>56</v>
      </c>
      <c r="H721" s="3" t="s">
        <v>56</v>
      </c>
      <c r="M721" s="151" t="str">
        <f t="shared" si="37"/>
        <v/>
      </c>
      <c r="N721" s="151" t="str">
        <f t="shared" si="38"/>
        <v>/</v>
      </c>
      <c r="Q721" s="239" t="str">
        <f t="shared" ca="1" si="36"/>
        <v/>
      </c>
    </row>
    <row r="722" spans="3:17" ht="15.75" hidden="1" customHeight="1" outlineLevel="1" x14ac:dyDescent="0.25">
      <c r="C722" s="208"/>
      <c r="D722" s="195">
        <v>42408</v>
      </c>
      <c r="E722" s="101" t="s">
        <v>8</v>
      </c>
      <c r="F722" s="216" t="s">
        <v>50</v>
      </c>
      <c r="G722" s="3" t="s">
        <v>56</v>
      </c>
      <c r="H722" s="3" t="s">
        <v>56</v>
      </c>
      <c r="M722" s="151" t="str">
        <f t="shared" si="37"/>
        <v/>
      </c>
      <c r="N722" s="151" t="str">
        <f t="shared" si="38"/>
        <v>/</v>
      </c>
      <c r="Q722" s="239" t="str">
        <f t="shared" ca="1" si="36"/>
        <v/>
      </c>
    </row>
    <row r="723" spans="3:17" ht="15.75" hidden="1" customHeight="1" outlineLevel="1" x14ac:dyDescent="0.25">
      <c r="C723" s="208"/>
      <c r="D723" s="195">
        <v>42410</v>
      </c>
      <c r="E723" s="101" t="s">
        <v>45</v>
      </c>
      <c r="F723" s="216" t="s">
        <v>50</v>
      </c>
      <c r="G723" s="3" t="s">
        <v>56</v>
      </c>
      <c r="H723" s="3" t="s">
        <v>56</v>
      </c>
      <c r="M723" s="151" t="str">
        <f t="shared" si="37"/>
        <v/>
      </c>
      <c r="N723" s="151" t="str">
        <f t="shared" si="38"/>
        <v>/</v>
      </c>
      <c r="Q723" s="239" t="str">
        <f t="shared" ca="1" si="36"/>
        <v/>
      </c>
    </row>
    <row r="724" spans="3:17" ht="15.75" hidden="1" customHeight="1" outlineLevel="1" x14ac:dyDescent="0.25">
      <c r="C724" s="208"/>
      <c r="D724" s="195">
        <v>42411</v>
      </c>
      <c r="E724" s="101" t="s">
        <v>11</v>
      </c>
      <c r="F724" s="216" t="s">
        <v>50</v>
      </c>
      <c r="G724" s="3" t="s">
        <v>56</v>
      </c>
      <c r="H724" s="3" t="s">
        <v>56</v>
      </c>
      <c r="M724" s="151" t="str">
        <f t="shared" si="37"/>
        <v/>
      </c>
      <c r="N724" s="151" t="str">
        <f t="shared" si="38"/>
        <v>/</v>
      </c>
      <c r="Q724" s="239" t="str">
        <f t="shared" ca="1" si="36"/>
        <v/>
      </c>
    </row>
    <row r="725" spans="3:17" ht="15.75" hidden="1" customHeight="1" outlineLevel="1" x14ac:dyDescent="0.25">
      <c r="C725" s="208"/>
      <c r="D725" s="195">
        <v>42413</v>
      </c>
      <c r="E725" s="101" t="s">
        <v>10</v>
      </c>
      <c r="F725" s="216" t="s">
        <v>49</v>
      </c>
      <c r="G725" s="3" t="s">
        <v>56</v>
      </c>
      <c r="H725" s="3" t="s">
        <v>56</v>
      </c>
      <c r="M725" s="151" t="str">
        <f t="shared" si="37"/>
        <v>/</v>
      </c>
      <c r="N725" s="151" t="str">
        <f t="shared" si="38"/>
        <v/>
      </c>
      <c r="Q725" s="239" t="str">
        <f t="shared" ca="1" si="36"/>
        <v/>
      </c>
    </row>
    <row r="726" spans="3:17" ht="15.75" hidden="1" customHeight="1" outlineLevel="1" x14ac:dyDescent="0.25">
      <c r="C726" s="208"/>
      <c r="D726" s="195">
        <v>42415</v>
      </c>
      <c r="E726" s="101" t="s">
        <v>17</v>
      </c>
      <c r="F726" s="216" t="s">
        <v>50</v>
      </c>
      <c r="G726" s="3" t="s">
        <v>56</v>
      </c>
      <c r="H726" s="3" t="s">
        <v>56</v>
      </c>
      <c r="M726" s="151" t="str">
        <f t="shared" si="37"/>
        <v/>
      </c>
      <c r="N726" s="151" t="str">
        <f t="shared" si="38"/>
        <v>/</v>
      </c>
      <c r="Q726" s="239" t="str">
        <f t="shared" ca="1" si="36"/>
        <v/>
      </c>
    </row>
    <row r="727" spans="3:17" ht="15.75" hidden="1" customHeight="1" outlineLevel="1" x14ac:dyDescent="0.25">
      <c r="C727" s="208"/>
      <c r="D727" s="195">
        <v>42424</v>
      </c>
      <c r="E727" s="101" t="s">
        <v>0</v>
      </c>
      <c r="F727" s="216" t="s">
        <v>50</v>
      </c>
      <c r="G727" s="3" t="s">
        <v>56</v>
      </c>
      <c r="H727" s="3" t="s">
        <v>56</v>
      </c>
      <c r="M727" s="151" t="str">
        <f t="shared" si="37"/>
        <v/>
      </c>
      <c r="N727" s="151" t="str">
        <f t="shared" si="38"/>
        <v>/</v>
      </c>
      <c r="Q727" s="239" t="str">
        <f t="shared" ca="1" si="36"/>
        <v/>
      </c>
    </row>
    <row r="728" spans="3:17" ht="15.75" hidden="1" customHeight="1" outlineLevel="1" x14ac:dyDescent="0.25">
      <c r="C728" s="208"/>
      <c r="D728" s="195">
        <v>42425</v>
      </c>
      <c r="E728" s="101" t="s">
        <v>7</v>
      </c>
      <c r="F728" s="216" t="s">
        <v>49</v>
      </c>
      <c r="G728" s="3" t="s">
        <v>56</v>
      </c>
      <c r="H728" s="3" t="s">
        <v>56</v>
      </c>
      <c r="M728" s="151" t="str">
        <f t="shared" si="37"/>
        <v>/</v>
      </c>
      <c r="N728" s="151" t="str">
        <f t="shared" si="38"/>
        <v/>
      </c>
      <c r="Q728" s="239" t="str">
        <f t="shared" ca="1" si="36"/>
        <v/>
      </c>
    </row>
    <row r="729" spans="3:17" ht="15.75" hidden="1" customHeight="1" outlineLevel="1" x14ac:dyDescent="0.25">
      <c r="C729" s="208"/>
      <c r="D729" s="195">
        <v>42427</v>
      </c>
      <c r="E729" s="101" t="s">
        <v>14</v>
      </c>
      <c r="F729" s="216" t="s">
        <v>50</v>
      </c>
      <c r="G729" s="3" t="s">
        <v>56</v>
      </c>
      <c r="H729" s="3" t="s">
        <v>56</v>
      </c>
      <c r="M729" s="151" t="str">
        <f t="shared" si="37"/>
        <v/>
      </c>
      <c r="N729" s="151" t="str">
        <f t="shared" si="38"/>
        <v>/</v>
      </c>
      <c r="Q729" s="239" t="str">
        <f t="shared" ca="1" si="36"/>
        <v/>
      </c>
    </row>
    <row r="730" spans="3:17" ht="15.75" hidden="1" customHeight="1" outlineLevel="1" x14ac:dyDescent="0.25">
      <c r="C730" s="207"/>
      <c r="D730" s="195">
        <v>42430</v>
      </c>
      <c r="E730" s="101" t="s">
        <v>11</v>
      </c>
      <c r="F730" s="216" t="s">
        <v>49</v>
      </c>
      <c r="G730" s="3" t="s">
        <v>56</v>
      </c>
      <c r="H730" s="3" t="s">
        <v>56</v>
      </c>
      <c r="M730" s="151" t="str">
        <f t="shared" si="37"/>
        <v>/</v>
      </c>
      <c r="N730" s="151" t="str">
        <f t="shared" si="38"/>
        <v/>
      </c>
      <c r="Q730" s="239" t="str">
        <f t="shared" ca="1" si="36"/>
        <v/>
      </c>
    </row>
    <row r="731" spans="3:17" ht="15.75" hidden="1" customHeight="1" outlineLevel="1" x14ac:dyDescent="0.25">
      <c r="C731" s="207"/>
      <c r="D731" s="195">
        <v>42432</v>
      </c>
      <c r="E731" s="101" t="s">
        <v>10</v>
      </c>
      <c r="F731" s="216" t="s">
        <v>50</v>
      </c>
      <c r="G731" s="3" t="s">
        <v>56</v>
      </c>
      <c r="H731" s="3" t="s">
        <v>56</v>
      </c>
      <c r="M731" s="151" t="str">
        <f t="shared" si="37"/>
        <v/>
      </c>
      <c r="N731" s="151" t="str">
        <f t="shared" si="38"/>
        <v>/</v>
      </c>
      <c r="Q731" s="239" t="str">
        <f t="shared" ca="1" si="36"/>
        <v/>
      </c>
    </row>
    <row r="732" spans="3:17" ht="15.75" hidden="1" customHeight="1" outlineLevel="1" x14ac:dyDescent="0.25">
      <c r="C732" s="207"/>
      <c r="D732" s="195">
        <v>42433</v>
      </c>
      <c r="E732" s="101" t="s">
        <v>4</v>
      </c>
      <c r="F732" s="216" t="s">
        <v>49</v>
      </c>
      <c r="G732" s="3" t="s">
        <v>56</v>
      </c>
      <c r="H732" s="3" t="s">
        <v>56</v>
      </c>
      <c r="M732" s="151" t="str">
        <f t="shared" si="37"/>
        <v>/</v>
      </c>
      <c r="N732" s="151" t="str">
        <f t="shared" si="38"/>
        <v/>
      </c>
      <c r="Q732" s="239" t="str">
        <f t="shared" ca="1" si="36"/>
        <v/>
      </c>
    </row>
    <row r="733" spans="3:17" ht="15.75" hidden="1" customHeight="1" outlineLevel="1" x14ac:dyDescent="0.25">
      <c r="C733" s="207"/>
      <c r="D733" s="195">
        <v>42435</v>
      </c>
      <c r="E733" s="101" t="s">
        <v>4</v>
      </c>
      <c r="F733" s="216" t="s">
        <v>50</v>
      </c>
      <c r="G733" s="3" t="s">
        <v>56</v>
      </c>
      <c r="H733" s="3" t="s">
        <v>56</v>
      </c>
      <c r="M733" s="151" t="str">
        <f t="shared" si="37"/>
        <v/>
      </c>
      <c r="N733" s="151" t="str">
        <f t="shared" si="38"/>
        <v>/</v>
      </c>
      <c r="Q733" s="239" t="str">
        <f t="shared" ca="1" si="36"/>
        <v/>
      </c>
    </row>
    <row r="734" spans="3:17" ht="15.75" hidden="1" customHeight="1" outlineLevel="1" x14ac:dyDescent="0.25">
      <c r="C734" s="207"/>
      <c r="D734" s="195">
        <v>42437</v>
      </c>
      <c r="E734" s="101" t="s">
        <v>3</v>
      </c>
      <c r="F734" s="216" t="s">
        <v>49</v>
      </c>
      <c r="G734" s="3" t="s">
        <v>56</v>
      </c>
      <c r="H734" s="3" t="s">
        <v>56</v>
      </c>
      <c r="M734" s="151" t="str">
        <f t="shared" si="37"/>
        <v>/</v>
      </c>
      <c r="N734" s="151" t="str">
        <f t="shared" si="38"/>
        <v/>
      </c>
      <c r="Q734" s="239" t="str">
        <f t="shared" ca="1" si="36"/>
        <v/>
      </c>
    </row>
    <row r="735" spans="3:17" ht="15.75" hidden="1" customHeight="1" outlineLevel="1" x14ac:dyDescent="0.25">
      <c r="C735" s="207"/>
      <c r="D735" s="195">
        <v>42440</v>
      </c>
      <c r="E735" s="101" t="s">
        <v>12</v>
      </c>
      <c r="F735" s="216" t="s">
        <v>49</v>
      </c>
      <c r="G735" s="3" t="s">
        <v>56</v>
      </c>
      <c r="H735" s="3" t="s">
        <v>56</v>
      </c>
      <c r="M735" s="151" t="str">
        <f t="shared" si="37"/>
        <v>/</v>
      </c>
      <c r="N735" s="151" t="str">
        <f t="shared" si="38"/>
        <v/>
      </c>
      <c r="Q735" s="239" t="str">
        <f t="shared" ca="1" si="36"/>
        <v/>
      </c>
    </row>
    <row r="736" spans="3:17" ht="15.75" hidden="1" customHeight="1" outlineLevel="1" x14ac:dyDescent="0.25">
      <c r="C736" s="207"/>
      <c r="D736" s="195">
        <v>42441</v>
      </c>
      <c r="E736" s="101" t="s">
        <v>7</v>
      </c>
      <c r="F736" s="216" t="s">
        <v>50</v>
      </c>
      <c r="G736" s="3" t="s">
        <v>56</v>
      </c>
      <c r="H736" s="3" t="s">
        <v>56</v>
      </c>
      <c r="M736" s="151" t="str">
        <f t="shared" si="37"/>
        <v/>
      </c>
      <c r="N736" s="151" t="str">
        <f t="shared" si="38"/>
        <v>/</v>
      </c>
      <c r="Q736" s="239" t="str">
        <f t="shared" ca="1" si="36"/>
        <v/>
      </c>
    </row>
    <row r="737" spans="2:17" ht="15.75" hidden="1" customHeight="1" outlineLevel="1" x14ac:dyDescent="0.25">
      <c r="C737" s="207"/>
      <c r="D737" s="195">
        <v>42444</v>
      </c>
      <c r="E737" s="101" t="s">
        <v>22</v>
      </c>
      <c r="F737" s="216" t="s">
        <v>49</v>
      </c>
      <c r="G737" s="3" t="s">
        <v>56</v>
      </c>
      <c r="H737" s="3" t="s">
        <v>56</v>
      </c>
      <c r="M737" s="151" t="str">
        <f t="shared" si="37"/>
        <v>/</v>
      </c>
      <c r="N737" s="151" t="str">
        <f t="shared" si="38"/>
        <v/>
      </c>
      <c r="Q737" s="239" t="str">
        <f t="shared" ca="1" si="36"/>
        <v/>
      </c>
    </row>
    <row r="738" spans="2:17" ht="15.75" hidden="1" customHeight="1" outlineLevel="1" x14ac:dyDescent="0.25">
      <c r="C738" s="207"/>
      <c r="D738" s="195">
        <v>42446</v>
      </c>
      <c r="E738" s="101" t="s">
        <v>21</v>
      </c>
      <c r="F738" s="216" t="s">
        <v>49</v>
      </c>
      <c r="G738" s="3" t="s">
        <v>56</v>
      </c>
      <c r="H738" s="3" t="s">
        <v>56</v>
      </c>
      <c r="M738" s="151" t="str">
        <f t="shared" si="37"/>
        <v>/</v>
      </c>
      <c r="N738" s="151" t="str">
        <f t="shared" si="38"/>
        <v/>
      </c>
      <c r="Q738" s="239" t="str">
        <f t="shared" ca="1" si="36"/>
        <v/>
      </c>
    </row>
    <row r="739" spans="2:17" ht="15.75" hidden="1" customHeight="1" outlineLevel="1" x14ac:dyDescent="0.25">
      <c r="C739" s="207"/>
      <c r="D739" s="195">
        <v>42448</v>
      </c>
      <c r="E739" s="101" t="s">
        <v>24</v>
      </c>
      <c r="F739" s="216" t="s">
        <v>49</v>
      </c>
      <c r="G739" s="3" t="s">
        <v>56</v>
      </c>
      <c r="H739" s="3" t="s">
        <v>56</v>
      </c>
      <c r="M739" s="151" t="str">
        <f t="shared" si="37"/>
        <v>/</v>
      </c>
      <c r="N739" s="151" t="str">
        <f t="shared" si="38"/>
        <v/>
      </c>
      <c r="Q739" s="239" t="str">
        <f t="shared" ca="1" si="36"/>
        <v/>
      </c>
    </row>
    <row r="740" spans="2:17" ht="15.75" hidden="1" customHeight="1" outlineLevel="1" x14ac:dyDescent="0.25">
      <c r="C740" s="207"/>
      <c r="D740" s="195">
        <v>42450</v>
      </c>
      <c r="E740" s="101" t="s">
        <v>25</v>
      </c>
      <c r="F740" s="216" t="s">
        <v>49</v>
      </c>
      <c r="G740" s="3" t="s">
        <v>56</v>
      </c>
      <c r="H740" s="3" t="s">
        <v>56</v>
      </c>
      <c r="M740" s="151" t="str">
        <f t="shared" si="37"/>
        <v>/</v>
      </c>
      <c r="N740" s="151" t="str">
        <f t="shared" si="38"/>
        <v/>
      </c>
      <c r="Q740" s="239" t="str">
        <f t="shared" ca="1" si="36"/>
        <v/>
      </c>
    </row>
    <row r="741" spans="2:17" ht="15.75" hidden="1" customHeight="1" outlineLevel="1" x14ac:dyDescent="0.25">
      <c r="C741" s="207"/>
      <c r="D741" s="195">
        <v>42452</v>
      </c>
      <c r="E741" s="101" t="s">
        <v>12</v>
      </c>
      <c r="F741" s="216" t="s">
        <v>49</v>
      </c>
      <c r="G741" s="3" t="s">
        <v>56</v>
      </c>
      <c r="H741" s="3" t="s">
        <v>56</v>
      </c>
      <c r="M741" s="151" t="str">
        <f t="shared" si="37"/>
        <v>/</v>
      </c>
      <c r="N741" s="151" t="str">
        <f t="shared" si="38"/>
        <v/>
      </c>
      <c r="Q741" s="239" t="str">
        <f t="shared" ca="1" si="36"/>
        <v/>
      </c>
    </row>
    <row r="742" spans="2:17" ht="15.75" hidden="1" customHeight="1" outlineLevel="1" x14ac:dyDescent="0.25">
      <c r="C742" s="207"/>
      <c r="D742" s="195">
        <v>42455</v>
      </c>
      <c r="E742" s="101" t="s">
        <v>1</v>
      </c>
      <c r="F742" s="216" t="s">
        <v>50</v>
      </c>
      <c r="G742" s="3" t="s">
        <v>56</v>
      </c>
      <c r="H742" s="3" t="s">
        <v>56</v>
      </c>
      <c r="M742" s="151" t="str">
        <f t="shared" si="37"/>
        <v/>
      </c>
      <c r="N742" s="151" t="str">
        <f t="shared" si="38"/>
        <v>/</v>
      </c>
      <c r="Q742" s="239" t="str">
        <f t="shared" ca="1" si="36"/>
        <v/>
      </c>
    </row>
    <row r="743" spans="2:17" ht="15.75" hidden="1" customHeight="1" outlineLevel="1" x14ac:dyDescent="0.25">
      <c r="C743" s="207"/>
      <c r="D743" s="195">
        <v>42457</v>
      </c>
      <c r="E743" s="101" t="s">
        <v>5</v>
      </c>
      <c r="F743" s="216" t="s">
        <v>50</v>
      </c>
      <c r="G743" s="3" t="s">
        <v>56</v>
      </c>
      <c r="H743" s="3" t="s">
        <v>56</v>
      </c>
      <c r="M743" s="151" t="str">
        <f t="shared" si="37"/>
        <v/>
      </c>
      <c r="N743" s="151" t="str">
        <f t="shared" si="38"/>
        <v>/</v>
      </c>
      <c r="Q743" s="239" t="str">
        <f t="shared" ca="1" si="36"/>
        <v/>
      </c>
    </row>
    <row r="744" spans="2:17" ht="15.75" hidden="1" customHeight="1" outlineLevel="1" x14ac:dyDescent="0.25">
      <c r="C744" s="207"/>
      <c r="D744" s="195">
        <v>42458</v>
      </c>
      <c r="E744" s="101" t="s">
        <v>9</v>
      </c>
      <c r="F744" s="216" t="s">
        <v>50</v>
      </c>
      <c r="G744" s="3" t="s">
        <v>56</v>
      </c>
      <c r="H744" s="3" t="s">
        <v>56</v>
      </c>
      <c r="M744" s="151" t="str">
        <f t="shared" si="37"/>
        <v/>
      </c>
      <c r="N744" s="151" t="str">
        <f t="shared" si="38"/>
        <v>/</v>
      </c>
      <c r="Q744" s="239" t="str">
        <f t="shared" ca="1" si="36"/>
        <v/>
      </c>
    </row>
    <row r="745" spans="2:17" ht="15.75" hidden="1" customHeight="1" outlineLevel="1" x14ac:dyDescent="0.25">
      <c r="C745" s="207"/>
      <c r="D745" s="195">
        <v>42460</v>
      </c>
      <c r="E745" s="101" t="s">
        <v>9</v>
      </c>
      <c r="F745" s="216" t="s">
        <v>49</v>
      </c>
      <c r="G745" s="3" t="s">
        <v>56</v>
      </c>
      <c r="H745" s="3" t="s">
        <v>56</v>
      </c>
      <c r="M745" s="151" t="str">
        <f t="shared" si="37"/>
        <v>/</v>
      </c>
      <c r="N745" s="151" t="str">
        <f t="shared" si="38"/>
        <v/>
      </c>
      <c r="Q745" s="239" t="str">
        <f t="shared" ca="1" si="36"/>
        <v/>
      </c>
    </row>
    <row r="746" spans="2:17" ht="15.75" hidden="1" customHeight="1" outlineLevel="1" x14ac:dyDescent="0.25">
      <c r="C746" s="208"/>
      <c r="D746" s="195">
        <v>42462</v>
      </c>
      <c r="E746" s="101" t="s">
        <v>15</v>
      </c>
      <c r="F746" s="216" t="s">
        <v>49</v>
      </c>
      <c r="G746" s="3" t="s">
        <v>56</v>
      </c>
      <c r="H746" s="3" t="s">
        <v>56</v>
      </c>
      <c r="M746" s="151" t="str">
        <f t="shared" si="37"/>
        <v>/</v>
      </c>
      <c r="N746" s="151" t="str">
        <f t="shared" si="38"/>
        <v/>
      </c>
      <c r="Q746" s="239" t="str">
        <f t="shared" ca="1" si="36"/>
        <v/>
      </c>
    </row>
    <row r="747" spans="2:17" ht="15.75" hidden="1" customHeight="1" outlineLevel="1" x14ac:dyDescent="0.25">
      <c r="C747" s="208"/>
      <c r="D747" s="195">
        <v>42465</v>
      </c>
      <c r="E747" s="101" t="s">
        <v>3</v>
      </c>
      <c r="F747" s="216" t="s">
        <v>50</v>
      </c>
      <c r="G747" s="3" t="s">
        <v>56</v>
      </c>
      <c r="H747" s="3" t="s">
        <v>56</v>
      </c>
      <c r="M747" s="151" t="str">
        <f t="shared" si="37"/>
        <v/>
      </c>
      <c r="N747" s="151" t="str">
        <f t="shared" si="38"/>
        <v>/</v>
      </c>
      <c r="Q747" s="239" t="str">
        <f t="shared" ref="Q747:Q810" ca="1" si="39">IF(D747=TODAY(),1,"")</f>
        <v/>
      </c>
    </row>
    <row r="748" spans="2:17" ht="15.75" hidden="1" customHeight="1" outlineLevel="1" x14ac:dyDescent="0.25">
      <c r="C748" s="208"/>
      <c r="D748" s="195">
        <v>42467</v>
      </c>
      <c r="E748" s="101" t="s">
        <v>12</v>
      </c>
      <c r="F748" s="216" t="s">
        <v>50</v>
      </c>
      <c r="G748" s="3" t="s">
        <v>56</v>
      </c>
      <c r="H748" s="3" t="s">
        <v>56</v>
      </c>
      <c r="J748" s="265"/>
      <c r="K748" s="265"/>
      <c r="L748" s="265"/>
      <c r="M748" s="151" t="str">
        <f t="shared" si="37"/>
        <v/>
      </c>
      <c r="N748" s="151" t="str">
        <f t="shared" si="38"/>
        <v>/</v>
      </c>
      <c r="Q748" s="239" t="str">
        <f t="shared" ca="1" si="39"/>
        <v/>
      </c>
    </row>
    <row r="749" spans="2:17" ht="15.75" hidden="1" customHeight="1" outlineLevel="1" x14ac:dyDescent="0.25">
      <c r="C749" s="208"/>
      <c r="D749" s="195">
        <v>42468</v>
      </c>
      <c r="E749" s="101" t="s">
        <v>13</v>
      </c>
      <c r="F749" s="216" t="s">
        <v>50</v>
      </c>
      <c r="G749" s="3" t="s">
        <v>56</v>
      </c>
      <c r="H749" s="3" t="s">
        <v>56</v>
      </c>
      <c r="J749" s="265"/>
      <c r="K749" s="265"/>
      <c r="L749" s="265"/>
      <c r="M749" s="151" t="str">
        <f t="shared" si="37"/>
        <v/>
      </c>
      <c r="N749" s="151" t="str">
        <f t="shared" si="38"/>
        <v>/</v>
      </c>
      <c r="Q749" s="239" t="str">
        <f t="shared" ca="1" si="39"/>
        <v/>
      </c>
    </row>
    <row r="750" spans="2:17" ht="15.75" hidden="1" customHeight="1" outlineLevel="1" x14ac:dyDescent="0.25">
      <c r="C750" s="208"/>
      <c r="D750" s="195">
        <v>42470</v>
      </c>
      <c r="E750" s="101" t="s">
        <v>4</v>
      </c>
      <c r="F750" s="216" t="s">
        <v>49</v>
      </c>
      <c r="G750" s="3" t="s">
        <v>56</v>
      </c>
      <c r="H750" s="3" t="s">
        <v>56</v>
      </c>
      <c r="J750" s="265"/>
      <c r="K750" s="265"/>
      <c r="L750" s="265"/>
      <c r="M750" s="151" t="str">
        <f t="shared" si="37"/>
        <v>/</v>
      </c>
      <c r="N750" s="151" t="str">
        <f t="shared" si="38"/>
        <v/>
      </c>
      <c r="Q750" s="239" t="str">
        <f t="shared" ca="1" si="39"/>
        <v/>
      </c>
    </row>
    <row r="751" spans="2:17" ht="15.75" hidden="1" customHeight="1" outlineLevel="1" x14ac:dyDescent="0.25">
      <c r="C751" s="208"/>
      <c r="D751" s="195">
        <v>42472</v>
      </c>
      <c r="E751" s="102" t="s">
        <v>13</v>
      </c>
      <c r="F751" s="217" t="s">
        <v>49</v>
      </c>
      <c r="G751" s="3" t="s">
        <v>56</v>
      </c>
      <c r="H751" s="3" t="s">
        <v>56</v>
      </c>
      <c r="M751" s="151" t="str">
        <f t="shared" si="37"/>
        <v>/</v>
      </c>
      <c r="N751" s="151" t="str">
        <f t="shared" si="38"/>
        <v/>
      </c>
      <c r="Q751" s="239" t="str">
        <f t="shared" ca="1" si="39"/>
        <v/>
      </c>
    </row>
    <row r="752" spans="2:17" ht="16.5" customHeight="1" collapsed="1" x14ac:dyDescent="0.25">
      <c r="B752" s="404" t="e">
        <f ca="1">"- "&amp;INDEX(E753:E834,MATCH(TODAY(),D753:D834,0))</f>
        <v>#N/A</v>
      </c>
      <c r="C752" s="404"/>
      <c r="D752" s="406" t="s">
        <v>8</v>
      </c>
      <c r="E752" s="407"/>
      <c r="F752" s="408"/>
      <c r="H752" s="3"/>
      <c r="J752" s="265"/>
      <c r="K752" s="265"/>
      <c r="L752" s="265"/>
      <c r="Q752" s="239" t="str">
        <f t="shared" ca="1" si="39"/>
        <v/>
      </c>
    </row>
    <row r="753" spans="3:17" ht="16.5" hidden="1" customHeight="1" outlineLevel="1" x14ac:dyDescent="0.25">
      <c r="C753" s="207"/>
      <c r="D753" s="195">
        <v>42669</v>
      </c>
      <c r="E753" s="103" t="s">
        <v>3</v>
      </c>
      <c r="F753" s="215" t="s">
        <v>49</v>
      </c>
      <c r="G753" s="3">
        <v>0</v>
      </c>
      <c r="H753" s="3">
        <v>96</v>
      </c>
      <c r="I753" s="151">
        <v>18</v>
      </c>
      <c r="J753" s="151">
        <v>48</v>
      </c>
      <c r="K753" s="151">
        <v>75</v>
      </c>
      <c r="L753" s="151">
        <v>42</v>
      </c>
      <c r="M753" s="151">
        <f t="shared" si="37"/>
        <v>96</v>
      </c>
      <c r="N753" s="151" t="str">
        <f t="shared" si="38"/>
        <v/>
      </c>
      <c r="O753" s="151">
        <v>107</v>
      </c>
      <c r="Q753" s="239" t="str">
        <f t="shared" ca="1" si="39"/>
        <v/>
      </c>
    </row>
    <row r="754" spans="3:17" ht="15.75" hidden="1" customHeight="1" outlineLevel="1" x14ac:dyDescent="0.25">
      <c r="C754" s="207"/>
      <c r="D754" s="195">
        <v>42672</v>
      </c>
      <c r="E754" s="101" t="s">
        <v>45</v>
      </c>
      <c r="F754" s="216" t="s">
        <v>49</v>
      </c>
      <c r="G754" s="3" t="s">
        <v>56</v>
      </c>
      <c r="H754" s="3" t="s">
        <v>56</v>
      </c>
      <c r="M754" s="151" t="str">
        <f t="shared" si="37"/>
        <v>/</v>
      </c>
      <c r="N754" s="151" t="str">
        <f t="shared" si="38"/>
        <v/>
      </c>
      <c r="Q754" s="239" t="str">
        <f t="shared" ca="1" si="39"/>
        <v/>
      </c>
    </row>
    <row r="755" spans="3:17" ht="15.75" hidden="1" customHeight="1" outlineLevel="1" x14ac:dyDescent="0.25">
      <c r="C755" s="207"/>
      <c r="D755" s="195">
        <v>42673</v>
      </c>
      <c r="E755" s="101" t="s">
        <v>5</v>
      </c>
      <c r="F755" s="216" t="s">
        <v>50</v>
      </c>
      <c r="G755" s="3" t="s">
        <v>56</v>
      </c>
      <c r="H755" s="3" t="s">
        <v>56</v>
      </c>
      <c r="M755" s="151" t="str">
        <f t="shared" si="37"/>
        <v/>
      </c>
      <c r="N755" s="151" t="str">
        <f t="shared" si="38"/>
        <v>/</v>
      </c>
      <c r="Q755" s="239" t="str">
        <f t="shared" ca="1" si="39"/>
        <v/>
      </c>
    </row>
    <row r="756" spans="3:17" ht="15.75" hidden="1" customHeight="1" outlineLevel="1" x14ac:dyDescent="0.25">
      <c r="C756" s="207"/>
      <c r="D756" s="195">
        <v>42675</v>
      </c>
      <c r="E756" s="101" t="s">
        <v>22</v>
      </c>
      <c r="F756" s="216" t="s">
        <v>50</v>
      </c>
      <c r="G756" s="3" t="s">
        <v>56</v>
      </c>
      <c r="H756" s="3" t="s">
        <v>56</v>
      </c>
      <c r="M756" s="151" t="str">
        <f t="shared" si="37"/>
        <v/>
      </c>
      <c r="N756" s="151" t="str">
        <f t="shared" si="38"/>
        <v>/</v>
      </c>
      <c r="Q756" s="239" t="str">
        <f t="shared" ca="1" si="39"/>
        <v/>
      </c>
    </row>
    <row r="757" spans="3:17" ht="15.75" hidden="1" customHeight="1" outlineLevel="1" x14ac:dyDescent="0.25">
      <c r="C757" s="207"/>
      <c r="D757" s="195">
        <v>42677</v>
      </c>
      <c r="E757" s="101" t="s">
        <v>7</v>
      </c>
      <c r="F757" s="216" t="s">
        <v>49</v>
      </c>
      <c r="G757" s="3" t="s">
        <v>56</v>
      </c>
      <c r="H757" s="3" t="s">
        <v>56</v>
      </c>
      <c r="M757" s="151" t="str">
        <f t="shared" si="37"/>
        <v>/</v>
      </c>
      <c r="N757" s="151" t="str">
        <f t="shared" si="38"/>
        <v/>
      </c>
      <c r="Q757" s="239" t="str">
        <f t="shared" ca="1" si="39"/>
        <v/>
      </c>
    </row>
    <row r="758" spans="3:17" ht="15.75" hidden="1" customHeight="1" outlineLevel="1" x14ac:dyDescent="0.25">
      <c r="C758" s="207"/>
      <c r="D758" s="195">
        <v>42679</v>
      </c>
      <c r="E758" s="101" t="s">
        <v>26</v>
      </c>
      <c r="F758" s="216" t="s">
        <v>49</v>
      </c>
      <c r="G758" s="3" t="s">
        <v>56</v>
      </c>
      <c r="H758" s="3" t="s">
        <v>56</v>
      </c>
      <c r="M758" s="151" t="str">
        <f t="shared" si="37"/>
        <v>/</v>
      </c>
      <c r="N758" s="151" t="str">
        <f t="shared" si="38"/>
        <v/>
      </c>
      <c r="Q758" s="239" t="str">
        <f t="shared" ca="1" si="39"/>
        <v/>
      </c>
    </row>
    <row r="759" spans="3:17" ht="15.75" hidden="1" customHeight="1" outlineLevel="1" x14ac:dyDescent="0.25">
      <c r="C759" s="207"/>
      <c r="D759" s="195">
        <v>42680</v>
      </c>
      <c r="E759" s="101" t="s">
        <v>14</v>
      </c>
      <c r="F759" s="216" t="s">
        <v>50</v>
      </c>
      <c r="G759" s="3" t="s">
        <v>56</v>
      </c>
      <c r="H759" s="3" t="s">
        <v>56</v>
      </c>
      <c r="M759" s="151" t="str">
        <f t="shared" si="37"/>
        <v/>
      </c>
      <c r="N759" s="151" t="str">
        <f t="shared" si="38"/>
        <v>/</v>
      </c>
      <c r="Q759" s="239" t="str">
        <f t="shared" ca="1" si="39"/>
        <v/>
      </c>
    </row>
    <row r="760" spans="3:17" ht="15.75" hidden="1" customHeight="1" outlineLevel="1" x14ac:dyDescent="0.25">
      <c r="C760" s="207"/>
      <c r="D760" s="195">
        <v>42684</v>
      </c>
      <c r="E760" s="101" t="s">
        <v>22</v>
      </c>
      <c r="F760" s="216" t="s">
        <v>49</v>
      </c>
      <c r="G760" s="3" t="s">
        <v>56</v>
      </c>
      <c r="H760" s="3" t="s">
        <v>56</v>
      </c>
      <c r="M760" s="151" t="str">
        <f t="shared" si="37"/>
        <v>/</v>
      </c>
      <c r="N760" s="151" t="str">
        <f t="shared" si="38"/>
        <v/>
      </c>
      <c r="Q760" s="239" t="str">
        <f t="shared" ca="1" si="39"/>
        <v/>
      </c>
    </row>
    <row r="761" spans="3:17" ht="15.75" hidden="1" customHeight="1" outlineLevel="1" x14ac:dyDescent="0.25">
      <c r="C761" s="207"/>
      <c r="D761" s="195">
        <v>42686</v>
      </c>
      <c r="E761" s="101" t="s">
        <v>20</v>
      </c>
      <c r="F761" s="216" t="s">
        <v>49</v>
      </c>
      <c r="G761" s="3" t="s">
        <v>56</v>
      </c>
      <c r="H761" s="3" t="s">
        <v>56</v>
      </c>
      <c r="M761" s="151" t="str">
        <f t="shared" si="37"/>
        <v>/</v>
      </c>
      <c r="N761" s="151" t="str">
        <f t="shared" si="38"/>
        <v/>
      </c>
      <c r="Q761" s="239" t="str">
        <f t="shared" ca="1" si="39"/>
        <v/>
      </c>
    </row>
    <row r="762" spans="3:17" ht="15.75" hidden="1" customHeight="1" outlineLevel="1" x14ac:dyDescent="0.25">
      <c r="C762" s="207"/>
      <c r="D762" s="195">
        <v>42690</v>
      </c>
      <c r="E762" s="101" t="s">
        <v>0</v>
      </c>
      <c r="F762" s="216" t="s">
        <v>50</v>
      </c>
      <c r="G762" s="3" t="s">
        <v>56</v>
      </c>
      <c r="H762" s="3" t="s">
        <v>56</v>
      </c>
      <c r="M762" s="151" t="str">
        <f t="shared" si="37"/>
        <v/>
      </c>
      <c r="N762" s="151" t="str">
        <f t="shared" si="38"/>
        <v>/</v>
      </c>
      <c r="Q762" s="239" t="str">
        <f t="shared" ca="1" si="39"/>
        <v/>
      </c>
    </row>
    <row r="763" spans="3:17" ht="15.75" hidden="1" customHeight="1" outlineLevel="1" x14ac:dyDescent="0.25">
      <c r="C763" s="207"/>
      <c r="D763" s="195">
        <v>42691</v>
      </c>
      <c r="E763" s="101" t="s">
        <v>6</v>
      </c>
      <c r="F763" s="216" t="s">
        <v>50</v>
      </c>
      <c r="G763" s="3" t="s">
        <v>56</v>
      </c>
      <c r="H763" s="3" t="s">
        <v>56</v>
      </c>
      <c r="M763" s="151" t="str">
        <f t="shared" si="37"/>
        <v/>
      </c>
      <c r="N763" s="151" t="str">
        <f t="shared" si="38"/>
        <v>/</v>
      </c>
      <c r="Q763" s="239" t="str">
        <f t="shared" ca="1" si="39"/>
        <v/>
      </c>
    </row>
    <row r="764" spans="3:17" ht="15.75" hidden="1" customHeight="1" outlineLevel="1" x14ac:dyDescent="0.25">
      <c r="C764" s="207"/>
      <c r="D764" s="195">
        <v>42693</v>
      </c>
      <c r="E764" s="101" t="s">
        <v>16</v>
      </c>
      <c r="F764" s="216" t="s">
        <v>49</v>
      </c>
      <c r="G764" s="3" t="s">
        <v>56</v>
      </c>
      <c r="H764" s="3" t="s">
        <v>56</v>
      </c>
      <c r="M764" s="151" t="str">
        <f t="shared" si="37"/>
        <v>/</v>
      </c>
      <c r="N764" s="151" t="str">
        <f t="shared" si="38"/>
        <v/>
      </c>
      <c r="Q764" s="239" t="str">
        <f t="shared" ca="1" si="39"/>
        <v/>
      </c>
    </row>
    <row r="765" spans="3:17" ht="15.75" hidden="1" customHeight="1" outlineLevel="1" x14ac:dyDescent="0.25">
      <c r="C765" s="207"/>
      <c r="D765" s="195">
        <v>42695</v>
      </c>
      <c r="E765" s="101" t="s">
        <v>10</v>
      </c>
      <c r="F765" s="216" t="s">
        <v>49</v>
      </c>
      <c r="G765" s="3" t="s">
        <v>56</v>
      </c>
      <c r="H765" s="3" t="s">
        <v>56</v>
      </c>
      <c r="M765" s="151" t="str">
        <f t="shared" si="37"/>
        <v>/</v>
      </c>
      <c r="N765" s="151" t="str">
        <f t="shared" si="38"/>
        <v/>
      </c>
      <c r="Q765" s="239" t="str">
        <f t="shared" ca="1" si="39"/>
        <v/>
      </c>
    </row>
    <row r="766" spans="3:17" ht="15.75" hidden="1" customHeight="1" outlineLevel="1" x14ac:dyDescent="0.25">
      <c r="C766" s="207"/>
      <c r="D766" s="195">
        <v>42699</v>
      </c>
      <c r="E766" s="101" t="s">
        <v>12</v>
      </c>
      <c r="F766" s="216" t="s">
        <v>49</v>
      </c>
      <c r="G766" s="3" t="s">
        <v>56</v>
      </c>
      <c r="H766" s="3" t="s">
        <v>56</v>
      </c>
      <c r="M766" s="151" t="str">
        <f t="shared" si="37"/>
        <v>/</v>
      </c>
      <c r="N766" s="151" t="str">
        <f t="shared" si="38"/>
        <v/>
      </c>
      <c r="Q766" s="239" t="str">
        <f t="shared" ca="1" si="39"/>
        <v/>
      </c>
    </row>
    <row r="767" spans="3:17" ht="15.75" hidden="1" customHeight="1" outlineLevel="1" x14ac:dyDescent="0.25">
      <c r="C767" s="207"/>
      <c r="D767" s="195">
        <v>42701</v>
      </c>
      <c r="E767" s="101" t="s">
        <v>10</v>
      </c>
      <c r="F767" s="216" t="s">
        <v>50</v>
      </c>
      <c r="G767" s="3" t="s">
        <v>56</v>
      </c>
      <c r="H767" s="3" t="s">
        <v>56</v>
      </c>
      <c r="M767" s="151" t="str">
        <f t="shared" si="37"/>
        <v/>
      </c>
      <c r="N767" s="151" t="str">
        <f t="shared" si="38"/>
        <v>/</v>
      </c>
      <c r="Q767" s="239" t="str">
        <f t="shared" ca="1" si="39"/>
        <v/>
      </c>
    </row>
    <row r="768" spans="3:17" ht="15.75" hidden="1" customHeight="1" outlineLevel="1" x14ac:dyDescent="0.25">
      <c r="C768" s="207"/>
      <c r="D768" s="195">
        <v>42703</v>
      </c>
      <c r="E768" s="101" t="s">
        <v>4</v>
      </c>
      <c r="F768" s="216" t="s">
        <v>49</v>
      </c>
      <c r="G768" s="3" t="s">
        <v>56</v>
      </c>
      <c r="H768" s="3" t="s">
        <v>56</v>
      </c>
      <c r="M768" s="151" t="str">
        <f t="shared" si="37"/>
        <v>/</v>
      </c>
      <c r="N768" s="151" t="str">
        <f t="shared" si="38"/>
        <v/>
      </c>
      <c r="Q768" s="239" t="str">
        <f t="shared" ca="1" si="39"/>
        <v/>
      </c>
    </row>
    <row r="769" spans="3:17" ht="15.75" hidden="1" customHeight="1" outlineLevel="1" x14ac:dyDescent="0.25">
      <c r="C769" s="208"/>
      <c r="D769" s="195">
        <v>42705</v>
      </c>
      <c r="E769" s="101" t="s">
        <v>45</v>
      </c>
      <c r="F769" s="216" t="s">
        <v>50</v>
      </c>
      <c r="G769" s="3" t="s">
        <v>56</v>
      </c>
      <c r="H769" s="3" t="s">
        <v>56</v>
      </c>
      <c r="M769" s="151" t="str">
        <f t="shared" si="37"/>
        <v/>
      </c>
      <c r="N769" s="151" t="str">
        <f t="shared" si="38"/>
        <v>/</v>
      </c>
      <c r="Q769" s="239" t="str">
        <f t="shared" ca="1" si="39"/>
        <v/>
      </c>
    </row>
    <row r="770" spans="3:17" ht="15.75" hidden="1" customHeight="1" outlineLevel="1" x14ac:dyDescent="0.25">
      <c r="C770" s="208"/>
      <c r="D770" s="195">
        <v>42707</v>
      </c>
      <c r="E770" s="101" t="s">
        <v>45</v>
      </c>
      <c r="F770" s="216" t="s">
        <v>49</v>
      </c>
      <c r="G770" s="3" t="s">
        <v>56</v>
      </c>
      <c r="H770" s="3" t="s">
        <v>56</v>
      </c>
      <c r="M770" s="151" t="str">
        <f t="shared" si="37"/>
        <v>/</v>
      </c>
      <c r="N770" s="151" t="str">
        <f t="shared" si="38"/>
        <v/>
      </c>
      <c r="Q770" s="239" t="str">
        <f t="shared" ca="1" si="39"/>
        <v/>
      </c>
    </row>
    <row r="771" spans="3:17" ht="15.75" hidden="1" customHeight="1" outlineLevel="1" x14ac:dyDescent="0.25">
      <c r="C771" s="208"/>
      <c r="D771" s="195">
        <v>42709</v>
      </c>
      <c r="E771" s="101" t="s">
        <v>46</v>
      </c>
      <c r="F771" s="216" t="s">
        <v>49</v>
      </c>
      <c r="G771" s="3" t="s">
        <v>56</v>
      </c>
      <c r="H771" s="3" t="s">
        <v>56</v>
      </c>
      <c r="M771" s="151" t="str">
        <f t="shared" si="37"/>
        <v>/</v>
      </c>
      <c r="N771" s="151" t="str">
        <f t="shared" si="38"/>
        <v/>
      </c>
      <c r="Q771" s="239" t="str">
        <f t="shared" ca="1" si="39"/>
        <v/>
      </c>
    </row>
    <row r="772" spans="3:17" ht="15.75" hidden="1" customHeight="1" outlineLevel="1" x14ac:dyDescent="0.25">
      <c r="C772" s="208"/>
      <c r="D772" s="195">
        <v>42711</v>
      </c>
      <c r="E772" s="101" t="s">
        <v>24</v>
      </c>
      <c r="F772" s="216" t="s">
        <v>49</v>
      </c>
      <c r="G772" s="3" t="s">
        <v>56</v>
      </c>
      <c r="H772" s="3" t="s">
        <v>56</v>
      </c>
      <c r="M772" s="151" t="str">
        <f t="shared" si="37"/>
        <v>/</v>
      </c>
      <c r="N772" s="151" t="str">
        <f t="shared" si="38"/>
        <v/>
      </c>
      <c r="Q772" s="239" t="str">
        <f t="shared" ca="1" si="39"/>
        <v/>
      </c>
    </row>
    <row r="773" spans="3:17" ht="15.75" hidden="1" customHeight="1" outlineLevel="1" x14ac:dyDescent="0.25">
      <c r="C773" s="208"/>
      <c r="D773" s="195">
        <v>42713</v>
      </c>
      <c r="E773" s="101" t="s">
        <v>0</v>
      </c>
      <c r="F773" s="216" t="s">
        <v>49</v>
      </c>
      <c r="G773" s="3" t="s">
        <v>56</v>
      </c>
      <c r="H773" s="3" t="s">
        <v>56</v>
      </c>
      <c r="M773" s="151" t="str">
        <f t="shared" si="37"/>
        <v>/</v>
      </c>
      <c r="N773" s="151" t="str">
        <f t="shared" si="38"/>
        <v/>
      </c>
      <c r="Q773" s="239" t="str">
        <f t="shared" ca="1" si="39"/>
        <v/>
      </c>
    </row>
    <row r="774" spans="3:17" ht="15.75" hidden="1" customHeight="1" outlineLevel="1" x14ac:dyDescent="0.25">
      <c r="C774" s="208"/>
      <c r="D774" s="195">
        <v>42714</v>
      </c>
      <c r="E774" s="101" t="s">
        <v>13</v>
      </c>
      <c r="F774" s="216" t="s">
        <v>50</v>
      </c>
      <c r="G774" s="3" t="s">
        <v>56</v>
      </c>
      <c r="H774" s="3" t="s">
        <v>56</v>
      </c>
      <c r="M774" s="151" t="str">
        <f t="shared" si="37"/>
        <v/>
      </c>
      <c r="N774" s="151" t="str">
        <f t="shared" si="38"/>
        <v>/</v>
      </c>
      <c r="Q774" s="239" t="str">
        <f t="shared" ca="1" si="39"/>
        <v/>
      </c>
    </row>
    <row r="775" spans="3:17" ht="15.75" hidden="1" customHeight="1" outlineLevel="1" x14ac:dyDescent="0.25">
      <c r="C775" s="208"/>
      <c r="D775" s="195">
        <v>42716</v>
      </c>
      <c r="E775" s="101" t="s">
        <v>12</v>
      </c>
      <c r="F775" s="216" t="s">
        <v>50</v>
      </c>
      <c r="G775" s="3" t="s">
        <v>56</v>
      </c>
      <c r="H775" s="3" t="s">
        <v>56</v>
      </c>
      <c r="M775" s="151" t="str">
        <f t="shared" ref="M775:M838" si="40">IF(F775="D",H775,"")</f>
        <v/>
      </c>
      <c r="N775" s="151" t="str">
        <f t="shared" ref="N775:N838" si="41">IF(F775="E",H775,"")</f>
        <v>/</v>
      </c>
      <c r="Q775" s="239" t="str">
        <f t="shared" ca="1" si="39"/>
        <v/>
      </c>
    </row>
    <row r="776" spans="3:17" ht="15.75" hidden="1" customHeight="1" outlineLevel="1" x14ac:dyDescent="0.25">
      <c r="C776" s="208"/>
      <c r="D776" s="195">
        <v>42719</v>
      </c>
      <c r="E776" s="101" t="s">
        <v>2</v>
      </c>
      <c r="F776" s="216" t="s">
        <v>49</v>
      </c>
      <c r="G776" s="3" t="s">
        <v>56</v>
      </c>
      <c r="H776" s="3" t="s">
        <v>56</v>
      </c>
      <c r="M776" s="151" t="str">
        <f t="shared" si="40"/>
        <v>/</v>
      </c>
      <c r="N776" s="151" t="str">
        <f t="shared" si="41"/>
        <v/>
      </c>
      <c r="Q776" s="239" t="str">
        <f t="shared" ca="1" si="39"/>
        <v/>
      </c>
    </row>
    <row r="777" spans="3:17" ht="15.75" hidden="1" customHeight="1" outlineLevel="1" x14ac:dyDescent="0.25">
      <c r="C777" s="208"/>
      <c r="D777" s="195">
        <v>42720</v>
      </c>
      <c r="E777" s="101" t="s">
        <v>2</v>
      </c>
      <c r="F777" s="216" t="s">
        <v>50</v>
      </c>
      <c r="G777" s="3" t="s">
        <v>56</v>
      </c>
      <c r="H777" s="3" t="s">
        <v>56</v>
      </c>
      <c r="M777" s="151" t="str">
        <f t="shared" si="40"/>
        <v/>
      </c>
      <c r="N777" s="151" t="str">
        <f t="shared" si="41"/>
        <v>/</v>
      </c>
      <c r="Q777" s="239" t="str">
        <f t="shared" ca="1" si="39"/>
        <v/>
      </c>
    </row>
    <row r="778" spans="3:17" ht="15.75" hidden="1" customHeight="1" outlineLevel="1" x14ac:dyDescent="0.25">
      <c r="C778" s="208"/>
      <c r="D778" s="195">
        <v>42724</v>
      </c>
      <c r="E778" s="101" t="s">
        <v>4</v>
      </c>
      <c r="F778" s="216" t="s">
        <v>49</v>
      </c>
      <c r="G778" s="3" t="s">
        <v>56</v>
      </c>
      <c r="H778" s="3" t="s">
        <v>56</v>
      </c>
      <c r="M778" s="151" t="str">
        <f t="shared" si="40"/>
        <v>/</v>
      </c>
      <c r="N778" s="151" t="str">
        <f t="shared" si="41"/>
        <v/>
      </c>
      <c r="Q778" s="239" t="str">
        <f t="shared" ca="1" si="39"/>
        <v/>
      </c>
    </row>
    <row r="779" spans="3:17" ht="15.75" hidden="1" customHeight="1" outlineLevel="1" x14ac:dyDescent="0.25">
      <c r="C779" s="208"/>
      <c r="D779" s="195">
        <v>42725</v>
      </c>
      <c r="E779" s="101" t="s">
        <v>4</v>
      </c>
      <c r="F779" s="216" t="s">
        <v>50</v>
      </c>
      <c r="G779" s="3" t="s">
        <v>56</v>
      </c>
      <c r="H779" s="3" t="s">
        <v>56</v>
      </c>
      <c r="M779" s="151" t="str">
        <f t="shared" si="40"/>
        <v/>
      </c>
      <c r="N779" s="151" t="str">
        <f t="shared" si="41"/>
        <v>/</v>
      </c>
      <c r="Q779" s="239" t="str">
        <f t="shared" ca="1" si="39"/>
        <v/>
      </c>
    </row>
    <row r="780" spans="3:17" ht="15.75" hidden="1" customHeight="1" outlineLevel="1" x14ac:dyDescent="0.25">
      <c r="C780" s="208"/>
      <c r="D780" s="195">
        <v>42727</v>
      </c>
      <c r="E780" s="101" t="s">
        <v>13</v>
      </c>
      <c r="F780" s="216" t="s">
        <v>49</v>
      </c>
      <c r="G780" s="3" t="s">
        <v>56</v>
      </c>
      <c r="H780" s="3" t="s">
        <v>56</v>
      </c>
      <c r="M780" s="151" t="str">
        <f t="shared" si="40"/>
        <v>/</v>
      </c>
      <c r="N780" s="151" t="str">
        <f t="shared" si="41"/>
        <v/>
      </c>
      <c r="Q780" s="239" t="str">
        <f t="shared" ca="1" si="39"/>
        <v/>
      </c>
    </row>
    <row r="781" spans="3:17" ht="15.75" hidden="1" customHeight="1" outlineLevel="1" x14ac:dyDescent="0.25">
      <c r="C781" s="208"/>
      <c r="D781" s="195">
        <v>42730</v>
      </c>
      <c r="E781" s="101" t="s">
        <v>13</v>
      </c>
      <c r="F781" s="216" t="s">
        <v>50</v>
      </c>
      <c r="G781" s="3" t="s">
        <v>56</v>
      </c>
      <c r="H781" s="3" t="s">
        <v>56</v>
      </c>
      <c r="M781" s="151" t="str">
        <f t="shared" si="40"/>
        <v/>
      </c>
      <c r="N781" s="151" t="str">
        <f t="shared" si="41"/>
        <v>/</v>
      </c>
      <c r="Q781" s="239" t="str">
        <f t="shared" ca="1" si="39"/>
        <v/>
      </c>
    </row>
    <row r="782" spans="3:17" ht="15.75" hidden="1" customHeight="1" outlineLevel="1" x14ac:dyDescent="0.25">
      <c r="C782" s="208"/>
      <c r="D782" s="195">
        <v>42732</v>
      </c>
      <c r="E782" s="101" t="s">
        <v>5</v>
      </c>
      <c r="F782" s="216" t="s">
        <v>50</v>
      </c>
      <c r="G782" s="3" t="s">
        <v>56</v>
      </c>
      <c r="H782" s="3" t="s">
        <v>56</v>
      </c>
      <c r="M782" s="151" t="str">
        <f t="shared" si="40"/>
        <v/>
      </c>
      <c r="N782" s="151" t="str">
        <f t="shared" si="41"/>
        <v>/</v>
      </c>
      <c r="Q782" s="239" t="str">
        <f t="shared" ca="1" si="39"/>
        <v/>
      </c>
    </row>
    <row r="783" spans="3:17" ht="15.75" hidden="1" customHeight="1" outlineLevel="1" x14ac:dyDescent="0.25">
      <c r="C783" s="208"/>
      <c r="D783" s="195">
        <v>42734</v>
      </c>
      <c r="E783" s="101" t="s">
        <v>21</v>
      </c>
      <c r="F783" s="216" t="s">
        <v>50</v>
      </c>
      <c r="G783" s="3" t="s">
        <v>56</v>
      </c>
      <c r="H783" s="3" t="s">
        <v>56</v>
      </c>
      <c r="M783" s="151" t="str">
        <f t="shared" si="40"/>
        <v/>
      </c>
      <c r="N783" s="151" t="str">
        <f t="shared" si="41"/>
        <v>/</v>
      </c>
      <c r="Q783" s="239" t="str">
        <f t="shared" ca="1" si="39"/>
        <v/>
      </c>
    </row>
    <row r="784" spans="3:17" ht="15.75" hidden="1" customHeight="1" outlineLevel="1" x14ac:dyDescent="0.25">
      <c r="C784" s="208"/>
      <c r="D784" s="195">
        <v>42735</v>
      </c>
      <c r="E784" s="101" t="s">
        <v>2</v>
      </c>
      <c r="F784" s="216" t="s">
        <v>50</v>
      </c>
      <c r="G784" s="3" t="s">
        <v>56</v>
      </c>
      <c r="H784" s="3" t="s">
        <v>56</v>
      </c>
      <c r="M784" s="151" t="str">
        <f t="shared" si="40"/>
        <v/>
      </c>
      <c r="N784" s="151" t="str">
        <f t="shared" si="41"/>
        <v>/</v>
      </c>
      <c r="Q784" s="239" t="str">
        <f t="shared" ca="1" si="39"/>
        <v/>
      </c>
    </row>
    <row r="785" spans="3:17" ht="15.75" hidden="1" customHeight="1" outlineLevel="1" x14ac:dyDescent="0.25">
      <c r="C785" s="207"/>
      <c r="D785" s="195">
        <v>42371</v>
      </c>
      <c r="E785" s="101" t="s">
        <v>23</v>
      </c>
      <c r="F785" s="216" t="s">
        <v>49</v>
      </c>
      <c r="G785" s="3" t="s">
        <v>56</v>
      </c>
      <c r="H785" s="3" t="s">
        <v>56</v>
      </c>
      <c r="M785" s="151" t="str">
        <f t="shared" si="40"/>
        <v>/</v>
      </c>
      <c r="N785" s="151" t="str">
        <f t="shared" si="41"/>
        <v/>
      </c>
      <c r="Q785" s="239" t="str">
        <f t="shared" ca="1" si="39"/>
        <v/>
      </c>
    </row>
    <row r="786" spans="3:17" ht="15.75" hidden="1" customHeight="1" outlineLevel="1" x14ac:dyDescent="0.25">
      <c r="C786" s="207"/>
      <c r="D786" s="195">
        <v>42373</v>
      </c>
      <c r="E786" s="101" t="s">
        <v>9</v>
      </c>
      <c r="F786" s="216" t="s">
        <v>50</v>
      </c>
      <c r="G786" s="3" t="s">
        <v>56</v>
      </c>
      <c r="H786" s="3" t="s">
        <v>56</v>
      </c>
      <c r="M786" s="151" t="str">
        <f t="shared" si="40"/>
        <v/>
      </c>
      <c r="N786" s="151" t="str">
        <f t="shared" si="41"/>
        <v>/</v>
      </c>
      <c r="Q786" s="239" t="str">
        <f t="shared" ca="1" si="39"/>
        <v/>
      </c>
    </row>
    <row r="787" spans="3:17" ht="15.75" hidden="1" customHeight="1" outlineLevel="1" x14ac:dyDescent="0.25">
      <c r="C787" s="207"/>
      <c r="D787" s="195">
        <v>42375</v>
      </c>
      <c r="E787" s="101" t="s">
        <v>9</v>
      </c>
      <c r="F787" s="216" t="s">
        <v>49</v>
      </c>
      <c r="G787" s="3" t="s">
        <v>56</v>
      </c>
      <c r="H787" s="3" t="s">
        <v>56</v>
      </c>
      <c r="M787" s="151" t="str">
        <f t="shared" si="40"/>
        <v>/</v>
      </c>
      <c r="N787" s="151" t="str">
        <f t="shared" si="41"/>
        <v/>
      </c>
      <c r="Q787" s="239" t="str">
        <f t="shared" ca="1" si="39"/>
        <v/>
      </c>
    </row>
    <row r="788" spans="3:17" ht="15.75" hidden="1" customHeight="1" outlineLevel="1" x14ac:dyDescent="0.25">
      <c r="C788" s="207"/>
      <c r="D788" s="195">
        <v>42377</v>
      </c>
      <c r="E788" s="101" t="s">
        <v>13</v>
      </c>
      <c r="F788" s="216" t="s">
        <v>49</v>
      </c>
      <c r="G788" s="3" t="s">
        <v>56</v>
      </c>
      <c r="H788" s="3" t="s">
        <v>56</v>
      </c>
      <c r="M788" s="151" t="str">
        <f t="shared" si="40"/>
        <v>/</v>
      </c>
      <c r="N788" s="151" t="str">
        <f t="shared" si="41"/>
        <v/>
      </c>
      <c r="Q788" s="239" t="str">
        <f t="shared" ca="1" si="39"/>
        <v/>
      </c>
    </row>
    <row r="789" spans="3:17" ht="15.75" hidden="1" customHeight="1" outlineLevel="1" x14ac:dyDescent="0.25">
      <c r="C789" s="207"/>
      <c r="D789" s="195">
        <v>42379</v>
      </c>
      <c r="E789" s="101" t="s">
        <v>46</v>
      </c>
      <c r="F789" s="216" t="s">
        <v>50</v>
      </c>
      <c r="G789" s="3" t="s">
        <v>56</v>
      </c>
      <c r="H789" s="3" t="s">
        <v>56</v>
      </c>
      <c r="M789" s="151" t="str">
        <f t="shared" si="40"/>
        <v/>
      </c>
      <c r="N789" s="151" t="str">
        <f t="shared" si="41"/>
        <v>/</v>
      </c>
      <c r="Q789" s="239" t="str">
        <f t="shared" ca="1" si="39"/>
        <v/>
      </c>
    </row>
    <row r="790" spans="3:17" ht="15.75" hidden="1" customHeight="1" outlineLevel="1" x14ac:dyDescent="0.25">
      <c r="C790" s="207"/>
      <c r="D790" s="195">
        <v>42382</v>
      </c>
      <c r="E790" s="101" t="s">
        <v>6</v>
      </c>
      <c r="F790" s="216" t="s">
        <v>49</v>
      </c>
      <c r="G790" s="3" t="s">
        <v>56</v>
      </c>
      <c r="H790" s="3" t="s">
        <v>56</v>
      </c>
      <c r="M790" s="151" t="str">
        <f t="shared" si="40"/>
        <v>/</v>
      </c>
      <c r="N790" s="151" t="str">
        <f t="shared" si="41"/>
        <v/>
      </c>
      <c r="Q790" s="239" t="str">
        <f t="shared" ca="1" si="39"/>
        <v/>
      </c>
    </row>
    <row r="791" spans="3:17" ht="15.75" hidden="1" customHeight="1" outlineLevel="1" x14ac:dyDescent="0.25">
      <c r="C791" s="207"/>
      <c r="D791" s="195">
        <v>42384</v>
      </c>
      <c r="E791" s="101" t="s">
        <v>0</v>
      </c>
      <c r="F791" s="216" t="s">
        <v>50</v>
      </c>
      <c r="G791" s="3" t="s">
        <v>56</v>
      </c>
      <c r="H791" s="3" t="s">
        <v>56</v>
      </c>
      <c r="M791" s="151" t="str">
        <f t="shared" si="40"/>
        <v/>
      </c>
      <c r="N791" s="151" t="str">
        <f t="shared" si="41"/>
        <v>/</v>
      </c>
      <c r="Q791" s="239" t="str">
        <f t="shared" ca="1" si="39"/>
        <v/>
      </c>
    </row>
    <row r="792" spans="3:17" ht="15.75" hidden="1" customHeight="1" outlineLevel="1" x14ac:dyDescent="0.25">
      <c r="C792" s="207"/>
      <c r="D792" s="195">
        <v>42385</v>
      </c>
      <c r="E792" s="101" t="s">
        <v>11</v>
      </c>
      <c r="F792" s="216" t="s">
        <v>49</v>
      </c>
      <c r="G792" s="3" t="s">
        <v>56</v>
      </c>
      <c r="H792" s="3" t="s">
        <v>56</v>
      </c>
      <c r="M792" s="151" t="str">
        <f t="shared" si="40"/>
        <v>/</v>
      </c>
      <c r="N792" s="151" t="str">
        <f t="shared" si="41"/>
        <v/>
      </c>
      <c r="Q792" s="239" t="str">
        <f t="shared" ca="1" si="39"/>
        <v/>
      </c>
    </row>
    <row r="793" spans="3:17" ht="15.75" hidden="1" customHeight="1" outlineLevel="1" x14ac:dyDescent="0.25">
      <c r="C793" s="207"/>
      <c r="D793" s="195">
        <v>42387</v>
      </c>
      <c r="E793" s="101" t="s">
        <v>17</v>
      </c>
      <c r="F793" s="216" t="s">
        <v>50</v>
      </c>
      <c r="G793" s="3" t="s">
        <v>56</v>
      </c>
      <c r="H793" s="3" t="s">
        <v>56</v>
      </c>
      <c r="M793" s="151" t="str">
        <f t="shared" si="40"/>
        <v/>
      </c>
      <c r="N793" s="151" t="str">
        <f t="shared" si="41"/>
        <v>/</v>
      </c>
      <c r="Q793" s="239" t="str">
        <f t="shared" ca="1" si="39"/>
        <v/>
      </c>
    </row>
    <row r="794" spans="3:17" ht="15.75" hidden="1" customHeight="1" outlineLevel="1" x14ac:dyDescent="0.25">
      <c r="C794" s="207"/>
      <c r="D794" s="195">
        <v>42389</v>
      </c>
      <c r="E794" s="101" t="s">
        <v>10</v>
      </c>
      <c r="F794" s="216" t="s">
        <v>50</v>
      </c>
      <c r="G794" s="3" t="s">
        <v>56</v>
      </c>
      <c r="H794" s="3" t="s">
        <v>56</v>
      </c>
      <c r="M794" s="151" t="str">
        <f t="shared" si="40"/>
        <v/>
      </c>
      <c r="N794" s="151" t="str">
        <f t="shared" si="41"/>
        <v>/</v>
      </c>
      <c r="Q794" s="239" t="str">
        <f t="shared" ca="1" si="39"/>
        <v/>
      </c>
    </row>
    <row r="795" spans="3:17" ht="15.75" hidden="1" customHeight="1" outlineLevel="1" x14ac:dyDescent="0.25">
      <c r="C795" s="207"/>
      <c r="D795" s="195">
        <v>42390</v>
      </c>
      <c r="E795" s="101" t="s">
        <v>6</v>
      </c>
      <c r="F795" s="216" t="s">
        <v>50</v>
      </c>
      <c r="G795" s="3" t="s">
        <v>56</v>
      </c>
      <c r="H795" s="3" t="s">
        <v>56</v>
      </c>
      <c r="M795" s="151" t="str">
        <f t="shared" si="40"/>
        <v/>
      </c>
      <c r="N795" s="151" t="str">
        <f t="shared" si="41"/>
        <v>/</v>
      </c>
      <c r="Q795" s="239" t="str">
        <f t="shared" ca="1" si="39"/>
        <v/>
      </c>
    </row>
    <row r="796" spans="3:17" ht="15.75" hidden="1" customHeight="1" outlineLevel="1" x14ac:dyDescent="0.25">
      <c r="C796" s="207"/>
      <c r="D796" s="195">
        <v>42392</v>
      </c>
      <c r="E796" s="101" t="s">
        <v>17</v>
      </c>
      <c r="F796" s="216" t="s">
        <v>49</v>
      </c>
      <c r="G796" s="3" t="s">
        <v>56</v>
      </c>
      <c r="H796" s="3" t="s">
        <v>56</v>
      </c>
      <c r="M796" s="151" t="str">
        <f t="shared" si="40"/>
        <v>/</v>
      </c>
      <c r="N796" s="151" t="str">
        <f t="shared" si="41"/>
        <v/>
      </c>
      <c r="Q796" s="239" t="str">
        <f t="shared" ca="1" si="39"/>
        <v/>
      </c>
    </row>
    <row r="797" spans="3:17" ht="15.75" hidden="1" customHeight="1" outlineLevel="1" x14ac:dyDescent="0.25">
      <c r="C797" s="207"/>
      <c r="D797" s="195">
        <v>42394</v>
      </c>
      <c r="E797" s="101" t="s">
        <v>11</v>
      </c>
      <c r="F797" s="216" t="s">
        <v>49</v>
      </c>
      <c r="G797" s="3" t="s">
        <v>56</v>
      </c>
      <c r="H797" s="3" t="s">
        <v>56</v>
      </c>
      <c r="M797" s="151" t="str">
        <f t="shared" si="40"/>
        <v>/</v>
      </c>
      <c r="N797" s="151" t="str">
        <f t="shared" si="41"/>
        <v/>
      </c>
      <c r="Q797" s="239" t="str">
        <f t="shared" ca="1" si="39"/>
        <v/>
      </c>
    </row>
    <row r="798" spans="3:17" ht="15.75" hidden="1" customHeight="1" outlineLevel="1" x14ac:dyDescent="0.25">
      <c r="C798" s="207"/>
      <c r="D798" s="195">
        <v>42396</v>
      </c>
      <c r="E798" s="101" t="s">
        <v>12</v>
      </c>
      <c r="F798" s="216" t="s">
        <v>50</v>
      </c>
      <c r="G798" s="3" t="s">
        <v>56</v>
      </c>
      <c r="H798" s="3" t="s">
        <v>56</v>
      </c>
      <c r="M798" s="151" t="str">
        <f t="shared" si="40"/>
        <v/>
      </c>
      <c r="N798" s="151" t="str">
        <f t="shared" si="41"/>
        <v>/</v>
      </c>
      <c r="Q798" s="239" t="str">
        <f t="shared" ca="1" si="39"/>
        <v/>
      </c>
    </row>
    <row r="799" spans="3:17" ht="15.75" hidden="1" customHeight="1" outlineLevel="1" x14ac:dyDescent="0.25">
      <c r="C799" s="207"/>
      <c r="D799" s="195">
        <v>42397</v>
      </c>
      <c r="E799" s="101" t="s">
        <v>1</v>
      </c>
      <c r="F799" s="216" t="s">
        <v>49</v>
      </c>
      <c r="G799" s="3" t="s">
        <v>56</v>
      </c>
      <c r="H799" s="3" t="s">
        <v>56</v>
      </c>
      <c r="M799" s="151" t="str">
        <f t="shared" si="40"/>
        <v>/</v>
      </c>
      <c r="N799" s="151" t="str">
        <f t="shared" si="41"/>
        <v/>
      </c>
      <c r="Q799" s="239" t="str">
        <f t="shared" ca="1" si="39"/>
        <v/>
      </c>
    </row>
    <row r="800" spans="3:17" ht="15.75" hidden="1" customHeight="1" outlineLevel="1" x14ac:dyDescent="0.25">
      <c r="C800" s="208"/>
      <c r="D800" s="195">
        <v>42401</v>
      </c>
      <c r="E800" s="101" t="s">
        <v>28</v>
      </c>
      <c r="F800" s="216" t="s">
        <v>50</v>
      </c>
      <c r="G800" s="3" t="s">
        <v>56</v>
      </c>
      <c r="H800" s="3" t="s">
        <v>56</v>
      </c>
      <c r="M800" s="151" t="str">
        <f t="shared" si="40"/>
        <v/>
      </c>
      <c r="N800" s="151" t="str">
        <f t="shared" si="41"/>
        <v>/</v>
      </c>
      <c r="Q800" s="239" t="str">
        <f t="shared" ca="1" si="39"/>
        <v/>
      </c>
    </row>
    <row r="801" spans="3:17" ht="15.75" hidden="1" customHeight="1" outlineLevel="1" x14ac:dyDescent="0.25">
      <c r="C801" s="208"/>
      <c r="D801" s="195">
        <v>42403</v>
      </c>
      <c r="E801" s="101" t="s">
        <v>15</v>
      </c>
      <c r="F801" s="216" t="s">
        <v>50</v>
      </c>
      <c r="G801" s="3" t="s">
        <v>56</v>
      </c>
      <c r="H801" s="3" t="s">
        <v>56</v>
      </c>
      <c r="M801" s="151" t="str">
        <f t="shared" si="40"/>
        <v/>
      </c>
      <c r="N801" s="151" t="str">
        <f t="shared" si="41"/>
        <v>/</v>
      </c>
      <c r="Q801" s="239" t="str">
        <f t="shared" ca="1" si="39"/>
        <v/>
      </c>
    </row>
    <row r="802" spans="3:17" ht="15.75" hidden="1" customHeight="1" outlineLevel="1" x14ac:dyDescent="0.25">
      <c r="C802" s="208"/>
      <c r="D802" s="195">
        <v>42404</v>
      </c>
      <c r="E802" s="101" t="s">
        <v>25</v>
      </c>
      <c r="F802" s="216" t="s">
        <v>50</v>
      </c>
      <c r="G802" s="3" t="s">
        <v>56</v>
      </c>
      <c r="H802" s="3" t="s">
        <v>56</v>
      </c>
      <c r="M802" s="151" t="str">
        <f t="shared" si="40"/>
        <v/>
      </c>
      <c r="N802" s="151" t="str">
        <f t="shared" si="41"/>
        <v>/</v>
      </c>
      <c r="Q802" s="239" t="str">
        <f t="shared" ca="1" si="39"/>
        <v/>
      </c>
    </row>
    <row r="803" spans="3:17" ht="15.75" hidden="1" customHeight="1" outlineLevel="1" x14ac:dyDescent="0.25">
      <c r="C803" s="208"/>
      <c r="D803" s="195">
        <v>42408</v>
      </c>
      <c r="E803" s="101" t="s">
        <v>6</v>
      </c>
      <c r="F803" s="216" t="s">
        <v>49</v>
      </c>
      <c r="G803" s="3" t="s">
        <v>56</v>
      </c>
      <c r="H803" s="3" t="s">
        <v>56</v>
      </c>
      <c r="M803" s="151" t="str">
        <f t="shared" si="40"/>
        <v>/</v>
      </c>
      <c r="N803" s="151" t="str">
        <f t="shared" si="41"/>
        <v/>
      </c>
      <c r="Q803" s="239" t="str">
        <f t="shared" ca="1" si="39"/>
        <v/>
      </c>
    </row>
    <row r="804" spans="3:17" ht="15.75" hidden="1" customHeight="1" outlineLevel="1" x14ac:dyDescent="0.25">
      <c r="C804" s="208"/>
      <c r="D804" s="195">
        <v>42410</v>
      </c>
      <c r="E804" s="101" t="s">
        <v>644</v>
      </c>
      <c r="F804" s="216" t="s">
        <v>49</v>
      </c>
      <c r="G804" s="3" t="s">
        <v>56</v>
      </c>
      <c r="H804" s="3" t="s">
        <v>56</v>
      </c>
      <c r="M804" s="151" t="str">
        <f t="shared" si="40"/>
        <v>/</v>
      </c>
      <c r="N804" s="151" t="str">
        <f t="shared" si="41"/>
        <v/>
      </c>
      <c r="Q804" s="239" t="str">
        <f t="shared" ca="1" si="39"/>
        <v/>
      </c>
    </row>
    <row r="805" spans="3:17" ht="15.75" hidden="1" customHeight="1" outlineLevel="1" x14ac:dyDescent="0.25">
      <c r="C805" s="208"/>
      <c r="D805" s="195">
        <v>42411</v>
      </c>
      <c r="E805" s="101" t="s">
        <v>7</v>
      </c>
      <c r="F805" s="216" t="s">
        <v>50</v>
      </c>
      <c r="G805" s="3" t="s">
        <v>56</v>
      </c>
      <c r="H805" s="3" t="s">
        <v>56</v>
      </c>
      <c r="M805" s="151" t="str">
        <f t="shared" si="40"/>
        <v/>
      </c>
      <c r="N805" s="151" t="str">
        <f t="shared" si="41"/>
        <v>/</v>
      </c>
      <c r="Q805" s="239" t="str">
        <f t="shared" ca="1" si="39"/>
        <v/>
      </c>
    </row>
    <row r="806" spans="3:17" ht="15.75" hidden="1" customHeight="1" outlineLevel="1" x14ac:dyDescent="0.25">
      <c r="C806" s="208"/>
      <c r="D806" s="195">
        <v>42413</v>
      </c>
      <c r="E806" s="101" t="s">
        <v>5</v>
      </c>
      <c r="F806" s="216" t="s">
        <v>49</v>
      </c>
      <c r="G806" s="3" t="s">
        <v>56</v>
      </c>
      <c r="H806" s="3" t="s">
        <v>56</v>
      </c>
      <c r="M806" s="151" t="str">
        <f t="shared" si="40"/>
        <v>/</v>
      </c>
      <c r="N806" s="151" t="str">
        <f t="shared" si="41"/>
        <v/>
      </c>
      <c r="Q806" s="239" t="str">
        <f t="shared" ca="1" si="39"/>
        <v/>
      </c>
    </row>
    <row r="807" spans="3:17" ht="15.75" hidden="1" customHeight="1" outlineLevel="1" x14ac:dyDescent="0.25">
      <c r="C807" s="208"/>
      <c r="D807" s="195">
        <v>42415</v>
      </c>
      <c r="E807" s="101" t="s">
        <v>45</v>
      </c>
      <c r="F807" s="216" t="s">
        <v>50</v>
      </c>
      <c r="G807" s="3" t="s">
        <v>56</v>
      </c>
      <c r="H807" s="3" t="s">
        <v>56</v>
      </c>
      <c r="M807" s="151" t="str">
        <f t="shared" si="40"/>
        <v/>
      </c>
      <c r="N807" s="151" t="str">
        <f t="shared" si="41"/>
        <v>/</v>
      </c>
      <c r="Q807" s="239" t="str">
        <f t="shared" ca="1" si="39"/>
        <v/>
      </c>
    </row>
    <row r="808" spans="3:17" ht="15.75" hidden="1" customHeight="1" outlineLevel="1" x14ac:dyDescent="0.25">
      <c r="C808" s="208"/>
      <c r="D808" s="195">
        <v>42424</v>
      </c>
      <c r="E808" s="101" t="s">
        <v>28</v>
      </c>
      <c r="F808" s="216" t="s">
        <v>49</v>
      </c>
      <c r="G808" s="3" t="s">
        <v>56</v>
      </c>
      <c r="H808" s="3" t="s">
        <v>56</v>
      </c>
      <c r="M808" s="151" t="str">
        <f t="shared" si="40"/>
        <v>/</v>
      </c>
      <c r="N808" s="151" t="str">
        <f t="shared" si="41"/>
        <v/>
      </c>
      <c r="Q808" s="239" t="str">
        <f t="shared" ca="1" si="39"/>
        <v/>
      </c>
    </row>
    <row r="809" spans="3:17" ht="15.75" hidden="1" customHeight="1" outlineLevel="1" x14ac:dyDescent="0.25">
      <c r="C809" s="208"/>
      <c r="D809" s="195">
        <v>42426</v>
      </c>
      <c r="E809" s="101" t="s">
        <v>25</v>
      </c>
      <c r="F809" s="216" t="s">
        <v>49</v>
      </c>
      <c r="G809" s="3" t="s">
        <v>56</v>
      </c>
      <c r="H809" s="3" t="s">
        <v>56</v>
      </c>
      <c r="M809" s="151" t="str">
        <f t="shared" si="40"/>
        <v>/</v>
      </c>
      <c r="N809" s="151" t="str">
        <f t="shared" si="41"/>
        <v/>
      </c>
      <c r="Q809" s="239" t="str">
        <f t="shared" ca="1" si="39"/>
        <v/>
      </c>
    </row>
    <row r="810" spans="3:17" ht="15.75" hidden="1" customHeight="1" outlineLevel="1" x14ac:dyDescent="0.25">
      <c r="C810" s="208"/>
      <c r="D810" s="195">
        <v>42427</v>
      </c>
      <c r="E810" s="101" t="s">
        <v>4</v>
      </c>
      <c r="F810" s="216" t="s">
        <v>50</v>
      </c>
      <c r="G810" s="3" t="s">
        <v>56</v>
      </c>
      <c r="H810" s="3" t="s">
        <v>56</v>
      </c>
      <c r="M810" s="151" t="str">
        <f t="shared" si="40"/>
        <v/>
      </c>
      <c r="N810" s="151" t="str">
        <f t="shared" si="41"/>
        <v>/</v>
      </c>
      <c r="Q810" s="239" t="str">
        <f t="shared" ca="1" si="39"/>
        <v/>
      </c>
    </row>
    <row r="811" spans="3:17" ht="15.75" hidden="1" customHeight="1" outlineLevel="1" x14ac:dyDescent="0.25">
      <c r="C811" s="207"/>
      <c r="D811" s="195">
        <v>42430</v>
      </c>
      <c r="E811" s="101" t="s">
        <v>15</v>
      </c>
      <c r="F811" s="216" t="s">
        <v>49</v>
      </c>
      <c r="G811" s="3" t="s">
        <v>56</v>
      </c>
      <c r="H811" s="3" t="s">
        <v>56</v>
      </c>
      <c r="M811" s="151" t="str">
        <f t="shared" si="40"/>
        <v>/</v>
      </c>
      <c r="N811" s="151" t="str">
        <f t="shared" si="41"/>
        <v/>
      </c>
      <c r="Q811" s="239" t="str">
        <f t="shared" ref="Q811:Q874" ca="1" si="42">IF(D811=TODAY(),1,"")</f>
        <v/>
      </c>
    </row>
    <row r="812" spans="3:17" ht="15.75" hidden="1" customHeight="1" outlineLevel="1" x14ac:dyDescent="0.25">
      <c r="C812" s="207"/>
      <c r="D812" s="195">
        <v>42432</v>
      </c>
      <c r="E812" s="101" t="s">
        <v>18</v>
      </c>
      <c r="F812" s="216" t="s">
        <v>49</v>
      </c>
      <c r="G812" s="3" t="s">
        <v>56</v>
      </c>
      <c r="H812" s="3" t="s">
        <v>56</v>
      </c>
      <c r="M812" s="151" t="str">
        <f t="shared" si="40"/>
        <v>/</v>
      </c>
      <c r="N812" s="151" t="str">
        <f t="shared" si="41"/>
        <v/>
      </c>
      <c r="Q812" s="239" t="str">
        <f t="shared" ca="1" si="42"/>
        <v/>
      </c>
    </row>
    <row r="813" spans="3:17" ht="15.75" hidden="1" customHeight="1" outlineLevel="1" x14ac:dyDescent="0.25">
      <c r="C813" s="207"/>
      <c r="D813" s="195">
        <v>42433</v>
      </c>
      <c r="E813" s="101" t="s">
        <v>12</v>
      </c>
      <c r="F813" s="216" t="s">
        <v>49</v>
      </c>
      <c r="G813" s="3" t="s">
        <v>56</v>
      </c>
      <c r="H813" s="3" t="s">
        <v>56</v>
      </c>
      <c r="M813" s="151" t="str">
        <f t="shared" si="40"/>
        <v>/</v>
      </c>
      <c r="N813" s="151" t="str">
        <f t="shared" si="41"/>
        <v/>
      </c>
      <c r="Q813" s="239" t="str">
        <f t="shared" ca="1" si="42"/>
        <v/>
      </c>
    </row>
    <row r="814" spans="3:17" ht="15.75" hidden="1" customHeight="1" outlineLevel="1" x14ac:dyDescent="0.25">
      <c r="C814" s="207"/>
      <c r="D814" s="195">
        <v>42435</v>
      </c>
      <c r="E814" s="101" t="s">
        <v>11</v>
      </c>
      <c r="F814" s="216" t="s">
        <v>50</v>
      </c>
      <c r="G814" s="3" t="s">
        <v>56</v>
      </c>
      <c r="H814" s="3" t="s">
        <v>56</v>
      </c>
      <c r="M814" s="151" t="str">
        <f t="shared" si="40"/>
        <v/>
      </c>
      <c r="N814" s="151" t="str">
        <f t="shared" si="41"/>
        <v>/</v>
      </c>
      <c r="Q814" s="239" t="str">
        <f t="shared" ca="1" si="42"/>
        <v/>
      </c>
    </row>
    <row r="815" spans="3:17" ht="15.75" hidden="1" customHeight="1" outlineLevel="1" x14ac:dyDescent="0.25">
      <c r="C815" s="207"/>
      <c r="D815" s="195">
        <v>42437</v>
      </c>
      <c r="E815" s="101" t="s">
        <v>9</v>
      </c>
      <c r="F815" s="216" t="s">
        <v>49</v>
      </c>
      <c r="G815" s="3" t="s">
        <v>56</v>
      </c>
      <c r="H815" s="3" t="s">
        <v>56</v>
      </c>
      <c r="M815" s="151" t="str">
        <f t="shared" si="40"/>
        <v>/</v>
      </c>
      <c r="N815" s="151" t="str">
        <f t="shared" si="41"/>
        <v/>
      </c>
      <c r="Q815" s="239" t="str">
        <f t="shared" ca="1" si="42"/>
        <v/>
      </c>
    </row>
    <row r="816" spans="3:17" ht="15.75" hidden="1" customHeight="1" outlineLevel="1" x14ac:dyDescent="0.25">
      <c r="C816" s="207"/>
      <c r="D816" s="195">
        <v>42439</v>
      </c>
      <c r="E816" s="101" t="s">
        <v>7</v>
      </c>
      <c r="F816" s="216" t="s">
        <v>49</v>
      </c>
      <c r="G816" s="3" t="s">
        <v>56</v>
      </c>
      <c r="H816" s="3" t="s">
        <v>56</v>
      </c>
      <c r="M816" s="151" t="str">
        <f t="shared" si="40"/>
        <v>/</v>
      </c>
      <c r="N816" s="151" t="str">
        <f t="shared" si="41"/>
        <v/>
      </c>
      <c r="Q816" s="239" t="str">
        <f t="shared" ca="1" si="42"/>
        <v/>
      </c>
    </row>
    <row r="817" spans="3:17" ht="15.75" hidden="1" customHeight="1" outlineLevel="1" x14ac:dyDescent="0.25">
      <c r="C817" s="207"/>
      <c r="D817" s="195">
        <v>42440</v>
      </c>
      <c r="E817" s="101" t="s">
        <v>21</v>
      </c>
      <c r="F817" s="216" t="s">
        <v>49</v>
      </c>
      <c r="G817" s="3" t="s">
        <v>56</v>
      </c>
      <c r="H817" s="3" t="s">
        <v>56</v>
      </c>
      <c r="M817" s="151" t="str">
        <f t="shared" si="40"/>
        <v>/</v>
      </c>
      <c r="N817" s="151" t="str">
        <f t="shared" si="41"/>
        <v/>
      </c>
      <c r="Q817" s="239" t="str">
        <f t="shared" ca="1" si="42"/>
        <v/>
      </c>
    </row>
    <row r="818" spans="3:17" ht="15.75" hidden="1" customHeight="1" outlineLevel="1" x14ac:dyDescent="0.25">
      <c r="C818" s="207"/>
      <c r="D818" s="195">
        <v>42442</v>
      </c>
      <c r="E818" s="101" t="s">
        <v>20</v>
      </c>
      <c r="F818" s="216" t="s">
        <v>50</v>
      </c>
      <c r="G818" s="3" t="s">
        <v>56</v>
      </c>
      <c r="H818" s="3" t="s">
        <v>56</v>
      </c>
      <c r="M818" s="151" t="str">
        <f t="shared" si="40"/>
        <v/>
      </c>
      <c r="N818" s="151" t="str">
        <f t="shared" si="41"/>
        <v>/</v>
      </c>
      <c r="Q818" s="239" t="str">
        <f t="shared" ca="1" si="42"/>
        <v/>
      </c>
    </row>
    <row r="819" spans="3:17" ht="15.75" hidden="1" customHeight="1" outlineLevel="1" x14ac:dyDescent="0.25">
      <c r="C819" s="207"/>
      <c r="D819" s="195">
        <v>42444</v>
      </c>
      <c r="E819" s="101" t="s">
        <v>18</v>
      </c>
      <c r="F819" s="216" t="s">
        <v>50</v>
      </c>
      <c r="G819" s="3" t="s">
        <v>56</v>
      </c>
      <c r="H819" s="3" t="s">
        <v>56</v>
      </c>
      <c r="M819" s="151" t="str">
        <f t="shared" si="40"/>
        <v/>
      </c>
      <c r="N819" s="151" t="str">
        <f t="shared" si="41"/>
        <v>/</v>
      </c>
      <c r="Q819" s="239" t="str">
        <f t="shared" ca="1" si="42"/>
        <v/>
      </c>
    </row>
    <row r="820" spans="3:17" ht="15.75" hidden="1" customHeight="1" outlineLevel="1" x14ac:dyDescent="0.25">
      <c r="C820" s="207"/>
      <c r="D820" s="195">
        <v>42446</v>
      </c>
      <c r="E820" s="101" t="s">
        <v>644</v>
      </c>
      <c r="F820" s="216" t="s">
        <v>50</v>
      </c>
      <c r="G820" s="3" t="s">
        <v>56</v>
      </c>
      <c r="H820" s="3" t="s">
        <v>56</v>
      </c>
      <c r="M820" s="151" t="str">
        <f t="shared" si="40"/>
        <v/>
      </c>
      <c r="N820" s="151" t="str">
        <f t="shared" si="41"/>
        <v>/</v>
      </c>
      <c r="Q820" s="239" t="str">
        <f t="shared" ca="1" si="42"/>
        <v/>
      </c>
    </row>
    <row r="821" spans="3:17" ht="15.75" hidden="1" customHeight="1" outlineLevel="1" x14ac:dyDescent="0.25">
      <c r="C821" s="207"/>
      <c r="D821" s="195">
        <v>42447</v>
      </c>
      <c r="E821" s="101" t="s">
        <v>16</v>
      </c>
      <c r="F821" s="216" t="s">
        <v>50</v>
      </c>
      <c r="G821" s="3" t="s">
        <v>56</v>
      </c>
      <c r="H821" s="3" t="s">
        <v>56</v>
      </c>
      <c r="M821" s="151" t="str">
        <f t="shared" si="40"/>
        <v/>
      </c>
      <c r="N821" s="151" t="str">
        <f t="shared" si="41"/>
        <v>/</v>
      </c>
      <c r="Q821" s="239" t="str">
        <f t="shared" ca="1" si="42"/>
        <v/>
      </c>
    </row>
    <row r="822" spans="3:17" ht="15.75" hidden="1" customHeight="1" outlineLevel="1" x14ac:dyDescent="0.25">
      <c r="C822" s="207"/>
      <c r="D822" s="195">
        <v>42450</v>
      </c>
      <c r="E822" s="101" t="s">
        <v>24</v>
      </c>
      <c r="F822" s="216" t="s">
        <v>50</v>
      </c>
      <c r="G822" s="3" t="s">
        <v>56</v>
      </c>
      <c r="H822" s="3" t="s">
        <v>56</v>
      </c>
      <c r="M822" s="151" t="str">
        <f t="shared" si="40"/>
        <v/>
      </c>
      <c r="N822" s="151" t="str">
        <f t="shared" si="41"/>
        <v>/</v>
      </c>
      <c r="Q822" s="239" t="str">
        <f t="shared" ca="1" si="42"/>
        <v/>
      </c>
    </row>
    <row r="823" spans="3:17" ht="15.75" hidden="1" customHeight="1" outlineLevel="1" x14ac:dyDescent="0.25">
      <c r="C823" s="207"/>
      <c r="D823" s="195">
        <v>42451</v>
      </c>
      <c r="E823" s="101" t="s">
        <v>26</v>
      </c>
      <c r="F823" s="216" t="s">
        <v>50</v>
      </c>
      <c r="G823" s="3" t="s">
        <v>56</v>
      </c>
      <c r="H823" s="3" t="s">
        <v>56</v>
      </c>
      <c r="M823" s="151" t="str">
        <f t="shared" si="40"/>
        <v/>
      </c>
      <c r="N823" s="151" t="str">
        <f t="shared" si="41"/>
        <v>/</v>
      </c>
      <c r="Q823" s="239" t="str">
        <f t="shared" ca="1" si="42"/>
        <v/>
      </c>
    </row>
    <row r="824" spans="3:17" ht="15.75" hidden="1" customHeight="1" outlineLevel="1" x14ac:dyDescent="0.25">
      <c r="C824" s="207"/>
      <c r="D824" s="195">
        <v>42453</v>
      </c>
      <c r="E824" s="101" t="s">
        <v>0</v>
      </c>
      <c r="F824" s="216" t="s">
        <v>49</v>
      </c>
      <c r="G824" s="3" t="s">
        <v>56</v>
      </c>
      <c r="H824" s="3" t="s">
        <v>56</v>
      </c>
      <c r="M824" s="151" t="str">
        <f t="shared" si="40"/>
        <v>/</v>
      </c>
      <c r="N824" s="151" t="str">
        <f t="shared" si="41"/>
        <v/>
      </c>
      <c r="Q824" s="239" t="str">
        <f t="shared" ca="1" si="42"/>
        <v/>
      </c>
    </row>
    <row r="825" spans="3:17" ht="15.75" hidden="1" customHeight="1" outlineLevel="1" x14ac:dyDescent="0.25">
      <c r="C825" s="207"/>
      <c r="D825" s="195">
        <v>42455</v>
      </c>
      <c r="E825" s="101" t="s">
        <v>2</v>
      </c>
      <c r="F825" s="216" t="s">
        <v>49</v>
      </c>
      <c r="G825" s="3" t="s">
        <v>56</v>
      </c>
      <c r="H825" s="3" t="s">
        <v>56</v>
      </c>
      <c r="M825" s="151" t="str">
        <f t="shared" si="40"/>
        <v>/</v>
      </c>
      <c r="N825" s="151" t="str">
        <f t="shared" si="41"/>
        <v/>
      </c>
      <c r="Q825" s="239" t="str">
        <f t="shared" ca="1" si="42"/>
        <v/>
      </c>
    </row>
    <row r="826" spans="3:17" ht="15.75" hidden="1" customHeight="1" outlineLevel="1" x14ac:dyDescent="0.25">
      <c r="C826" s="207"/>
      <c r="D826" s="195">
        <v>42457</v>
      </c>
      <c r="E826" s="101" t="s">
        <v>3</v>
      </c>
      <c r="F826" s="216" t="s">
        <v>50</v>
      </c>
      <c r="G826" s="3" t="s">
        <v>56</v>
      </c>
      <c r="H826" s="3" t="s">
        <v>56</v>
      </c>
      <c r="M826" s="151" t="str">
        <f t="shared" si="40"/>
        <v/>
      </c>
      <c r="N826" s="151" t="str">
        <f t="shared" si="41"/>
        <v>/</v>
      </c>
      <c r="Q826" s="239" t="str">
        <f t="shared" ca="1" si="42"/>
        <v/>
      </c>
    </row>
    <row r="827" spans="3:17" ht="15.75" hidden="1" customHeight="1" outlineLevel="1" x14ac:dyDescent="0.25">
      <c r="C827" s="207"/>
      <c r="D827" s="195">
        <v>42458</v>
      </c>
      <c r="E827" s="101" t="s">
        <v>1</v>
      </c>
      <c r="F827" s="216" t="s">
        <v>50</v>
      </c>
      <c r="G827" s="3" t="s">
        <v>56</v>
      </c>
      <c r="H827" s="3" t="s">
        <v>56</v>
      </c>
      <c r="M827" s="151" t="str">
        <f t="shared" si="40"/>
        <v/>
      </c>
      <c r="N827" s="151" t="str">
        <f t="shared" si="41"/>
        <v>/</v>
      </c>
      <c r="Q827" s="239" t="str">
        <f t="shared" ca="1" si="42"/>
        <v/>
      </c>
    </row>
    <row r="828" spans="3:17" ht="15.75" hidden="1" customHeight="1" outlineLevel="1" x14ac:dyDescent="0.25">
      <c r="C828" s="207"/>
      <c r="D828" s="195">
        <v>42460</v>
      </c>
      <c r="E828" s="101" t="s">
        <v>5</v>
      </c>
      <c r="F828" s="216" t="s">
        <v>49</v>
      </c>
      <c r="G828" s="3" t="s">
        <v>56</v>
      </c>
      <c r="H828" s="3" t="s">
        <v>56</v>
      </c>
      <c r="M828" s="151" t="str">
        <f t="shared" si="40"/>
        <v>/</v>
      </c>
      <c r="N828" s="151" t="str">
        <f t="shared" si="41"/>
        <v/>
      </c>
      <c r="Q828" s="239" t="str">
        <f t="shared" ca="1" si="42"/>
        <v/>
      </c>
    </row>
    <row r="829" spans="3:17" ht="15.75" hidden="1" customHeight="1" outlineLevel="1" x14ac:dyDescent="0.25">
      <c r="C829" s="208"/>
      <c r="D829" s="195">
        <v>42462</v>
      </c>
      <c r="E829" s="101" t="s">
        <v>14</v>
      </c>
      <c r="F829" s="216" t="s">
        <v>49</v>
      </c>
      <c r="G829" s="3" t="s">
        <v>56</v>
      </c>
      <c r="H829" s="3" t="s">
        <v>56</v>
      </c>
      <c r="M829" s="151" t="str">
        <f t="shared" si="40"/>
        <v>/</v>
      </c>
      <c r="N829" s="151" t="str">
        <f t="shared" si="41"/>
        <v/>
      </c>
      <c r="Q829" s="239" t="str">
        <f t="shared" ca="1" si="42"/>
        <v/>
      </c>
    </row>
    <row r="830" spans="3:17" ht="15.75" hidden="1" customHeight="1" outlineLevel="1" x14ac:dyDescent="0.25">
      <c r="C830" s="208"/>
      <c r="D830" s="195">
        <v>42464</v>
      </c>
      <c r="E830" s="101" t="s">
        <v>23</v>
      </c>
      <c r="F830" s="216" t="s">
        <v>50</v>
      </c>
      <c r="G830" s="3" t="s">
        <v>56</v>
      </c>
      <c r="H830" s="3" t="s">
        <v>56</v>
      </c>
      <c r="M830" s="151" t="str">
        <f t="shared" si="40"/>
        <v/>
      </c>
      <c r="N830" s="151" t="str">
        <f t="shared" si="41"/>
        <v>/</v>
      </c>
      <c r="Q830" s="239" t="str">
        <f t="shared" ca="1" si="42"/>
        <v/>
      </c>
    </row>
    <row r="831" spans="3:17" ht="15.75" hidden="1" customHeight="1" outlineLevel="1" x14ac:dyDescent="0.25">
      <c r="C831" s="208"/>
      <c r="D831" s="195">
        <v>42466</v>
      </c>
      <c r="E831" s="101" t="s">
        <v>7</v>
      </c>
      <c r="F831" s="216" t="s">
        <v>50</v>
      </c>
      <c r="G831" s="3" t="s">
        <v>56</v>
      </c>
      <c r="H831" s="3" t="s">
        <v>56</v>
      </c>
      <c r="M831" s="151" t="str">
        <f t="shared" si="40"/>
        <v/>
      </c>
      <c r="N831" s="151" t="str">
        <f t="shared" si="41"/>
        <v>/</v>
      </c>
      <c r="Q831" s="239" t="str">
        <f t="shared" ca="1" si="42"/>
        <v/>
      </c>
    </row>
    <row r="832" spans="3:17" ht="15.75" hidden="1" customHeight="1" outlineLevel="1" x14ac:dyDescent="0.25">
      <c r="C832" s="208"/>
      <c r="D832" s="195">
        <v>42468</v>
      </c>
      <c r="E832" s="101" t="s">
        <v>11</v>
      </c>
      <c r="F832" s="216" t="s">
        <v>50</v>
      </c>
      <c r="G832" s="3" t="s">
        <v>56</v>
      </c>
      <c r="H832" s="3" t="s">
        <v>56</v>
      </c>
      <c r="M832" s="151" t="str">
        <f t="shared" si="40"/>
        <v/>
      </c>
      <c r="N832" s="151" t="str">
        <f t="shared" si="41"/>
        <v>/</v>
      </c>
      <c r="Q832" s="239" t="str">
        <f t="shared" ca="1" si="42"/>
        <v/>
      </c>
    </row>
    <row r="833" spans="2:17" ht="15.75" hidden="1" customHeight="1" outlineLevel="1" x14ac:dyDescent="0.25">
      <c r="C833" s="208"/>
      <c r="D833" s="195">
        <v>42470</v>
      </c>
      <c r="E833" s="101" t="s">
        <v>3</v>
      </c>
      <c r="F833" s="216" t="s">
        <v>49</v>
      </c>
      <c r="G833" s="3" t="s">
        <v>56</v>
      </c>
      <c r="H833" s="3" t="s">
        <v>56</v>
      </c>
      <c r="M833" s="151" t="str">
        <f t="shared" si="40"/>
        <v>/</v>
      </c>
      <c r="N833" s="151" t="str">
        <f t="shared" si="41"/>
        <v/>
      </c>
      <c r="Q833" s="239" t="str">
        <f t="shared" ca="1" si="42"/>
        <v/>
      </c>
    </row>
    <row r="834" spans="2:17" ht="15.75" hidden="1" customHeight="1" outlineLevel="1" x14ac:dyDescent="0.25">
      <c r="C834" s="208"/>
      <c r="D834" s="195">
        <v>42472</v>
      </c>
      <c r="E834" s="102" t="s">
        <v>1</v>
      </c>
      <c r="F834" s="217" t="s">
        <v>50</v>
      </c>
      <c r="G834" s="3" t="s">
        <v>56</v>
      </c>
      <c r="H834" s="3" t="s">
        <v>56</v>
      </c>
      <c r="M834" s="151" t="str">
        <f t="shared" si="40"/>
        <v/>
      </c>
      <c r="N834" s="151" t="str">
        <f t="shared" si="41"/>
        <v>/</v>
      </c>
      <c r="Q834" s="239" t="str">
        <f t="shared" ca="1" si="42"/>
        <v/>
      </c>
    </row>
    <row r="835" spans="2:17" ht="16.5" customHeight="1" collapsed="1" x14ac:dyDescent="0.25">
      <c r="B835" s="404" t="e">
        <f ca="1">"- "&amp;INDEX(E836:E917,MATCH(TODAY(),D836:D917,0))</f>
        <v>#N/A</v>
      </c>
      <c r="C835" s="404"/>
      <c r="D835" s="406" t="s">
        <v>9</v>
      </c>
      <c r="E835" s="407"/>
      <c r="F835" s="408"/>
      <c r="H835" s="3"/>
      <c r="Q835" s="239" t="str">
        <f t="shared" ca="1" si="42"/>
        <v/>
      </c>
    </row>
    <row r="836" spans="2:17" ht="16.5" hidden="1" customHeight="1" outlineLevel="1" x14ac:dyDescent="0.25">
      <c r="C836" s="207"/>
      <c r="D836" s="196">
        <v>42668</v>
      </c>
      <c r="E836" s="103" t="s">
        <v>4</v>
      </c>
      <c r="F836" s="215" t="s">
        <v>50</v>
      </c>
      <c r="G836" s="3">
        <v>0</v>
      </c>
      <c r="H836" s="248">
        <v>88</v>
      </c>
      <c r="I836" s="151">
        <v>33</v>
      </c>
      <c r="J836" s="151">
        <v>38</v>
      </c>
      <c r="K836" s="151">
        <v>75</v>
      </c>
      <c r="L836" s="151">
        <v>37</v>
      </c>
      <c r="N836" s="151">
        <f t="shared" si="41"/>
        <v>88</v>
      </c>
      <c r="P836" s="151">
        <v>117</v>
      </c>
      <c r="Q836" s="239" t="str">
        <f t="shared" ca="1" si="42"/>
        <v/>
      </c>
    </row>
    <row r="837" spans="2:17" ht="15.75" hidden="1" customHeight="1" outlineLevel="1" x14ac:dyDescent="0.25">
      <c r="C837" s="207"/>
      <c r="D837" s="196">
        <v>42672</v>
      </c>
      <c r="E837" s="101" t="s">
        <v>20</v>
      </c>
      <c r="F837" s="216" t="s">
        <v>49</v>
      </c>
      <c r="G837" s="3" t="s">
        <v>56</v>
      </c>
      <c r="H837" s="248" t="s">
        <v>56</v>
      </c>
      <c r="M837" s="151" t="str">
        <f t="shared" si="40"/>
        <v>/</v>
      </c>
      <c r="N837" s="151" t="str">
        <f t="shared" si="41"/>
        <v/>
      </c>
      <c r="Q837" s="239" t="str">
        <f t="shared" ca="1" si="42"/>
        <v/>
      </c>
    </row>
    <row r="838" spans="2:17" ht="15.75" hidden="1" customHeight="1" outlineLevel="1" x14ac:dyDescent="0.25">
      <c r="C838" s="207"/>
      <c r="D838" s="196">
        <v>42675</v>
      </c>
      <c r="E838" s="101" t="s">
        <v>5</v>
      </c>
      <c r="F838" s="216" t="s">
        <v>50</v>
      </c>
      <c r="G838" s="3" t="s">
        <v>56</v>
      </c>
      <c r="H838" s="248" t="s">
        <v>56</v>
      </c>
      <c r="M838" s="151" t="str">
        <f t="shared" si="40"/>
        <v/>
      </c>
      <c r="N838" s="151" t="str">
        <f t="shared" si="41"/>
        <v>/</v>
      </c>
      <c r="Q838" s="239" t="str">
        <f t="shared" ca="1" si="42"/>
        <v/>
      </c>
    </row>
    <row r="839" spans="2:17" ht="15.75" hidden="1" customHeight="1" outlineLevel="1" x14ac:dyDescent="0.25">
      <c r="C839" s="207"/>
      <c r="D839" s="196">
        <v>42676</v>
      </c>
      <c r="E839" s="101" t="s">
        <v>17</v>
      </c>
      <c r="F839" s="216" t="s">
        <v>49</v>
      </c>
      <c r="G839" s="3" t="s">
        <v>56</v>
      </c>
      <c r="H839" s="248" t="s">
        <v>56</v>
      </c>
      <c r="M839" s="151" t="str">
        <f t="shared" ref="M839:M902" si="43">IF(F839="D",H839,"")</f>
        <v>/</v>
      </c>
      <c r="N839" s="151" t="str">
        <f t="shared" ref="N839:N902" si="44">IF(F839="E",H839,"")</f>
        <v/>
      </c>
      <c r="Q839" s="239" t="str">
        <f t="shared" ca="1" si="42"/>
        <v/>
      </c>
    </row>
    <row r="840" spans="2:17" ht="15.75" hidden="1" customHeight="1" outlineLevel="1" x14ac:dyDescent="0.25">
      <c r="C840" s="207"/>
      <c r="D840" s="196">
        <v>42678</v>
      </c>
      <c r="E840" s="101" t="s">
        <v>2</v>
      </c>
      <c r="F840" s="216" t="s">
        <v>50</v>
      </c>
      <c r="G840" s="3" t="s">
        <v>56</v>
      </c>
      <c r="H840" s="248" t="s">
        <v>56</v>
      </c>
      <c r="M840" s="151" t="str">
        <f t="shared" si="43"/>
        <v/>
      </c>
      <c r="N840" s="151" t="str">
        <f t="shared" si="44"/>
        <v>/</v>
      </c>
      <c r="Q840" s="239" t="str">
        <f t="shared" ca="1" si="42"/>
        <v/>
      </c>
    </row>
    <row r="841" spans="2:17" ht="15.75" hidden="1" customHeight="1" outlineLevel="1" x14ac:dyDescent="0.25">
      <c r="C841" s="207"/>
      <c r="D841" s="196">
        <v>42680</v>
      </c>
      <c r="E841" s="101" t="s">
        <v>28</v>
      </c>
      <c r="F841" s="216" t="s">
        <v>49</v>
      </c>
      <c r="G841" s="3" t="s">
        <v>56</v>
      </c>
      <c r="H841" s="3" t="s">
        <v>56</v>
      </c>
      <c r="M841" s="151" t="str">
        <f t="shared" si="43"/>
        <v>/</v>
      </c>
      <c r="N841" s="151" t="str">
        <f t="shared" si="44"/>
        <v/>
      </c>
      <c r="Q841" s="239" t="str">
        <f t="shared" ca="1" si="42"/>
        <v/>
      </c>
    </row>
    <row r="842" spans="2:17" ht="15.75" hidden="1" customHeight="1" outlineLevel="1" x14ac:dyDescent="0.25">
      <c r="C842" s="207"/>
      <c r="D842" s="196">
        <v>42683</v>
      </c>
      <c r="E842" s="101" t="s">
        <v>45</v>
      </c>
      <c r="F842" s="216" t="s">
        <v>49</v>
      </c>
      <c r="G842" s="3" t="s">
        <v>56</v>
      </c>
      <c r="H842" s="3" t="s">
        <v>56</v>
      </c>
      <c r="M842" s="151" t="str">
        <f t="shared" si="43"/>
        <v>/</v>
      </c>
      <c r="N842" s="151" t="str">
        <f t="shared" si="44"/>
        <v/>
      </c>
      <c r="Q842" s="239" t="str">
        <f t="shared" ca="1" si="42"/>
        <v/>
      </c>
    </row>
    <row r="843" spans="2:17" ht="15.75" hidden="1" customHeight="1" outlineLevel="1" x14ac:dyDescent="0.25">
      <c r="C843" s="207"/>
      <c r="D843" s="196">
        <v>42685</v>
      </c>
      <c r="E843" s="101" t="s">
        <v>1</v>
      </c>
      <c r="F843" s="216" t="s">
        <v>50</v>
      </c>
      <c r="G843" s="3" t="s">
        <v>56</v>
      </c>
      <c r="H843" s="3" t="s">
        <v>56</v>
      </c>
      <c r="M843" s="151" t="str">
        <f t="shared" si="43"/>
        <v/>
      </c>
      <c r="N843" s="151" t="str">
        <f t="shared" si="44"/>
        <v>/</v>
      </c>
      <c r="Q843" s="239" t="str">
        <f t="shared" ca="1" si="42"/>
        <v/>
      </c>
    </row>
    <row r="844" spans="2:17" ht="15.75" hidden="1" customHeight="1" outlineLevel="1" x14ac:dyDescent="0.25">
      <c r="C844" s="207"/>
      <c r="D844" s="196">
        <v>42686</v>
      </c>
      <c r="E844" s="101" t="s">
        <v>12</v>
      </c>
      <c r="F844" s="216" t="s">
        <v>50</v>
      </c>
      <c r="G844" s="3" t="s">
        <v>56</v>
      </c>
      <c r="H844" s="3" t="s">
        <v>56</v>
      </c>
      <c r="M844" s="151" t="str">
        <f t="shared" si="43"/>
        <v/>
      </c>
      <c r="N844" s="151" t="str">
        <f t="shared" si="44"/>
        <v>/</v>
      </c>
      <c r="Q844" s="239" t="str">
        <f t="shared" ca="1" si="42"/>
        <v/>
      </c>
    </row>
    <row r="845" spans="2:17" ht="15.75" hidden="1" customHeight="1" outlineLevel="1" x14ac:dyDescent="0.25">
      <c r="C845" s="207"/>
      <c r="D845" s="196">
        <v>42688</v>
      </c>
      <c r="E845" s="101" t="s">
        <v>14</v>
      </c>
      <c r="F845" s="216" t="s">
        <v>49</v>
      </c>
      <c r="G845" s="3" t="s">
        <v>56</v>
      </c>
      <c r="H845" s="3" t="s">
        <v>56</v>
      </c>
      <c r="M845" s="151" t="str">
        <f t="shared" si="43"/>
        <v>/</v>
      </c>
      <c r="N845" s="151" t="str">
        <f t="shared" si="44"/>
        <v/>
      </c>
      <c r="Q845" s="239" t="str">
        <f t="shared" ca="1" si="42"/>
        <v/>
      </c>
    </row>
    <row r="846" spans="2:17" ht="15.75" hidden="1" customHeight="1" outlineLevel="1" x14ac:dyDescent="0.25">
      <c r="C846" s="207"/>
      <c r="D846" s="196">
        <v>42690</v>
      </c>
      <c r="E846" s="101" t="s">
        <v>5</v>
      </c>
      <c r="F846" s="216" t="s">
        <v>49</v>
      </c>
      <c r="G846" s="3" t="s">
        <v>56</v>
      </c>
      <c r="H846" s="3" t="s">
        <v>56</v>
      </c>
      <c r="M846" s="151" t="str">
        <f t="shared" si="43"/>
        <v>/</v>
      </c>
      <c r="N846" s="151" t="str">
        <f t="shared" si="44"/>
        <v/>
      </c>
      <c r="Q846" s="239" t="str">
        <f t="shared" ca="1" si="42"/>
        <v/>
      </c>
    </row>
    <row r="847" spans="2:17" ht="15.75" hidden="1" customHeight="1" outlineLevel="1" x14ac:dyDescent="0.25">
      <c r="C847" s="207"/>
      <c r="D847" s="196">
        <v>42691</v>
      </c>
      <c r="E847" s="101" t="s">
        <v>13</v>
      </c>
      <c r="F847" s="216" t="s">
        <v>50</v>
      </c>
      <c r="G847" s="3" t="s">
        <v>56</v>
      </c>
      <c r="H847" s="3" t="s">
        <v>56</v>
      </c>
      <c r="M847" s="151" t="str">
        <f t="shared" si="43"/>
        <v/>
      </c>
      <c r="N847" s="151" t="str">
        <f t="shared" si="44"/>
        <v>/</v>
      </c>
      <c r="Q847" s="239" t="str">
        <f t="shared" ca="1" si="42"/>
        <v/>
      </c>
    </row>
    <row r="848" spans="2:17" ht="15.75" hidden="1" customHeight="1" outlineLevel="1" x14ac:dyDescent="0.25">
      <c r="C848" s="207"/>
      <c r="D848" s="196">
        <v>42694</v>
      </c>
      <c r="E848" s="101" t="s">
        <v>0</v>
      </c>
      <c r="F848" s="216" t="s">
        <v>49</v>
      </c>
      <c r="G848" s="3" t="s">
        <v>56</v>
      </c>
      <c r="H848" s="3" t="s">
        <v>56</v>
      </c>
      <c r="M848" s="151" t="str">
        <f t="shared" si="43"/>
        <v>/</v>
      </c>
      <c r="N848" s="151" t="str">
        <f t="shared" si="44"/>
        <v/>
      </c>
      <c r="Q848" s="239" t="str">
        <f t="shared" ca="1" si="42"/>
        <v/>
      </c>
    </row>
    <row r="849" spans="3:17" ht="15.75" hidden="1" customHeight="1" outlineLevel="1" x14ac:dyDescent="0.25">
      <c r="C849" s="207"/>
      <c r="D849" s="196">
        <v>42696</v>
      </c>
      <c r="E849" s="101" t="s">
        <v>24</v>
      </c>
      <c r="F849" s="216" t="s">
        <v>49</v>
      </c>
      <c r="G849" s="3" t="s">
        <v>56</v>
      </c>
      <c r="H849" s="3" t="s">
        <v>56</v>
      </c>
      <c r="M849" s="151" t="str">
        <f t="shared" si="43"/>
        <v>/</v>
      </c>
      <c r="N849" s="151" t="str">
        <f t="shared" si="44"/>
        <v/>
      </c>
      <c r="Q849" s="239" t="str">
        <f t="shared" ca="1" si="42"/>
        <v/>
      </c>
    </row>
    <row r="850" spans="3:17" ht="15.75" hidden="1" customHeight="1" outlineLevel="1" x14ac:dyDescent="0.25">
      <c r="C850" s="207"/>
      <c r="D850" s="196">
        <v>42699</v>
      </c>
      <c r="E850" s="101" t="s">
        <v>3</v>
      </c>
      <c r="F850" s="216" t="s">
        <v>49</v>
      </c>
      <c r="G850" s="3" t="s">
        <v>56</v>
      </c>
      <c r="H850" s="3" t="s">
        <v>56</v>
      </c>
      <c r="M850" s="151" t="str">
        <f t="shared" si="43"/>
        <v>/</v>
      </c>
      <c r="N850" s="151" t="str">
        <f t="shared" si="44"/>
        <v/>
      </c>
      <c r="Q850" s="239" t="str">
        <f t="shared" ca="1" si="42"/>
        <v/>
      </c>
    </row>
    <row r="851" spans="3:17" ht="15.75" hidden="1" customHeight="1" outlineLevel="1" x14ac:dyDescent="0.25">
      <c r="C851" s="207"/>
      <c r="D851" s="196">
        <v>42700</v>
      </c>
      <c r="E851" s="101" t="s">
        <v>3</v>
      </c>
      <c r="F851" s="216" t="s">
        <v>50</v>
      </c>
      <c r="G851" s="3" t="s">
        <v>56</v>
      </c>
      <c r="H851" s="3" t="s">
        <v>56</v>
      </c>
      <c r="M851" s="151" t="str">
        <f t="shared" si="43"/>
        <v/>
      </c>
      <c r="N851" s="151" t="str">
        <f t="shared" si="44"/>
        <v>/</v>
      </c>
      <c r="Q851" s="239" t="str">
        <f t="shared" ca="1" si="42"/>
        <v/>
      </c>
    </row>
    <row r="852" spans="3:17" ht="15.75" hidden="1" customHeight="1" outlineLevel="1" x14ac:dyDescent="0.25">
      <c r="C852" s="207"/>
      <c r="D852" s="196">
        <v>42702</v>
      </c>
      <c r="E852" s="101" t="s">
        <v>23</v>
      </c>
      <c r="F852" s="216" t="s">
        <v>49</v>
      </c>
      <c r="G852" s="3" t="s">
        <v>56</v>
      </c>
      <c r="H852" s="3" t="s">
        <v>56</v>
      </c>
      <c r="M852" s="151" t="str">
        <f t="shared" si="43"/>
        <v>/</v>
      </c>
      <c r="N852" s="151" t="str">
        <f t="shared" si="44"/>
        <v/>
      </c>
      <c r="Q852" s="239" t="str">
        <f t="shared" ca="1" si="42"/>
        <v/>
      </c>
    </row>
    <row r="853" spans="3:17" ht="15.75" hidden="1" customHeight="1" outlineLevel="1" x14ac:dyDescent="0.25">
      <c r="C853" s="207"/>
      <c r="D853" s="196">
        <v>42704</v>
      </c>
      <c r="E853" s="101" t="s">
        <v>21</v>
      </c>
      <c r="F853" s="216" t="s">
        <v>50</v>
      </c>
      <c r="G853" s="3" t="s">
        <v>56</v>
      </c>
      <c r="H853" s="3" t="s">
        <v>56</v>
      </c>
      <c r="M853" s="151" t="str">
        <f t="shared" si="43"/>
        <v/>
      </c>
      <c r="N853" s="151" t="str">
        <f t="shared" si="44"/>
        <v>/</v>
      </c>
      <c r="Q853" s="239" t="str">
        <f t="shared" ca="1" si="42"/>
        <v/>
      </c>
    </row>
    <row r="854" spans="3:17" ht="15.75" hidden="1" customHeight="1" outlineLevel="1" x14ac:dyDescent="0.25">
      <c r="C854" s="208"/>
      <c r="D854" s="196">
        <v>42706</v>
      </c>
      <c r="E854" s="101" t="s">
        <v>21</v>
      </c>
      <c r="F854" s="216" t="s">
        <v>49</v>
      </c>
      <c r="G854" s="3" t="s">
        <v>56</v>
      </c>
      <c r="H854" s="3" t="s">
        <v>56</v>
      </c>
      <c r="M854" s="151" t="str">
        <f t="shared" si="43"/>
        <v>/</v>
      </c>
      <c r="N854" s="151" t="str">
        <f t="shared" si="44"/>
        <v/>
      </c>
      <c r="Q854" s="239" t="str">
        <f t="shared" ca="1" si="42"/>
        <v/>
      </c>
    </row>
    <row r="855" spans="3:17" ht="15.75" hidden="1" customHeight="1" outlineLevel="1" x14ac:dyDescent="0.25">
      <c r="C855" s="208"/>
      <c r="D855" s="196">
        <v>42708</v>
      </c>
      <c r="E855" s="101" t="s">
        <v>26</v>
      </c>
      <c r="F855" s="216" t="s">
        <v>49</v>
      </c>
      <c r="G855" s="3" t="s">
        <v>56</v>
      </c>
      <c r="H855" s="3" t="s">
        <v>56</v>
      </c>
      <c r="M855" s="151" t="str">
        <f t="shared" si="43"/>
        <v>/</v>
      </c>
      <c r="N855" s="151" t="str">
        <f t="shared" si="44"/>
        <v/>
      </c>
      <c r="Q855" s="239" t="str">
        <f t="shared" ca="1" si="42"/>
        <v/>
      </c>
    </row>
    <row r="856" spans="3:17" ht="15.75" hidden="1" customHeight="1" outlineLevel="1" x14ac:dyDescent="0.25">
      <c r="C856" s="208"/>
      <c r="D856" s="196">
        <v>42710</v>
      </c>
      <c r="E856" s="101" t="s">
        <v>6</v>
      </c>
      <c r="F856" s="216" t="s">
        <v>50</v>
      </c>
      <c r="G856" s="3" t="s">
        <v>56</v>
      </c>
      <c r="H856" s="3" t="s">
        <v>56</v>
      </c>
      <c r="M856" s="151" t="str">
        <f t="shared" si="43"/>
        <v/>
      </c>
      <c r="N856" s="151" t="str">
        <f t="shared" si="44"/>
        <v>/</v>
      </c>
      <c r="Q856" s="239" t="str">
        <f t="shared" ca="1" si="42"/>
        <v/>
      </c>
    </row>
    <row r="857" spans="3:17" ht="15.75" hidden="1" customHeight="1" outlineLevel="1" x14ac:dyDescent="0.25">
      <c r="C857" s="208"/>
      <c r="D857" s="196">
        <v>42711</v>
      </c>
      <c r="E857" s="101" t="s">
        <v>4</v>
      </c>
      <c r="F857" s="216" t="s">
        <v>49</v>
      </c>
      <c r="G857" s="3" t="s">
        <v>56</v>
      </c>
      <c r="H857" s="3" t="s">
        <v>56</v>
      </c>
      <c r="M857" s="151" t="str">
        <f t="shared" si="43"/>
        <v>/</v>
      </c>
      <c r="N857" s="151" t="str">
        <f t="shared" si="44"/>
        <v/>
      </c>
      <c r="Q857" s="239" t="str">
        <f t="shared" ca="1" si="42"/>
        <v/>
      </c>
    </row>
    <row r="858" spans="3:17" ht="15.75" hidden="1" customHeight="1" outlineLevel="1" x14ac:dyDescent="0.25">
      <c r="C858" s="208"/>
      <c r="D858" s="196">
        <v>42713</v>
      </c>
      <c r="E858" s="101" t="s">
        <v>26</v>
      </c>
      <c r="F858" s="216" t="s">
        <v>50</v>
      </c>
      <c r="G858" s="3" t="s">
        <v>56</v>
      </c>
      <c r="H858" s="3" t="s">
        <v>56</v>
      </c>
      <c r="M858" s="151" t="str">
        <f t="shared" si="43"/>
        <v/>
      </c>
      <c r="N858" s="151" t="str">
        <f t="shared" si="44"/>
        <v>/</v>
      </c>
      <c r="Q858" s="239" t="str">
        <f t="shared" ca="1" si="42"/>
        <v/>
      </c>
    </row>
    <row r="859" spans="3:17" ht="15.75" hidden="1" customHeight="1" outlineLevel="1" x14ac:dyDescent="0.25">
      <c r="C859" s="208"/>
      <c r="D859" s="196">
        <v>42715</v>
      </c>
      <c r="E859" s="101" t="s">
        <v>644</v>
      </c>
      <c r="F859" s="216" t="s">
        <v>50</v>
      </c>
      <c r="G859" s="3" t="s">
        <v>56</v>
      </c>
      <c r="H859" s="3" t="s">
        <v>56</v>
      </c>
      <c r="M859" s="151" t="str">
        <f t="shared" si="43"/>
        <v/>
      </c>
      <c r="N859" s="151" t="str">
        <f t="shared" si="44"/>
        <v>/</v>
      </c>
      <c r="Q859" s="239" t="str">
        <f t="shared" ca="1" si="42"/>
        <v/>
      </c>
    </row>
    <row r="860" spans="3:17" ht="15.75" hidden="1" customHeight="1" outlineLevel="1" x14ac:dyDescent="0.25">
      <c r="C860" s="208"/>
      <c r="D860" s="196">
        <v>42717</v>
      </c>
      <c r="E860" s="101" t="s">
        <v>25</v>
      </c>
      <c r="F860" s="216" t="s">
        <v>50</v>
      </c>
      <c r="G860" s="3" t="s">
        <v>56</v>
      </c>
      <c r="H860" s="3" t="s">
        <v>56</v>
      </c>
      <c r="M860" s="151" t="str">
        <f t="shared" si="43"/>
        <v/>
      </c>
      <c r="N860" s="151" t="str">
        <f t="shared" si="44"/>
        <v>/</v>
      </c>
      <c r="Q860" s="239" t="str">
        <f t="shared" ca="1" si="42"/>
        <v/>
      </c>
    </row>
    <row r="861" spans="3:17" ht="15.75" hidden="1" customHeight="1" outlineLevel="1" x14ac:dyDescent="0.25">
      <c r="C861" s="208"/>
      <c r="D861" s="196">
        <v>42719</v>
      </c>
      <c r="E861" s="101" t="s">
        <v>16</v>
      </c>
      <c r="F861" s="216" t="s">
        <v>50</v>
      </c>
      <c r="G861" s="3" t="s">
        <v>56</v>
      </c>
      <c r="H861" s="3" t="s">
        <v>56</v>
      </c>
      <c r="M861" s="151" t="str">
        <f t="shared" si="43"/>
        <v/>
      </c>
      <c r="N861" s="151" t="str">
        <f t="shared" si="44"/>
        <v>/</v>
      </c>
      <c r="Q861" s="239" t="str">
        <f t="shared" ca="1" si="42"/>
        <v/>
      </c>
    </row>
    <row r="862" spans="3:17" ht="15.75" hidden="1" customHeight="1" outlineLevel="1" x14ac:dyDescent="0.25">
      <c r="C862" s="208"/>
      <c r="D862" s="196">
        <v>42721</v>
      </c>
      <c r="E862" s="101" t="s">
        <v>15</v>
      </c>
      <c r="F862" s="216" t="s">
        <v>50</v>
      </c>
      <c r="G862" s="3" t="s">
        <v>56</v>
      </c>
      <c r="H862" s="3" t="s">
        <v>56</v>
      </c>
      <c r="M862" s="151" t="str">
        <f t="shared" si="43"/>
        <v/>
      </c>
      <c r="N862" s="151" t="str">
        <f t="shared" si="44"/>
        <v>/</v>
      </c>
      <c r="Q862" s="239" t="str">
        <f t="shared" ca="1" si="42"/>
        <v/>
      </c>
    </row>
    <row r="863" spans="3:17" ht="15.75" hidden="1" customHeight="1" outlineLevel="1" x14ac:dyDescent="0.25">
      <c r="C863" s="208"/>
      <c r="D863" s="196">
        <v>42724</v>
      </c>
      <c r="E863" s="101" t="s">
        <v>7</v>
      </c>
      <c r="F863" s="216" t="s">
        <v>49</v>
      </c>
      <c r="G863" s="3" t="s">
        <v>56</v>
      </c>
      <c r="H863" s="3" t="s">
        <v>56</v>
      </c>
      <c r="M863" s="151" t="str">
        <f t="shared" si="43"/>
        <v>/</v>
      </c>
      <c r="N863" s="151" t="str">
        <f t="shared" si="44"/>
        <v/>
      </c>
      <c r="Q863" s="239" t="str">
        <f t="shared" ca="1" si="42"/>
        <v/>
      </c>
    </row>
    <row r="864" spans="3:17" ht="15.75" hidden="1" customHeight="1" outlineLevel="1" x14ac:dyDescent="0.25">
      <c r="C864" s="208"/>
      <c r="D864" s="196">
        <v>42726</v>
      </c>
      <c r="E864" s="101" t="s">
        <v>10</v>
      </c>
      <c r="F864" s="216" t="s">
        <v>49</v>
      </c>
      <c r="G864" s="3" t="s">
        <v>56</v>
      </c>
      <c r="H864" s="3" t="s">
        <v>56</v>
      </c>
      <c r="M864" s="151" t="str">
        <f t="shared" si="43"/>
        <v>/</v>
      </c>
      <c r="N864" s="151" t="str">
        <f t="shared" si="44"/>
        <v/>
      </c>
      <c r="Q864" s="239" t="str">
        <f t="shared" ca="1" si="42"/>
        <v/>
      </c>
    </row>
    <row r="865" spans="3:17" ht="15.75" hidden="1" customHeight="1" outlineLevel="1" x14ac:dyDescent="0.25">
      <c r="C865" s="208"/>
      <c r="D865" s="196">
        <v>42729</v>
      </c>
      <c r="E865" s="101" t="s">
        <v>1</v>
      </c>
      <c r="F865" s="216" t="s">
        <v>49</v>
      </c>
      <c r="G865" s="3" t="s">
        <v>56</v>
      </c>
      <c r="H865" s="3" t="s">
        <v>56</v>
      </c>
      <c r="M865" s="151" t="str">
        <f t="shared" si="43"/>
        <v>/</v>
      </c>
      <c r="N865" s="151" t="str">
        <f t="shared" si="44"/>
        <v/>
      </c>
      <c r="Q865" s="239" t="str">
        <f t="shared" ca="1" si="42"/>
        <v/>
      </c>
    </row>
    <row r="866" spans="3:17" ht="15.75" hidden="1" customHeight="1" outlineLevel="1" x14ac:dyDescent="0.25">
      <c r="C866" s="208"/>
      <c r="D866" s="196">
        <v>42732</v>
      </c>
      <c r="E866" s="101" t="s">
        <v>0</v>
      </c>
      <c r="F866" s="216" t="s">
        <v>50</v>
      </c>
      <c r="G866" s="3" t="s">
        <v>56</v>
      </c>
      <c r="H866" s="3" t="s">
        <v>56</v>
      </c>
      <c r="M866" s="151" t="str">
        <f t="shared" si="43"/>
        <v/>
      </c>
      <c r="N866" s="151" t="str">
        <f t="shared" si="44"/>
        <v>/</v>
      </c>
      <c r="Q866" s="239" t="str">
        <f t="shared" ca="1" si="42"/>
        <v/>
      </c>
    </row>
    <row r="867" spans="3:17" ht="15.75" hidden="1" customHeight="1" outlineLevel="1" x14ac:dyDescent="0.25">
      <c r="C867" s="208"/>
      <c r="D867" s="196">
        <v>42734</v>
      </c>
      <c r="E867" s="101" t="s">
        <v>22</v>
      </c>
      <c r="F867" s="216" t="s">
        <v>50</v>
      </c>
      <c r="G867" s="3" t="s">
        <v>56</v>
      </c>
      <c r="H867" s="3" t="s">
        <v>56</v>
      </c>
      <c r="M867" s="151" t="str">
        <f t="shared" si="43"/>
        <v/>
      </c>
      <c r="N867" s="151" t="str">
        <f t="shared" si="44"/>
        <v>/</v>
      </c>
      <c r="Q867" s="239" t="str">
        <f t="shared" ca="1" si="42"/>
        <v/>
      </c>
    </row>
    <row r="868" spans="3:17" ht="15.75" hidden="1" customHeight="1" outlineLevel="1" x14ac:dyDescent="0.25">
      <c r="C868" s="208"/>
      <c r="D868" s="196">
        <v>42735</v>
      </c>
      <c r="E868" s="101" t="s">
        <v>17</v>
      </c>
      <c r="F868" s="216" t="s">
        <v>50</v>
      </c>
      <c r="G868" s="3" t="s">
        <v>56</v>
      </c>
      <c r="H868" s="3" t="s">
        <v>56</v>
      </c>
      <c r="M868" s="151" t="str">
        <f t="shared" si="43"/>
        <v/>
      </c>
      <c r="N868" s="151" t="str">
        <f t="shared" si="44"/>
        <v>/</v>
      </c>
      <c r="Q868" s="239" t="str">
        <f t="shared" ca="1" si="42"/>
        <v/>
      </c>
    </row>
    <row r="869" spans="3:17" ht="15.75" hidden="1" customHeight="1" outlineLevel="1" x14ac:dyDescent="0.25">
      <c r="C869" s="207"/>
      <c r="D869" s="196">
        <v>42371</v>
      </c>
      <c r="E869" s="101" t="s">
        <v>10</v>
      </c>
      <c r="F869" s="216" t="s">
        <v>49</v>
      </c>
      <c r="G869" s="3" t="s">
        <v>56</v>
      </c>
      <c r="H869" s="3" t="s">
        <v>56</v>
      </c>
      <c r="M869" s="151" t="str">
        <f t="shared" si="43"/>
        <v>/</v>
      </c>
      <c r="N869" s="151" t="str">
        <f t="shared" si="44"/>
        <v/>
      </c>
      <c r="Q869" s="239" t="str">
        <f t="shared" ca="1" si="42"/>
        <v/>
      </c>
    </row>
    <row r="870" spans="3:17" ht="15.75" hidden="1" customHeight="1" outlineLevel="1" x14ac:dyDescent="0.25">
      <c r="C870" s="207"/>
      <c r="D870" s="196">
        <v>42373</v>
      </c>
      <c r="E870" s="101" t="s">
        <v>8</v>
      </c>
      <c r="F870" s="216" t="s">
        <v>49</v>
      </c>
      <c r="G870" s="3" t="s">
        <v>56</v>
      </c>
      <c r="H870" s="3" t="s">
        <v>56</v>
      </c>
      <c r="M870" s="151" t="str">
        <f t="shared" si="43"/>
        <v>/</v>
      </c>
      <c r="N870" s="151" t="str">
        <f t="shared" si="44"/>
        <v/>
      </c>
      <c r="Q870" s="239" t="str">
        <f t="shared" ca="1" si="42"/>
        <v/>
      </c>
    </row>
    <row r="871" spans="3:17" ht="15.75" hidden="1" customHeight="1" outlineLevel="1" x14ac:dyDescent="0.25">
      <c r="C871" s="207"/>
      <c r="D871" s="196">
        <v>42375</v>
      </c>
      <c r="E871" s="101" t="s">
        <v>8</v>
      </c>
      <c r="F871" s="216" t="s">
        <v>50</v>
      </c>
      <c r="G871" s="3" t="s">
        <v>56</v>
      </c>
      <c r="H871" s="3" t="s">
        <v>56</v>
      </c>
      <c r="M871" s="151" t="str">
        <f t="shared" si="43"/>
        <v/>
      </c>
      <c r="N871" s="151" t="str">
        <f t="shared" si="44"/>
        <v>/</v>
      </c>
      <c r="Q871" s="239" t="str">
        <f t="shared" ca="1" si="42"/>
        <v/>
      </c>
    </row>
    <row r="872" spans="3:17" ht="15.75" hidden="1" customHeight="1" outlineLevel="1" x14ac:dyDescent="0.25">
      <c r="C872" s="207"/>
      <c r="D872" s="196">
        <v>42376</v>
      </c>
      <c r="E872" s="101" t="s">
        <v>7</v>
      </c>
      <c r="F872" s="216" t="s">
        <v>50</v>
      </c>
      <c r="G872" s="3" t="s">
        <v>56</v>
      </c>
      <c r="H872" s="3" t="s">
        <v>56</v>
      </c>
      <c r="M872" s="151" t="str">
        <f t="shared" si="43"/>
        <v/>
      </c>
      <c r="N872" s="151" t="str">
        <f t="shared" si="44"/>
        <v>/</v>
      </c>
      <c r="Q872" s="239" t="str">
        <f t="shared" ca="1" si="42"/>
        <v/>
      </c>
    </row>
    <row r="873" spans="3:17" ht="15.75" hidden="1" customHeight="1" outlineLevel="1" x14ac:dyDescent="0.25">
      <c r="C873" s="207"/>
      <c r="D873" s="196">
        <v>42378</v>
      </c>
      <c r="E873" s="101" t="s">
        <v>22</v>
      </c>
      <c r="F873" s="216" t="s">
        <v>49</v>
      </c>
      <c r="G873" s="3" t="s">
        <v>56</v>
      </c>
      <c r="H873" s="3" t="s">
        <v>56</v>
      </c>
      <c r="M873" s="151" t="str">
        <f t="shared" si="43"/>
        <v>/</v>
      </c>
      <c r="N873" s="151" t="str">
        <f t="shared" si="44"/>
        <v/>
      </c>
      <c r="Q873" s="239" t="str">
        <f t="shared" ca="1" si="42"/>
        <v/>
      </c>
    </row>
    <row r="874" spans="3:17" ht="15.75" hidden="1" customHeight="1" outlineLevel="1" x14ac:dyDescent="0.25">
      <c r="C874" s="207"/>
      <c r="D874" s="196">
        <v>42380</v>
      </c>
      <c r="E874" s="101" t="s">
        <v>11</v>
      </c>
      <c r="F874" s="216" t="s">
        <v>50</v>
      </c>
      <c r="G874" s="3" t="s">
        <v>56</v>
      </c>
      <c r="H874" s="3" t="s">
        <v>56</v>
      </c>
      <c r="M874" s="151" t="str">
        <f t="shared" si="43"/>
        <v/>
      </c>
      <c r="N874" s="151" t="str">
        <f t="shared" si="44"/>
        <v>/</v>
      </c>
      <c r="Q874" s="239" t="str">
        <f t="shared" ca="1" si="42"/>
        <v/>
      </c>
    </row>
    <row r="875" spans="3:17" ht="15.75" hidden="1" customHeight="1" outlineLevel="1" x14ac:dyDescent="0.25">
      <c r="C875" s="207"/>
      <c r="D875" s="196">
        <v>42381</v>
      </c>
      <c r="E875" s="101" t="s">
        <v>2</v>
      </c>
      <c r="F875" s="216" t="s">
        <v>49</v>
      </c>
      <c r="G875" s="3" t="s">
        <v>56</v>
      </c>
      <c r="H875" s="3" t="s">
        <v>56</v>
      </c>
      <c r="M875" s="151" t="str">
        <f t="shared" si="43"/>
        <v>/</v>
      </c>
      <c r="N875" s="151" t="str">
        <f t="shared" si="44"/>
        <v/>
      </c>
      <c r="Q875" s="239" t="str">
        <f t="shared" ref="Q875:Q938" ca="1" si="45">IF(D875=TODAY(),1,"")</f>
        <v/>
      </c>
    </row>
    <row r="876" spans="3:17" ht="15.75" hidden="1" customHeight="1" outlineLevel="1" x14ac:dyDescent="0.25">
      <c r="C876" s="207"/>
      <c r="D876" s="196">
        <v>42384</v>
      </c>
      <c r="E876" s="101" t="s">
        <v>12</v>
      </c>
      <c r="F876" s="216" t="s">
        <v>50</v>
      </c>
      <c r="G876" s="3" t="s">
        <v>56</v>
      </c>
      <c r="H876" s="3" t="s">
        <v>56</v>
      </c>
      <c r="M876" s="151" t="str">
        <f t="shared" si="43"/>
        <v/>
      </c>
      <c r="N876" s="151" t="str">
        <f t="shared" si="44"/>
        <v>/</v>
      </c>
      <c r="Q876" s="239" t="str">
        <f t="shared" ca="1" si="45"/>
        <v/>
      </c>
    </row>
    <row r="877" spans="3:17" ht="15.75" hidden="1" customHeight="1" outlineLevel="1" x14ac:dyDescent="0.25">
      <c r="C877" s="207"/>
      <c r="D877" s="196">
        <v>42385</v>
      </c>
      <c r="E877" s="101" t="s">
        <v>0</v>
      </c>
      <c r="F877" s="216" t="s">
        <v>49</v>
      </c>
      <c r="G877" s="3" t="s">
        <v>56</v>
      </c>
      <c r="H877" s="3" t="s">
        <v>56</v>
      </c>
      <c r="M877" s="151" t="str">
        <f t="shared" si="43"/>
        <v>/</v>
      </c>
      <c r="N877" s="151" t="str">
        <f t="shared" si="44"/>
        <v/>
      </c>
      <c r="Q877" s="239" t="str">
        <f t="shared" ca="1" si="45"/>
        <v/>
      </c>
    </row>
    <row r="878" spans="3:17" ht="15.75" hidden="1" customHeight="1" outlineLevel="1" x14ac:dyDescent="0.25">
      <c r="C878" s="207"/>
      <c r="D878" s="196">
        <v>42387</v>
      </c>
      <c r="E878" s="101" t="s">
        <v>1</v>
      </c>
      <c r="F878" s="216" t="s">
        <v>50</v>
      </c>
      <c r="G878" s="3" t="s">
        <v>56</v>
      </c>
      <c r="H878" s="3" t="s">
        <v>56</v>
      </c>
      <c r="M878" s="151" t="str">
        <f t="shared" si="43"/>
        <v/>
      </c>
      <c r="N878" s="151" t="str">
        <f t="shared" si="44"/>
        <v>/</v>
      </c>
      <c r="Q878" s="239" t="str">
        <f t="shared" ca="1" si="45"/>
        <v/>
      </c>
    </row>
    <row r="879" spans="3:17" ht="15.75" hidden="1" customHeight="1" outlineLevel="1" x14ac:dyDescent="0.25">
      <c r="C879" s="207"/>
      <c r="D879" s="196">
        <v>42388</v>
      </c>
      <c r="E879" s="101" t="s">
        <v>13</v>
      </c>
      <c r="F879" s="216" t="s">
        <v>49</v>
      </c>
      <c r="G879" s="3" t="s">
        <v>56</v>
      </c>
      <c r="H879" s="3" t="s">
        <v>56</v>
      </c>
      <c r="M879" s="151" t="str">
        <f t="shared" si="43"/>
        <v>/</v>
      </c>
      <c r="N879" s="151" t="str">
        <f t="shared" si="44"/>
        <v/>
      </c>
      <c r="Q879" s="239" t="str">
        <f t="shared" ca="1" si="45"/>
        <v/>
      </c>
    </row>
    <row r="880" spans="3:17" ht="15.75" hidden="1" customHeight="1" outlineLevel="1" x14ac:dyDescent="0.25">
      <c r="C880" s="207"/>
      <c r="D880" s="196">
        <v>42390</v>
      </c>
      <c r="E880" s="101" t="s">
        <v>25</v>
      </c>
      <c r="F880" s="216" t="s">
        <v>49</v>
      </c>
      <c r="G880" s="3" t="s">
        <v>56</v>
      </c>
      <c r="H880" s="3" t="s">
        <v>56</v>
      </c>
      <c r="M880" s="151" t="str">
        <f t="shared" si="43"/>
        <v>/</v>
      </c>
      <c r="N880" s="151" t="str">
        <f t="shared" si="44"/>
        <v/>
      </c>
      <c r="Q880" s="239" t="str">
        <f t="shared" ca="1" si="45"/>
        <v/>
      </c>
    </row>
    <row r="881" spans="3:17" ht="15.75" hidden="1" customHeight="1" outlineLevel="1" x14ac:dyDescent="0.25">
      <c r="C881" s="207"/>
      <c r="D881" s="196">
        <v>42392</v>
      </c>
      <c r="E881" s="101" t="s">
        <v>7</v>
      </c>
      <c r="F881" s="216" t="s">
        <v>50</v>
      </c>
      <c r="G881" s="3" t="s">
        <v>56</v>
      </c>
      <c r="H881" s="3" t="s">
        <v>56</v>
      </c>
      <c r="M881" s="151" t="str">
        <f t="shared" si="43"/>
        <v/>
      </c>
      <c r="N881" s="151" t="str">
        <f t="shared" si="44"/>
        <v>/</v>
      </c>
      <c r="Q881" s="239" t="str">
        <f t="shared" ca="1" si="45"/>
        <v/>
      </c>
    </row>
    <row r="882" spans="3:17" ht="15.75" hidden="1" customHeight="1" outlineLevel="1" x14ac:dyDescent="0.25">
      <c r="C882" s="207"/>
      <c r="D882" s="196">
        <v>42394</v>
      </c>
      <c r="E882" s="101" t="s">
        <v>14</v>
      </c>
      <c r="F882" s="216" t="s">
        <v>50</v>
      </c>
      <c r="G882" s="3" t="s">
        <v>56</v>
      </c>
      <c r="H882" s="3" t="s">
        <v>56</v>
      </c>
      <c r="M882" s="151" t="str">
        <f t="shared" si="43"/>
        <v/>
      </c>
      <c r="N882" s="151" t="str">
        <f t="shared" si="44"/>
        <v>/</v>
      </c>
      <c r="Q882" s="239" t="str">
        <f t="shared" ca="1" si="45"/>
        <v/>
      </c>
    </row>
    <row r="883" spans="3:17" ht="15.75" hidden="1" customHeight="1" outlineLevel="1" x14ac:dyDescent="0.25">
      <c r="C883" s="207"/>
      <c r="D883" s="196">
        <v>42396</v>
      </c>
      <c r="E883" s="101" t="s">
        <v>3</v>
      </c>
      <c r="F883" s="216" t="s">
        <v>49</v>
      </c>
      <c r="G883" s="3" t="s">
        <v>56</v>
      </c>
      <c r="H883" s="3" t="s">
        <v>56</v>
      </c>
      <c r="M883" s="151" t="str">
        <f t="shared" si="43"/>
        <v>/</v>
      </c>
      <c r="N883" s="151" t="str">
        <f t="shared" si="44"/>
        <v/>
      </c>
      <c r="Q883" s="239" t="str">
        <f t="shared" ca="1" si="45"/>
        <v/>
      </c>
    </row>
    <row r="884" spans="3:17" ht="15.75" hidden="1" customHeight="1" outlineLevel="1" x14ac:dyDescent="0.25">
      <c r="C884" s="207"/>
      <c r="D884" s="196">
        <v>42398</v>
      </c>
      <c r="E884" s="101" t="s">
        <v>0</v>
      </c>
      <c r="F884" s="216" t="s">
        <v>50</v>
      </c>
      <c r="G884" s="3" t="s">
        <v>56</v>
      </c>
      <c r="H884" s="3" t="s">
        <v>56</v>
      </c>
      <c r="M884" s="151" t="str">
        <f t="shared" si="43"/>
        <v/>
      </c>
      <c r="N884" s="151" t="str">
        <f t="shared" si="44"/>
        <v>/</v>
      </c>
      <c r="Q884" s="239" t="str">
        <f t="shared" ca="1" si="45"/>
        <v/>
      </c>
    </row>
    <row r="885" spans="3:17" ht="15.75" hidden="1" customHeight="1" outlineLevel="1" x14ac:dyDescent="0.25">
      <c r="C885" s="207"/>
      <c r="D885" s="196">
        <v>42400</v>
      </c>
      <c r="E885" s="101" t="s">
        <v>13</v>
      </c>
      <c r="F885" s="216" t="s">
        <v>50</v>
      </c>
      <c r="G885" s="3" t="s">
        <v>56</v>
      </c>
      <c r="H885" s="3" t="s">
        <v>56</v>
      </c>
      <c r="M885" s="151" t="str">
        <f t="shared" si="43"/>
        <v/>
      </c>
      <c r="N885" s="151" t="str">
        <f t="shared" si="44"/>
        <v>/</v>
      </c>
      <c r="Q885" s="239" t="str">
        <f t="shared" ca="1" si="45"/>
        <v/>
      </c>
    </row>
    <row r="886" spans="3:17" ht="15.75" hidden="1" customHeight="1" outlineLevel="1" x14ac:dyDescent="0.25">
      <c r="C886" s="208"/>
      <c r="D886" s="196">
        <v>42401</v>
      </c>
      <c r="E886" s="101" t="s">
        <v>45</v>
      </c>
      <c r="F886" s="216" t="s">
        <v>50</v>
      </c>
      <c r="G886" s="3" t="s">
        <v>56</v>
      </c>
      <c r="H886" s="3" t="s">
        <v>56</v>
      </c>
      <c r="M886" s="151" t="str">
        <f t="shared" si="43"/>
        <v/>
      </c>
      <c r="N886" s="151" t="str">
        <f t="shared" si="44"/>
        <v>/</v>
      </c>
      <c r="Q886" s="239" t="str">
        <f t="shared" ca="1" si="45"/>
        <v/>
      </c>
    </row>
    <row r="887" spans="3:17" ht="15.75" hidden="1" customHeight="1" outlineLevel="1" x14ac:dyDescent="0.25">
      <c r="C887" s="208"/>
      <c r="D887" s="196">
        <v>42404</v>
      </c>
      <c r="E887" s="101" t="s">
        <v>4</v>
      </c>
      <c r="F887" s="216" t="s">
        <v>49</v>
      </c>
      <c r="G887" s="3" t="s">
        <v>56</v>
      </c>
      <c r="H887" s="3" t="s">
        <v>56</v>
      </c>
      <c r="M887" s="151" t="str">
        <f t="shared" si="43"/>
        <v>/</v>
      </c>
      <c r="N887" s="151" t="str">
        <f t="shared" si="44"/>
        <v/>
      </c>
      <c r="Q887" s="239" t="str">
        <f t="shared" ca="1" si="45"/>
        <v/>
      </c>
    </row>
    <row r="888" spans="3:17" ht="15.75" hidden="1" customHeight="1" outlineLevel="1" x14ac:dyDescent="0.25">
      <c r="C888" s="208"/>
      <c r="D888" s="196">
        <v>42406</v>
      </c>
      <c r="E888" s="101" t="s">
        <v>644</v>
      </c>
      <c r="F888" s="216" t="s">
        <v>49</v>
      </c>
      <c r="G888" s="3" t="s">
        <v>56</v>
      </c>
      <c r="H888" s="3" t="s">
        <v>56</v>
      </c>
      <c r="M888" s="151" t="str">
        <f t="shared" si="43"/>
        <v>/</v>
      </c>
      <c r="N888" s="151" t="str">
        <f t="shared" si="44"/>
        <v/>
      </c>
      <c r="Q888" s="239" t="str">
        <f t="shared" ca="1" si="45"/>
        <v/>
      </c>
    </row>
    <row r="889" spans="3:17" ht="15.75" hidden="1" customHeight="1" outlineLevel="1" x14ac:dyDescent="0.25">
      <c r="C889" s="208"/>
      <c r="D889" s="196">
        <v>42408</v>
      </c>
      <c r="E889" s="101" t="s">
        <v>18</v>
      </c>
      <c r="F889" s="216" t="s">
        <v>49</v>
      </c>
      <c r="G889" s="3" t="s">
        <v>56</v>
      </c>
      <c r="H889" s="3" t="s">
        <v>56</v>
      </c>
      <c r="M889" s="151" t="str">
        <f t="shared" si="43"/>
        <v>/</v>
      </c>
      <c r="N889" s="151" t="str">
        <f t="shared" si="44"/>
        <v/>
      </c>
      <c r="Q889" s="239" t="str">
        <f t="shared" ca="1" si="45"/>
        <v/>
      </c>
    </row>
    <row r="890" spans="3:17" ht="15.75" hidden="1" customHeight="1" outlineLevel="1" x14ac:dyDescent="0.25">
      <c r="C890" s="208"/>
      <c r="D890" s="196">
        <v>42410</v>
      </c>
      <c r="E890" s="101" t="s">
        <v>15</v>
      </c>
      <c r="F890" s="216" t="s">
        <v>49</v>
      </c>
      <c r="G890" s="3" t="s">
        <v>56</v>
      </c>
      <c r="H890" s="3" t="s">
        <v>56</v>
      </c>
      <c r="M890" s="151" t="str">
        <f t="shared" si="43"/>
        <v>/</v>
      </c>
      <c r="N890" s="151" t="str">
        <f t="shared" si="44"/>
        <v/>
      </c>
      <c r="Q890" s="239" t="str">
        <f t="shared" ca="1" si="45"/>
        <v/>
      </c>
    </row>
    <row r="891" spans="3:17" ht="15.75" hidden="1" customHeight="1" outlineLevel="1" x14ac:dyDescent="0.25">
      <c r="C891" s="208"/>
      <c r="D891" s="196">
        <v>42412</v>
      </c>
      <c r="E891" s="101" t="s">
        <v>46</v>
      </c>
      <c r="F891" s="216" t="s">
        <v>49</v>
      </c>
      <c r="G891" s="3" t="s">
        <v>56</v>
      </c>
      <c r="H891" s="3" t="s">
        <v>56</v>
      </c>
      <c r="M891" s="151" t="str">
        <f t="shared" si="43"/>
        <v>/</v>
      </c>
      <c r="N891" s="151" t="str">
        <f t="shared" si="44"/>
        <v/>
      </c>
      <c r="Q891" s="239" t="str">
        <f t="shared" ca="1" si="45"/>
        <v/>
      </c>
    </row>
    <row r="892" spans="3:17" ht="15.75" hidden="1" customHeight="1" outlineLevel="1" x14ac:dyDescent="0.25">
      <c r="C892" s="208"/>
      <c r="D892" s="196">
        <v>42415</v>
      </c>
      <c r="E892" s="101" t="s">
        <v>23</v>
      </c>
      <c r="F892" s="216" t="s">
        <v>50</v>
      </c>
      <c r="G892" s="3" t="s">
        <v>56</v>
      </c>
      <c r="H892" s="3" t="s">
        <v>56</v>
      </c>
      <c r="M892" s="151" t="str">
        <f t="shared" si="43"/>
        <v/>
      </c>
      <c r="N892" s="151" t="str">
        <f t="shared" si="44"/>
        <v>/</v>
      </c>
      <c r="Q892" s="239" t="str">
        <f t="shared" ca="1" si="45"/>
        <v/>
      </c>
    </row>
    <row r="893" spans="3:17" ht="15.75" hidden="1" customHeight="1" outlineLevel="1" x14ac:dyDescent="0.25">
      <c r="C893" s="208"/>
      <c r="D893" s="196">
        <v>42423</v>
      </c>
      <c r="E893" s="101" t="s">
        <v>4</v>
      </c>
      <c r="F893" s="216" t="s">
        <v>50</v>
      </c>
      <c r="G893" s="3" t="s">
        <v>56</v>
      </c>
      <c r="H893" s="3" t="s">
        <v>56</v>
      </c>
      <c r="M893" s="151" t="str">
        <f t="shared" si="43"/>
        <v/>
      </c>
      <c r="N893" s="151" t="str">
        <f t="shared" si="44"/>
        <v>/</v>
      </c>
      <c r="Q893" s="239" t="str">
        <f t="shared" ca="1" si="45"/>
        <v/>
      </c>
    </row>
    <row r="894" spans="3:17" ht="15.75" hidden="1" customHeight="1" outlineLevel="1" x14ac:dyDescent="0.25">
      <c r="C894" s="208"/>
      <c r="D894" s="196">
        <v>42425</v>
      </c>
      <c r="E894" s="101" t="s">
        <v>11</v>
      </c>
      <c r="F894" s="216" t="s">
        <v>49</v>
      </c>
      <c r="G894" s="3" t="s">
        <v>56</v>
      </c>
      <c r="H894" s="3" t="s">
        <v>56</v>
      </c>
      <c r="M894" s="151" t="str">
        <f t="shared" si="43"/>
        <v>/</v>
      </c>
      <c r="N894" s="151" t="str">
        <f t="shared" si="44"/>
        <v/>
      </c>
      <c r="Q894" s="239" t="str">
        <f t="shared" ca="1" si="45"/>
        <v/>
      </c>
    </row>
    <row r="895" spans="3:17" ht="15.75" hidden="1" customHeight="1" outlineLevel="1" x14ac:dyDescent="0.25">
      <c r="C895" s="208"/>
      <c r="D895" s="196">
        <v>42427</v>
      </c>
      <c r="E895" s="101" t="s">
        <v>12</v>
      </c>
      <c r="F895" s="216" t="s">
        <v>49</v>
      </c>
      <c r="G895" s="3" t="s">
        <v>56</v>
      </c>
      <c r="H895" s="3" t="s">
        <v>56</v>
      </c>
      <c r="M895" s="151" t="str">
        <f t="shared" si="43"/>
        <v>/</v>
      </c>
      <c r="N895" s="151" t="str">
        <f t="shared" si="44"/>
        <v/>
      </c>
      <c r="Q895" s="239" t="str">
        <f t="shared" ca="1" si="45"/>
        <v/>
      </c>
    </row>
    <row r="896" spans="3:17" ht="15.75" hidden="1" customHeight="1" outlineLevel="1" x14ac:dyDescent="0.25">
      <c r="C896" s="207"/>
      <c r="D896" s="196">
        <v>42430</v>
      </c>
      <c r="E896" s="101" t="s">
        <v>10</v>
      </c>
      <c r="F896" s="216" t="s">
        <v>50</v>
      </c>
      <c r="G896" s="3" t="s">
        <v>56</v>
      </c>
      <c r="H896" s="3" t="s">
        <v>56</v>
      </c>
      <c r="M896" s="151" t="str">
        <f t="shared" si="43"/>
        <v/>
      </c>
      <c r="N896" s="151" t="str">
        <f t="shared" si="44"/>
        <v>/</v>
      </c>
      <c r="Q896" s="239" t="str">
        <f t="shared" ca="1" si="45"/>
        <v/>
      </c>
    </row>
    <row r="897" spans="3:17" ht="15.75" hidden="1" customHeight="1" outlineLevel="1" x14ac:dyDescent="0.25">
      <c r="C897" s="207"/>
      <c r="D897" s="196">
        <v>42432</v>
      </c>
      <c r="E897" s="101" t="s">
        <v>11</v>
      </c>
      <c r="F897" s="216" t="s">
        <v>50</v>
      </c>
      <c r="G897" s="3" t="s">
        <v>56</v>
      </c>
      <c r="H897" s="3" t="s">
        <v>56</v>
      </c>
      <c r="M897" s="151" t="str">
        <f t="shared" si="43"/>
        <v/>
      </c>
      <c r="N897" s="151" t="str">
        <f t="shared" si="44"/>
        <v>/</v>
      </c>
      <c r="Q897" s="239" t="str">
        <f t="shared" ca="1" si="45"/>
        <v/>
      </c>
    </row>
    <row r="898" spans="3:17" ht="15.75" hidden="1" customHeight="1" outlineLevel="1" x14ac:dyDescent="0.25">
      <c r="C898" s="207"/>
      <c r="D898" s="196">
        <v>42434</v>
      </c>
      <c r="E898" s="101" t="s">
        <v>16</v>
      </c>
      <c r="F898" s="216" t="s">
        <v>49</v>
      </c>
      <c r="G898" s="3" t="s">
        <v>56</v>
      </c>
      <c r="H898" s="3" t="s">
        <v>56</v>
      </c>
      <c r="M898" s="151" t="str">
        <f t="shared" si="43"/>
        <v>/</v>
      </c>
      <c r="N898" s="151" t="str">
        <f t="shared" si="44"/>
        <v/>
      </c>
      <c r="Q898" s="239" t="str">
        <f t="shared" ca="1" si="45"/>
        <v/>
      </c>
    </row>
    <row r="899" spans="3:17" ht="15.75" hidden="1" customHeight="1" outlineLevel="1" x14ac:dyDescent="0.25">
      <c r="C899" s="207"/>
      <c r="D899" s="196">
        <v>42435</v>
      </c>
      <c r="E899" s="101" t="s">
        <v>10</v>
      </c>
      <c r="F899" s="216" t="s">
        <v>50</v>
      </c>
      <c r="G899" s="3" t="s">
        <v>56</v>
      </c>
      <c r="H899" s="3" t="s">
        <v>56</v>
      </c>
      <c r="M899" s="151" t="str">
        <f t="shared" si="43"/>
        <v/>
      </c>
      <c r="N899" s="151" t="str">
        <f t="shared" si="44"/>
        <v>/</v>
      </c>
      <c r="Q899" s="239" t="str">
        <f t="shared" ca="1" si="45"/>
        <v/>
      </c>
    </row>
    <row r="900" spans="3:17" ht="15.75" hidden="1" customHeight="1" outlineLevel="1" x14ac:dyDescent="0.25">
      <c r="C900" s="207"/>
      <c r="D900" s="196">
        <v>42437</v>
      </c>
      <c r="E900" s="101" t="s">
        <v>8</v>
      </c>
      <c r="F900" s="216" t="s">
        <v>50</v>
      </c>
      <c r="G900" s="3" t="s">
        <v>56</v>
      </c>
      <c r="H900" s="3" t="s">
        <v>56</v>
      </c>
      <c r="M900" s="151" t="str">
        <f t="shared" si="43"/>
        <v/>
      </c>
      <c r="N900" s="151" t="str">
        <f t="shared" si="44"/>
        <v>/</v>
      </c>
      <c r="Q900" s="239" t="str">
        <f t="shared" ca="1" si="45"/>
        <v/>
      </c>
    </row>
    <row r="901" spans="3:17" ht="15.75" hidden="1" customHeight="1" outlineLevel="1" x14ac:dyDescent="0.25">
      <c r="C901" s="207"/>
      <c r="D901" s="196">
        <v>42440</v>
      </c>
      <c r="E901" s="101" t="s">
        <v>5</v>
      </c>
      <c r="F901" s="216" t="s">
        <v>50</v>
      </c>
      <c r="G901" s="3" t="s">
        <v>56</v>
      </c>
      <c r="H901" s="3" t="s">
        <v>56</v>
      </c>
      <c r="M901" s="151" t="str">
        <f t="shared" si="43"/>
        <v/>
      </c>
      <c r="N901" s="151" t="str">
        <f t="shared" si="44"/>
        <v>/</v>
      </c>
      <c r="Q901" s="239" t="str">
        <f t="shared" ca="1" si="45"/>
        <v/>
      </c>
    </row>
    <row r="902" spans="3:17" ht="15.75" hidden="1" customHeight="1" outlineLevel="1" x14ac:dyDescent="0.25">
      <c r="C902" s="207"/>
      <c r="D902" s="196">
        <v>42441</v>
      </c>
      <c r="E902" s="101" t="s">
        <v>45</v>
      </c>
      <c r="F902" s="216" t="s">
        <v>50</v>
      </c>
      <c r="G902" s="3" t="s">
        <v>56</v>
      </c>
      <c r="H902" s="3" t="s">
        <v>56</v>
      </c>
      <c r="M902" s="151" t="str">
        <f t="shared" si="43"/>
        <v/>
      </c>
      <c r="N902" s="151" t="str">
        <f t="shared" si="44"/>
        <v>/</v>
      </c>
      <c r="Q902" s="239" t="str">
        <f t="shared" ca="1" si="45"/>
        <v/>
      </c>
    </row>
    <row r="903" spans="3:17" ht="15.75" hidden="1" customHeight="1" outlineLevel="1" x14ac:dyDescent="0.25">
      <c r="C903" s="207"/>
      <c r="D903" s="196">
        <v>42443</v>
      </c>
      <c r="E903" s="101" t="s">
        <v>7</v>
      </c>
      <c r="F903" s="216" t="s">
        <v>49</v>
      </c>
      <c r="G903" s="3" t="s">
        <v>56</v>
      </c>
      <c r="H903" s="3" t="s">
        <v>56</v>
      </c>
      <c r="M903" s="151" t="str">
        <f t="shared" ref="M903:M966" si="46">IF(F903="D",H903,"")</f>
        <v>/</v>
      </c>
      <c r="N903" s="151" t="str">
        <f t="shared" ref="N903:N966" si="47">IF(F903="E",H903,"")</f>
        <v/>
      </c>
      <c r="Q903" s="239" t="str">
        <f t="shared" ca="1" si="45"/>
        <v/>
      </c>
    </row>
    <row r="904" spans="3:17" ht="15.75" hidden="1" customHeight="1" outlineLevel="1" x14ac:dyDescent="0.25">
      <c r="C904" s="207"/>
      <c r="D904" s="196">
        <v>42445</v>
      </c>
      <c r="E904" s="101" t="s">
        <v>45</v>
      </c>
      <c r="F904" s="216" t="s">
        <v>49</v>
      </c>
      <c r="G904" s="3" t="s">
        <v>56</v>
      </c>
      <c r="H904" s="3" t="s">
        <v>56</v>
      </c>
      <c r="M904" s="151" t="str">
        <f t="shared" si="46"/>
        <v>/</v>
      </c>
      <c r="N904" s="151" t="str">
        <f t="shared" si="47"/>
        <v/>
      </c>
      <c r="Q904" s="239" t="str">
        <f t="shared" ca="1" si="45"/>
        <v/>
      </c>
    </row>
    <row r="905" spans="3:17" ht="15.75" hidden="1" customHeight="1" outlineLevel="1" x14ac:dyDescent="0.25">
      <c r="C905" s="207"/>
      <c r="D905" s="196">
        <v>42449</v>
      </c>
      <c r="E905" s="101" t="s">
        <v>18</v>
      </c>
      <c r="F905" s="216" t="s">
        <v>50</v>
      </c>
      <c r="G905" s="3" t="s">
        <v>56</v>
      </c>
      <c r="H905" s="3" t="s">
        <v>56</v>
      </c>
      <c r="M905" s="151" t="str">
        <f t="shared" si="46"/>
        <v/>
      </c>
      <c r="N905" s="151" t="str">
        <f t="shared" si="47"/>
        <v>/</v>
      </c>
      <c r="Q905" s="239" t="str">
        <f t="shared" ca="1" si="45"/>
        <v/>
      </c>
    </row>
    <row r="906" spans="3:17" ht="15.75" hidden="1" customHeight="1" outlineLevel="1" x14ac:dyDescent="0.25">
      <c r="C906" s="207"/>
      <c r="D906" s="196">
        <v>42451</v>
      </c>
      <c r="E906" s="101" t="s">
        <v>28</v>
      </c>
      <c r="F906" s="216" t="s">
        <v>50</v>
      </c>
      <c r="G906" s="3" t="s">
        <v>56</v>
      </c>
      <c r="H906" s="3" t="s">
        <v>56</v>
      </c>
      <c r="M906" s="151" t="str">
        <f t="shared" si="46"/>
        <v/>
      </c>
      <c r="N906" s="151" t="str">
        <f t="shared" si="47"/>
        <v>/</v>
      </c>
      <c r="Q906" s="239" t="str">
        <f t="shared" ca="1" si="45"/>
        <v/>
      </c>
    </row>
    <row r="907" spans="3:17" ht="15.75" hidden="1" customHeight="1" outlineLevel="1" x14ac:dyDescent="0.25">
      <c r="C907" s="207"/>
      <c r="D907" s="196">
        <v>42452</v>
      </c>
      <c r="E907" s="101" t="s">
        <v>24</v>
      </c>
      <c r="F907" s="216" t="s">
        <v>50</v>
      </c>
      <c r="G907" s="3" t="s">
        <v>56</v>
      </c>
      <c r="H907" s="3" t="s">
        <v>56</v>
      </c>
      <c r="M907" s="151" t="str">
        <f t="shared" si="46"/>
        <v/>
      </c>
      <c r="N907" s="151" t="str">
        <f t="shared" si="47"/>
        <v>/</v>
      </c>
      <c r="Q907" s="239" t="str">
        <f t="shared" ca="1" si="45"/>
        <v/>
      </c>
    </row>
    <row r="908" spans="3:17" ht="15.75" hidden="1" customHeight="1" outlineLevel="1" x14ac:dyDescent="0.25">
      <c r="C908" s="207"/>
      <c r="D908" s="196">
        <v>42454</v>
      </c>
      <c r="E908" s="101" t="s">
        <v>46</v>
      </c>
      <c r="F908" s="216" t="s">
        <v>50</v>
      </c>
      <c r="G908" s="3" t="s">
        <v>56</v>
      </c>
      <c r="H908" s="3" t="s">
        <v>56</v>
      </c>
      <c r="M908" s="151" t="str">
        <f t="shared" si="46"/>
        <v/>
      </c>
      <c r="N908" s="151" t="str">
        <f t="shared" si="47"/>
        <v>/</v>
      </c>
      <c r="Q908" s="239" t="str">
        <f t="shared" ca="1" si="45"/>
        <v/>
      </c>
    </row>
    <row r="909" spans="3:17" ht="15.75" hidden="1" customHeight="1" outlineLevel="1" x14ac:dyDescent="0.25">
      <c r="C909" s="207"/>
      <c r="D909" s="196">
        <v>42456</v>
      </c>
      <c r="E909" s="101" t="s">
        <v>5</v>
      </c>
      <c r="F909" s="216" t="s">
        <v>49</v>
      </c>
      <c r="G909" s="3" t="s">
        <v>56</v>
      </c>
      <c r="H909" s="3" t="s">
        <v>56</v>
      </c>
      <c r="M909" s="151" t="str">
        <f t="shared" si="46"/>
        <v>/</v>
      </c>
      <c r="N909" s="151" t="str">
        <f t="shared" si="47"/>
        <v/>
      </c>
      <c r="Q909" s="239" t="str">
        <f t="shared" ca="1" si="45"/>
        <v/>
      </c>
    </row>
    <row r="910" spans="3:17" ht="15.75" hidden="1" customHeight="1" outlineLevel="1" x14ac:dyDescent="0.25">
      <c r="C910" s="207"/>
      <c r="D910" s="196">
        <v>42458</v>
      </c>
      <c r="E910" s="101" t="s">
        <v>6</v>
      </c>
      <c r="F910" s="216" t="s">
        <v>49</v>
      </c>
      <c r="G910" s="3" t="s">
        <v>56</v>
      </c>
      <c r="H910" s="3" t="s">
        <v>56</v>
      </c>
      <c r="M910" s="151" t="str">
        <f t="shared" si="46"/>
        <v>/</v>
      </c>
      <c r="N910" s="151" t="str">
        <f t="shared" si="47"/>
        <v/>
      </c>
      <c r="Q910" s="239" t="str">
        <f t="shared" ca="1" si="45"/>
        <v/>
      </c>
    </row>
    <row r="911" spans="3:17" ht="15.75" hidden="1" customHeight="1" outlineLevel="1" x14ac:dyDescent="0.25">
      <c r="C911" s="207"/>
      <c r="D911" s="196">
        <v>42460</v>
      </c>
      <c r="E911" s="101" t="s">
        <v>6</v>
      </c>
      <c r="F911" s="216" t="s">
        <v>50</v>
      </c>
      <c r="G911" s="3" t="s">
        <v>56</v>
      </c>
      <c r="H911" s="3" t="s">
        <v>56</v>
      </c>
      <c r="M911" s="151" t="str">
        <f t="shared" si="46"/>
        <v/>
      </c>
      <c r="N911" s="151" t="str">
        <f t="shared" si="47"/>
        <v>/</v>
      </c>
      <c r="Q911" s="239" t="str">
        <f t="shared" ca="1" si="45"/>
        <v/>
      </c>
    </row>
    <row r="912" spans="3:17" ht="15.75" hidden="1" customHeight="1" outlineLevel="1" x14ac:dyDescent="0.25">
      <c r="C912" s="208"/>
      <c r="D912" s="196">
        <v>42462</v>
      </c>
      <c r="E912" s="101" t="s">
        <v>1</v>
      </c>
      <c r="F912" s="216" t="s">
        <v>49</v>
      </c>
      <c r="G912" s="3" t="s">
        <v>56</v>
      </c>
      <c r="H912" s="3" t="s">
        <v>56</v>
      </c>
      <c r="M912" s="151" t="str">
        <f t="shared" si="46"/>
        <v>/</v>
      </c>
      <c r="N912" s="151" t="str">
        <f t="shared" si="47"/>
        <v/>
      </c>
      <c r="Q912" s="239" t="str">
        <f t="shared" ca="1" si="45"/>
        <v/>
      </c>
    </row>
    <row r="913" spans="2:17" ht="15.75" hidden="1" customHeight="1" outlineLevel="1" x14ac:dyDescent="0.25">
      <c r="C913" s="208"/>
      <c r="D913" s="196">
        <v>42464</v>
      </c>
      <c r="E913" s="101" t="s">
        <v>2</v>
      </c>
      <c r="F913" s="216" t="s">
        <v>49</v>
      </c>
      <c r="G913" s="3" t="s">
        <v>56</v>
      </c>
      <c r="H913" s="3" t="s">
        <v>56</v>
      </c>
      <c r="M913" s="151" t="str">
        <f t="shared" si="46"/>
        <v>/</v>
      </c>
      <c r="N913" s="151" t="str">
        <f t="shared" si="47"/>
        <v/>
      </c>
      <c r="Q913" s="239" t="str">
        <f t="shared" ca="1" si="45"/>
        <v/>
      </c>
    </row>
    <row r="914" spans="2:17" ht="15.75" hidden="1" customHeight="1" outlineLevel="1" x14ac:dyDescent="0.25">
      <c r="C914" s="208"/>
      <c r="D914" s="196">
        <v>42466</v>
      </c>
      <c r="E914" s="101" t="s">
        <v>13</v>
      </c>
      <c r="F914" s="216" t="s">
        <v>49</v>
      </c>
      <c r="G914" s="3" t="s">
        <v>56</v>
      </c>
      <c r="H914" s="3" t="s">
        <v>56</v>
      </c>
      <c r="M914" s="151" t="str">
        <f t="shared" si="46"/>
        <v>/</v>
      </c>
      <c r="N914" s="151" t="str">
        <f t="shared" si="47"/>
        <v/>
      </c>
      <c r="Q914" s="239" t="str">
        <f t="shared" ca="1" si="45"/>
        <v/>
      </c>
    </row>
    <row r="915" spans="2:17" ht="15.75" hidden="1" customHeight="1" outlineLevel="1" x14ac:dyDescent="0.25">
      <c r="C915" s="208"/>
      <c r="D915" s="196">
        <v>42467</v>
      </c>
      <c r="E915" s="101" t="s">
        <v>20</v>
      </c>
      <c r="F915" s="216" t="s">
        <v>50</v>
      </c>
      <c r="G915" s="3" t="s">
        <v>56</v>
      </c>
      <c r="H915" s="3" t="s">
        <v>56</v>
      </c>
      <c r="M915" s="151" t="str">
        <f t="shared" si="46"/>
        <v/>
      </c>
      <c r="N915" s="151" t="str">
        <f t="shared" si="47"/>
        <v>/</v>
      </c>
      <c r="Q915" s="239" t="str">
        <f t="shared" ca="1" si="45"/>
        <v/>
      </c>
    </row>
    <row r="916" spans="2:17" ht="15.75" hidden="1" customHeight="1" outlineLevel="1" x14ac:dyDescent="0.25">
      <c r="C916" s="208"/>
      <c r="D916" s="196">
        <v>42469</v>
      </c>
      <c r="E916" s="101" t="s">
        <v>12</v>
      </c>
      <c r="F916" s="216" t="s">
        <v>49</v>
      </c>
      <c r="G916" s="3" t="s">
        <v>56</v>
      </c>
      <c r="H916" s="3" t="s">
        <v>56</v>
      </c>
      <c r="M916" s="151" t="str">
        <f t="shared" si="46"/>
        <v>/</v>
      </c>
      <c r="N916" s="151" t="str">
        <f t="shared" si="47"/>
        <v/>
      </c>
      <c r="Q916" s="239" t="str">
        <f t="shared" ca="1" si="45"/>
        <v/>
      </c>
    </row>
    <row r="917" spans="2:17" ht="15.75" hidden="1" customHeight="1" outlineLevel="1" x14ac:dyDescent="0.25">
      <c r="C917" s="208"/>
      <c r="D917" s="196">
        <v>42472</v>
      </c>
      <c r="E917" s="102" t="s">
        <v>11</v>
      </c>
      <c r="F917" s="217" t="s">
        <v>49</v>
      </c>
      <c r="G917" s="3" t="s">
        <v>56</v>
      </c>
      <c r="H917" s="3" t="s">
        <v>56</v>
      </c>
      <c r="M917" s="151" t="str">
        <f t="shared" si="46"/>
        <v>/</v>
      </c>
      <c r="N917" s="151" t="str">
        <f t="shared" si="47"/>
        <v/>
      </c>
      <c r="Q917" s="239" t="str">
        <f t="shared" ca="1" si="45"/>
        <v/>
      </c>
    </row>
    <row r="918" spans="2:17" collapsed="1" x14ac:dyDescent="0.25">
      <c r="B918" s="404" t="str">
        <f ca="1">"- "&amp;INDEX(E919:E1000,MATCH(TODAY(),D919:D1000,0))</f>
        <v>- Detroit</v>
      </c>
      <c r="C918" s="404"/>
      <c r="D918" s="406" t="s">
        <v>10</v>
      </c>
      <c r="E918" s="407"/>
      <c r="F918" s="408"/>
      <c r="H918" s="3"/>
      <c r="Q918" s="239" t="str">
        <f t="shared" ca="1" si="45"/>
        <v/>
      </c>
    </row>
    <row r="919" spans="2:17" ht="16.5" hidden="1" customHeight="1" outlineLevel="1" x14ac:dyDescent="0.25">
      <c r="C919" s="207"/>
      <c r="D919" s="196">
        <v>42669</v>
      </c>
      <c r="E919" s="103" t="s">
        <v>6</v>
      </c>
      <c r="F919" s="215" t="s">
        <v>49</v>
      </c>
      <c r="G919" s="3">
        <v>0</v>
      </c>
      <c r="H919" s="3">
        <v>96</v>
      </c>
      <c r="I919" s="151">
        <v>35</v>
      </c>
      <c r="J919" s="151">
        <v>39</v>
      </c>
      <c r="K919" s="151">
        <v>79</v>
      </c>
      <c r="L919" s="151">
        <v>39</v>
      </c>
      <c r="M919" s="151">
        <f t="shared" si="46"/>
        <v>96</v>
      </c>
      <c r="N919" s="151" t="str">
        <f t="shared" si="47"/>
        <v/>
      </c>
      <c r="O919" s="151">
        <v>108</v>
      </c>
      <c r="Q919" s="239" t="str">
        <f t="shared" ca="1" si="45"/>
        <v/>
      </c>
    </row>
    <row r="920" spans="2:17" ht="15.75" hidden="1" customHeight="1" outlineLevel="1" x14ac:dyDescent="0.25">
      <c r="C920" s="207"/>
      <c r="D920" s="196">
        <v>42671</v>
      </c>
      <c r="E920" s="101" t="s">
        <v>5</v>
      </c>
      <c r="F920" s="216" t="s">
        <v>50</v>
      </c>
      <c r="G920" s="3" t="s">
        <v>56</v>
      </c>
      <c r="H920" s="3" t="s">
        <v>56</v>
      </c>
      <c r="M920" s="151" t="str">
        <f t="shared" si="46"/>
        <v/>
      </c>
      <c r="N920" s="151" t="str">
        <f t="shared" si="47"/>
        <v>/</v>
      </c>
      <c r="Q920" s="239">
        <f t="shared" ca="1" si="45"/>
        <v>1</v>
      </c>
    </row>
    <row r="921" spans="2:17" ht="15.75" hidden="1" customHeight="1" outlineLevel="1" x14ac:dyDescent="0.25">
      <c r="C921" s="207"/>
      <c r="D921" s="196">
        <v>42672</v>
      </c>
      <c r="E921" s="101" t="s">
        <v>4</v>
      </c>
      <c r="F921" s="216" t="s">
        <v>50</v>
      </c>
      <c r="G921" s="3" t="s">
        <v>56</v>
      </c>
      <c r="H921" s="3" t="s">
        <v>56</v>
      </c>
      <c r="M921" s="151" t="str">
        <f t="shared" si="46"/>
        <v/>
      </c>
      <c r="N921" s="151" t="str">
        <f t="shared" si="47"/>
        <v>/</v>
      </c>
      <c r="Q921" s="239" t="str">
        <f t="shared" ca="1" si="45"/>
        <v/>
      </c>
    </row>
    <row r="922" spans="2:17" ht="15.75" hidden="1" customHeight="1" outlineLevel="1" x14ac:dyDescent="0.25">
      <c r="C922" s="207"/>
      <c r="D922" s="196">
        <v>42675</v>
      </c>
      <c r="E922" s="101" t="s">
        <v>11</v>
      </c>
      <c r="F922" s="216" t="s">
        <v>50</v>
      </c>
      <c r="G922" s="3" t="s">
        <v>56</v>
      </c>
      <c r="H922" s="3" t="s">
        <v>56</v>
      </c>
      <c r="M922" s="151" t="str">
        <f t="shared" si="46"/>
        <v/>
      </c>
      <c r="N922" s="151" t="str">
        <f t="shared" si="47"/>
        <v>/</v>
      </c>
      <c r="Q922" s="239" t="str">
        <f t="shared" ca="1" si="45"/>
        <v/>
      </c>
    </row>
    <row r="923" spans="2:17" ht="15.75" hidden="1" customHeight="1" outlineLevel="1" x14ac:dyDescent="0.25">
      <c r="C923" s="207"/>
      <c r="D923" s="196">
        <v>42677</v>
      </c>
      <c r="E923" s="101" t="s">
        <v>26</v>
      </c>
      <c r="F923" s="216" t="s">
        <v>49</v>
      </c>
      <c r="G923" s="3" t="s">
        <v>56</v>
      </c>
      <c r="H923" s="3" t="s">
        <v>56</v>
      </c>
      <c r="M923" s="151" t="str">
        <f t="shared" si="46"/>
        <v>/</v>
      </c>
      <c r="N923" s="151" t="str">
        <f t="shared" si="47"/>
        <v/>
      </c>
      <c r="Q923" s="239" t="str">
        <f t="shared" ca="1" si="45"/>
        <v/>
      </c>
    </row>
    <row r="924" spans="2:17" ht="15.75" hidden="1" customHeight="1" outlineLevel="1" x14ac:dyDescent="0.25">
      <c r="C924" s="207"/>
      <c r="D924" s="196">
        <v>42679</v>
      </c>
      <c r="E924" s="101" t="s">
        <v>13</v>
      </c>
      <c r="F924" s="216" t="s">
        <v>49</v>
      </c>
      <c r="G924" s="3" t="s">
        <v>56</v>
      </c>
      <c r="H924" s="3" t="s">
        <v>56</v>
      </c>
      <c r="M924" s="151" t="str">
        <f t="shared" si="46"/>
        <v>/</v>
      </c>
      <c r="N924" s="151" t="str">
        <f t="shared" si="47"/>
        <v/>
      </c>
      <c r="Q924" s="239" t="str">
        <f t="shared" ca="1" si="45"/>
        <v/>
      </c>
    </row>
    <row r="925" spans="2:17" ht="15.75" hidden="1" customHeight="1" outlineLevel="1" x14ac:dyDescent="0.25">
      <c r="C925" s="207"/>
      <c r="D925" s="196">
        <v>42681</v>
      </c>
      <c r="E925" s="101" t="s">
        <v>2</v>
      </c>
      <c r="F925" s="216" t="s">
        <v>50</v>
      </c>
      <c r="G925" s="3" t="s">
        <v>56</v>
      </c>
      <c r="H925" s="3" t="s">
        <v>56</v>
      </c>
      <c r="M925" s="151" t="str">
        <f t="shared" si="46"/>
        <v/>
      </c>
      <c r="N925" s="151" t="str">
        <f t="shared" si="47"/>
        <v>/</v>
      </c>
      <c r="Q925" s="239" t="str">
        <f t="shared" ca="1" si="45"/>
        <v/>
      </c>
    </row>
    <row r="926" spans="2:17" ht="15.75" hidden="1" customHeight="1" outlineLevel="1" x14ac:dyDescent="0.25">
      <c r="C926" s="207"/>
      <c r="D926" s="196">
        <v>42683</v>
      </c>
      <c r="E926" s="101" t="s">
        <v>21</v>
      </c>
      <c r="F926" s="216" t="s">
        <v>49</v>
      </c>
      <c r="G926" s="3" t="s">
        <v>56</v>
      </c>
      <c r="H926" s="3" t="s">
        <v>56</v>
      </c>
      <c r="M926" s="151" t="str">
        <f t="shared" si="46"/>
        <v>/</v>
      </c>
      <c r="N926" s="151" t="str">
        <f t="shared" si="47"/>
        <v/>
      </c>
      <c r="Q926" s="239" t="str">
        <f t="shared" ca="1" si="45"/>
        <v/>
      </c>
    </row>
    <row r="927" spans="2:17" ht="15.75" hidden="1" customHeight="1" outlineLevel="1" x14ac:dyDescent="0.25">
      <c r="C927" s="207"/>
      <c r="D927" s="196">
        <v>42685</v>
      </c>
      <c r="E927" s="101" t="s">
        <v>28</v>
      </c>
      <c r="F927" s="216" t="s">
        <v>49</v>
      </c>
      <c r="G927" s="3" t="s">
        <v>56</v>
      </c>
      <c r="H927" s="3" t="s">
        <v>56</v>
      </c>
      <c r="M927" s="151" t="str">
        <f t="shared" si="46"/>
        <v>/</v>
      </c>
      <c r="N927" s="151" t="str">
        <f t="shared" si="47"/>
        <v/>
      </c>
      <c r="Q927" s="239" t="str">
        <f t="shared" ca="1" si="45"/>
        <v/>
      </c>
    </row>
    <row r="928" spans="2:17" ht="15.75" hidden="1" customHeight="1" outlineLevel="1" x14ac:dyDescent="0.25">
      <c r="C928" s="207"/>
      <c r="D928" s="196">
        <v>42687</v>
      </c>
      <c r="E928" s="101" t="s">
        <v>23</v>
      </c>
      <c r="F928" s="216" t="s">
        <v>50</v>
      </c>
      <c r="G928" s="3" t="s">
        <v>56</v>
      </c>
      <c r="H928" s="3" t="s">
        <v>56</v>
      </c>
      <c r="M928" s="151" t="str">
        <f t="shared" si="46"/>
        <v/>
      </c>
      <c r="N928" s="151" t="str">
        <f t="shared" si="47"/>
        <v>/</v>
      </c>
      <c r="Q928" s="239" t="str">
        <f t="shared" ca="1" si="45"/>
        <v/>
      </c>
    </row>
    <row r="929" spans="3:17" ht="15.75" hidden="1" customHeight="1" outlineLevel="1" x14ac:dyDescent="0.25">
      <c r="C929" s="207"/>
      <c r="D929" s="196">
        <v>42688</v>
      </c>
      <c r="E929" s="101" t="s">
        <v>7</v>
      </c>
      <c r="F929" s="216" t="s">
        <v>50</v>
      </c>
      <c r="G929" s="3" t="s">
        <v>56</v>
      </c>
      <c r="H929" s="3" t="s">
        <v>56</v>
      </c>
      <c r="M929" s="151" t="str">
        <f t="shared" si="46"/>
        <v/>
      </c>
      <c r="N929" s="151" t="str">
        <f t="shared" si="47"/>
        <v>/</v>
      </c>
      <c r="Q929" s="239" t="str">
        <f t="shared" ca="1" si="45"/>
        <v/>
      </c>
    </row>
    <row r="930" spans="3:17" ht="15.75" hidden="1" customHeight="1" outlineLevel="1" x14ac:dyDescent="0.25">
      <c r="C930" s="207"/>
      <c r="D930" s="196">
        <v>42690</v>
      </c>
      <c r="E930" s="101" t="s">
        <v>22</v>
      </c>
      <c r="F930" s="216" t="s">
        <v>49</v>
      </c>
      <c r="G930" s="3" t="s">
        <v>56</v>
      </c>
      <c r="H930" s="3" t="s">
        <v>56</v>
      </c>
      <c r="M930" s="151" t="str">
        <f t="shared" si="46"/>
        <v>/</v>
      </c>
      <c r="N930" s="151" t="str">
        <f t="shared" si="47"/>
        <v/>
      </c>
      <c r="Q930" s="239" t="str">
        <f t="shared" ca="1" si="45"/>
        <v/>
      </c>
    </row>
    <row r="931" spans="3:17" ht="15.75" hidden="1" customHeight="1" outlineLevel="1" x14ac:dyDescent="0.25">
      <c r="C931" s="207"/>
      <c r="D931" s="196">
        <v>42693</v>
      </c>
      <c r="E931" s="101" t="s">
        <v>14</v>
      </c>
      <c r="F931" s="216" t="s">
        <v>49</v>
      </c>
      <c r="G931" s="3" t="s">
        <v>56</v>
      </c>
      <c r="H931" s="3" t="s">
        <v>56</v>
      </c>
      <c r="M931" s="151" t="str">
        <f t="shared" si="46"/>
        <v>/</v>
      </c>
      <c r="N931" s="151" t="str">
        <f t="shared" si="47"/>
        <v/>
      </c>
      <c r="Q931" s="239" t="str">
        <f t="shared" ca="1" si="45"/>
        <v/>
      </c>
    </row>
    <row r="932" spans="3:17" ht="15.75" hidden="1" customHeight="1" outlineLevel="1" x14ac:dyDescent="0.25">
      <c r="C932" s="207"/>
      <c r="D932" s="196">
        <v>42695</v>
      </c>
      <c r="E932" s="101" t="s">
        <v>8</v>
      </c>
      <c r="F932" s="216" t="s">
        <v>50</v>
      </c>
      <c r="G932" s="3" t="s">
        <v>56</v>
      </c>
      <c r="H932" s="3" t="s">
        <v>56</v>
      </c>
      <c r="M932" s="151" t="str">
        <f t="shared" si="46"/>
        <v/>
      </c>
      <c r="N932" s="151" t="str">
        <f t="shared" si="47"/>
        <v>/</v>
      </c>
      <c r="Q932" s="239" t="str">
        <f t="shared" ca="1" si="45"/>
        <v/>
      </c>
    </row>
    <row r="933" spans="3:17" ht="15.75" hidden="1" customHeight="1" outlineLevel="1" x14ac:dyDescent="0.25">
      <c r="C933" s="207"/>
      <c r="D933" s="196">
        <v>42697</v>
      </c>
      <c r="E933" s="101" t="s">
        <v>25</v>
      </c>
      <c r="F933" s="216" t="s">
        <v>49</v>
      </c>
      <c r="G933" s="3" t="s">
        <v>56</v>
      </c>
      <c r="H933" s="3" t="s">
        <v>56</v>
      </c>
      <c r="M933" s="151" t="str">
        <f t="shared" si="46"/>
        <v>/</v>
      </c>
      <c r="N933" s="151" t="str">
        <f t="shared" si="47"/>
        <v/>
      </c>
      <c r="Q933" s="239" t="str">
        <f t="shared" ca="1" si="45"/>
        <v/>
      </c>
    </row>
    <row r="934" spans="3:17" ht="15.75" hidden="1" customHeight="1" outlineLevel="1" x14ac:dyDescent="0.25">
      <c r="C934" s="207"/>
      <c r="D934" s="196">
        <v>42699</v>
      </c>
      <c r="E934" s="101" t="s">
        <v>13</v>
      </c>
      <c r="F934" s="216" t="s">
        <v>49</v>
      </c>
      <c r="G934" s="3" t="s">
        <v>56</v>
      </c>
      <c r="H934" s="3" t="s">
        <v>56</v>
      </c>
      <c r="M934" s="151" t="str">
        <f t="shared" si="46"/>
        <v>/</v>
      </c>
      <c r="N934" s="151" t="str">
        <f t="shared" si="47"/>
        <v/>
      </c>
      <c r="Q934" s="239" t="str">
        <f t="shared" ca="1" si="45"/>
        <v/>
      </c>
    </row>
    <row r="935" spans="3:17" ht="15.75" hidden="1" customHeight="1" outlineLevel="1" x14ac:dyDescent="0.25">
      <c r="C935" s="207"/>
      <c r="D935" s="196">
        <v>42701</v>
      </c>
      <c r="E935" s="101" t="s">
        <v>8</v>
      </c>
      <c r="F935" s="216" t="s">
        <v>49</v>
      </c>
      <c r="G935" s="3" t="s">
        <v>56</v>
      </c>
      <c r="H935" s="3" t="s">
        <v>56</v>
      </c>
      <c r="M935" s="151" t="str">
        <f t="shared" si="46"/>
        <v>/</v>
      </c>
      <c r="N935" s="151" t="str">
        <f t="shared" si="47"/>
        <v/>
      </c>
      <c r="Q935" s="239" t="str">
        <f t="shared" ca="1" si="45"/>
        <v/>
      </c>
    </row>
    <row r="936" spans="3:17" ht="15.75" hidden="1" customHeight="1" outlineLevel="1" x14ac:dyDescent="0.25">
      <c r="C936" s="207"/>
      <c r="D936" s="196">
        <v>42703</v>
      </c>
      <c r="E936" s="101" t="s">
        <v>46</v>
      </c>
      <c r="F936" s="216" t="s">
        <v>50</v>
      </c>
      <c r="G936" s="3" t="s">
        <v>56</v>
      </c>
      <c r="H936" s="3" t="s">
        <v>56</v>
      </c>
      <c r="M936" s="151" t="str">
        <f t="shared" si="46"/>
        <v/>
      </c>
      <c r="N936" s="151" t="str">
        <f t="shared" si="47"/>
        <v>/</v>
      </c>
      <c r="Q936" s="239" t="str">
        <f t="shared" ca="1" si="45"/>
        <v/>
      </c>
    </row>
    <row r="937" spans="3:17" ht="15.75" hidden="1" customHeight="1" outlineLevel="1" x14ac:dyDescent="0.25">
      <c r="C937" s="208"/>
      <c r="D937" s="196">
        <v>42705</v>
      </c>
      <c r="E937" s="101" t="s">
        <v>20</v>
      </c>
      <c r="F937" s="216" t="s">
        <v>50</v>
      </c>
      <c r="G937" s="3" t="s">
        <v>56</v>
      </c>
      <c r="H937" s="3" t="s">
        <v>56</v>
      </c>
      <c r="M937" s="151" t="str">
        <f t="shared" si="46"/>
        <v/>
      </c>
      <c r="N937" s="151" t="str">
        <f t="shared" si="47"/>
        <v>/</v>
      </c>
      <c r="Q937" s="239" t="str">
        <f t="shared" ca="1" si="45"/>
        <v/>
      </c>
    </row>
    <row r="938" spans="3:17" ht="15.75" hidden="1" customHeight="1" outlineLevel="1" x14ac:dyDescent="0.25">
      <c r="C938" s="208"/>
      <c r="D938" s="196">
        <v>42706</v>
      </c>
      <c r="E938" s="101" t="s">
        <v>11</v>
      </c>
      <c r="F938" s="216" t="s">
        <v>50</v>
      </c>
      <c r="G938" s="3" t="s">
        <v>56</v>
      </c>
      <c r="H938" s="3" t="s">
        <v>56</v>
      </c>
      <c r="M938" s="151" t="str">
        <f t="shared" si="46"/>
        <v/>
      </c>
      <c r="N938" s="151" t="str">
        <f t="shared" si="47"/>
        <v>/</v>
      </c>
      <c r="Q938" s="239" t="str">
        <f t="shared" ca="1" si="45"/>
        <v/>
      </c>
    </row>
    <row r="939" spans="3:17" ht="15.75" hidden="1" customHeight="1" outlineLevel="1" x14ac:dyDescent="0.25">
      <c r="C939" s="208"/>
      <c r="D939" s="196">
        <v>42708</v>
      </c>
      <c r="E939" s="101" t="s">
        <v>5</v>
      </c>
      <c r="F939" s="216" t="s">
        <v>50</v>
      </c>
      <c r="G939" s="3" t="s">
        <v>56</v>
      </c>
      <c r="H939" s="3" t="s">
        <v>56</v>
      </c>
      <c r="M939" s="151" t="str">
        <f t="shared" si="46"/>
        <v/>
      </c>
      <c r="N939" s="151" t="str">
        <f t="shared" si="47"/>
        <v>/</v>
      </c>
      <c r="Q939" s="239" t="str">
        <f t="shared" ref="Q939:Q1002" ca="1" si="48">IF(D939=TODAY(),1,"")</f>
        <v/>
      </c>
    </row>
    <row r="940" spans="3:17" ht="15.75" hidden="1" customHeight="1" outlineLevel="1" x14ac:dyDescent="0.25">
      <c r="C940" s="208"/>
      <c r="D940" s="196">
        <v>42710</v>
      </c>
      <c r="E940" s="101" t="s">
        <v>13</v>
      </c>
      <c r="F940" s="216" t="s">
        <v>50</v>
      </c>
      <c r="G940" s="3" t="s">
        <v>56</v>
      </c>
      <c r="H940" s="3" t="s">
        <v>56</v>
      </c>
      <c r="M940" s="151" t="str">
        <f t="shared" si="46"/>
        <v/>
      </c>
      <c r="N940" s="151" t="str">
        <f t="shared" si="47"/>
        <v>/</v>
      </c>
      <c r="Q940" s="239" t="str">
        <f t="shared" ca="1" si="48"/>
        <v/>
      </c>
    </row>
    <row r="941" spans="3:17" ht="15.75" hidden="1" customHeight="1" outlineLevel="1" x14ac:dyDescent="0.25">
      <c r="C941" s="208"/>
      <c r="D941" s="196">
        <v>42711</v>
      </c>
      <c r="E941" s="101" t="s">
        <v>1</v>
      </c>
      <c r="F941" s="216" t="s">
        <v>49</v>
      </c>
      <c r="G941" s="3" t="s">
        <v>56</v>
      </c>
      <c r="H941" s="3" t="s">
        <v>56</v>
      </c>
      <c r="M941" s="151" t="str">
        <f t="shared" si="46"/>
        <v>/</v>
      </c>
      <c r="N941" s="151" t="str">
        <f t="shared" si="47"/>
        <v/>
      </c>
      <c r="Q941" s="239" t="str">
        <f t="shared" ca="1" si="48"/>
        <v/>
      </c>
    </row>
    <row r="942" spans="3:17" ht="15.75" hidden="1" customHeight="1" outlineLevel="1" x14ac:dyDescent="0.25">
      <c r="C942" s="208"/>
      <c r="D942" s="196">
        <v>42713</v>
      </c>
      <c r="E942" s="101" t="s">
        <v>3</v>
      </c>
      <c r="F942" s="216" t="s">
        <v>50</v>
      </c>
      <c r="G942" s="3" t="s">
        <v>56</v>
      </c>
      <c r="H942" s="3" t="s">
        <v>56</v>
      </c>
      <c r="M942" s="151" t="str">
        <f t="shared" si="46"/>
        <v/>
      </c>
      <c r="N942" s="151" t="str">
        <f t="shared" si="47"/>
        <v>/</v>
      </c>
      <c r="Q942" s="239" t="str">
        <f t="shared" ca="1" si="48"/>
        <v/>
      </c>
    </row>
    <row r="943" spans="3:17" ht="15.75" hidden="1" customHeight="1" outlineLevel="1" x14ac:dyDescent="0.25">
      <c r="C943" s="208"/>
      <c r="D943" s="196">
        <v>42714</v>
      </c>
      <c r="E943" s="101" t="s">
        <v>15</v>
      </c>
      <c r="F943" s="216" t="s">
        <v>49</v>
      </c>
      <c r="G943" s="3" t="s">
        <v>56</v>
      </c>
      <c r="H943" s="3" t="s">
        <v>56</v>
      </c>
      <c r="M943" s="151" t="str">
        <f t="shared" si="46"/>
        <v>/</v>
      </c>
      <c r="N943" s="151" t="str">
        <f t="shared" si="47"/>
        <v/>
      </c>
      <c r="Q943" s="239" t="str">
        <f t="shared" ca="1" si="48"/>
        <v/>
      </c>
    </row>
    <row r="944" spans="3:17" ht="15.75" hidden="1" customHeight="1" outlineLevel="1" x14ac:dyDescent="0.25">
      <c r="C944" s="208"/>
      <c r="D944" s="196">
        <v>42717</v>
      </c>
      <c r="E944" s="101" t="s">
        <v>0</v>
      </c>
      <c r="F944" s="216" t="s">
        <v>50</v>
      </c>
      <c r="G944" s="3" t="s">
        <v>56</v>
      </c>
      <c r="H944" s="3" t="s">
        <v>56</v>
      </c>
      <c r="M944" s="151" t="str">
        <f t="shared" si="46"/>
        <v/>
      </c>
      <c r="N944" s="151" t="str">
        <f t="shared" si="47"/>
        <v>/</v>
      </c>
      <c r="Q944" s="239" t="str">
        <f t="shared" ca="1" si="48"/>
        <v/>
      </c>
    </row>
    <row r="945" spans="3:17" ht="15.75" hidden="1" customHeight="1" outlineLevel="1" x14ac:dyDescent="0.25">
      <c r="C945" s="208"/>
      <c r="D945" s="196">
        <v>42718</v>
      </c>
      <c r="E945" s="101" t="s">
        <v>18</v>
      </c>
      <c r="F945" s="216" t="s">
        <v>49</v>
      </c>
      <c r="G945" s="3" t="s">
        <v>56</v>
      </c>
      <c r="H945" s="3" t="s">
        <v>56</v>
      </c>
      <c r="M945" s="151" t="str">
        <f t="shared" si="46"/>
        <v>/</v>
      </c>
      <c r="N945" s="151" t="str">
        <f t="shared" si="47"/>
        <v/>
      </c>
      <c r="Q945" s="239" t="str">
        <f t="shared" ca="1" si="48"/>
        <v/>
      </c>
    </row>
    <row r="946" spans="3:17" ht="15.75" hidden="1" customHeight="1" outlineLevel="1" x14ac:dyDescent="0.25">
      <c r="C946" s="208"/>
      <c r="D946" s="196">
        <v>42720</v>
      </c>
      <c r="E946" s="101" t="s">
        <v>45</v>
      </c>
      <c r="F946" s="216" t="s">
        <v>49</v>
      </c>
      <c r="G946" s="3" t="s">
        <v>56</v>
      </c>
      <c r="H946" s="3" t="s">
        <v>56</v>
      </c>
      <c r="M946" s="151" t="str">
        <f t="shared" si="46"/>
        <v>/</v>
      </c>
      <c r="N946" s="151" t="str">
        <f t="shared" si="47"/>
        <v/>
      </c>
      <c r="Q946" s="239" t="str">
        <f t="shared" ca="1" si="48"/>
        <v/>
      </c>
    </row>
    <row r="947" spans="3:17" ht="15.75" hidden="1" customHeight="1" outlineLevel="1" x14ac:dyDescent="0.25">
      <c r="C947" s="208"/>
      <c r="D947" s="196">
        <v>42722</v>
      </c>
      <c r="E947" s="101" t="s">
        <v>12</v>
      </c>
      <c r="F947" s="216" t="s">
        <v>49</v>
      </c>
      <c r="G947" s="3" t="s">
        <v>56</v>
      </c>
      <c r="H947" s="3" t="s">
        <v>56</v>
      </c>
      <c r="M947" s="151" t="str">
        <f t="shared" si="46"/>
        <v>/</v>
      </c>
      <c r="N947" s="151" t="str">
        <f t="shared" si="47"/>
        <v/>
      </c>
      <c r="Q947" s="239" t="str">
        <f t="shared" ca="1" si="48"/>
        <v/>
      </c>
    </row>
    <row r="948" spans="3:17" ht="15.75" hidden="1" customHeight="1" outlineLevel="1" x14ac:dyDescent="0.25">
      <c r="C948" s="208"/>
      <c r="D948" s="196">
        <v>42724</v>
      </c>
      <c r="E948" s="101" t="s">
        <v>6</v>
      </c>
      <c r="F948" s="216" t="s">
        <v>50</v>
      </c>
      <c r="G948" s="3" t="s">
        <v>56</v>
      </c>
      <c r="H948" s="3" t="s">
        <v>56</v>
      </c>
      <c r="M948" s="151" t="str">
        <f t="shared" si="46"/>
        <v/>
      </c>
      <c r="N948" s="151" t="str">
        <f t="shared" si="47"/>
        <v>/</v>
      </c>
      <c r="Q948" s="239" t="str">
        <f t="shared" ca="1" si="48"/>
        <v/>
      </c>
    </row>
    <row r="949" spans="3:17" ht="15.75" hidden="1" customHeight="1" outlineLevel="1" x14ac:dyDescent="0.25">
      <c r="C949" s="208"/>
      <c r="D949" s="196">
        <v>42726</v>
      </c>
      <c r="E949" s="101" t="s">
        <v>9</v>
      </c>
      <c r="F949" s="216" t="s">
        <v>50</v>
      </c>
      <c r="G949" s="3" t="s">
        <v>56</v>
      </c>
      <c r="H949" s="3" t="s">
        <v>56</v>
      </c>
      <c r="M949" s="151" t="str">
        <f t="shared" si="46"/>
        <v/>
      </c>
      <c r="N949" s="151" t="str">
        <f t="shared" si="47"/>
        <v>/</v>
      </c>
      <c r="Q949" s="239" t="str">
        <f t="shared" ca="1" si="48"/>
        <v/>
      </c>
    </row>
    <row r="950" spans="3:17" ht="15.75" hidden="1" customHeight="1" outlineLevel="1" x14ac:dyDescent="0.25">
      <c r="C950" s="208"/>
      <c r="D950" s="196">
        <v>42727</v>
      </c>
      <c r="E950" s="101" t="s">
        <v>644</v>
      </c>
      <c r="F950" s="216" t="s">
        <v>49</v>
      </c>
      <c r="G950" s="3" t="s">
        <v>56</v>
      </c>
      <c r="H950" s="3" t="s">
        <v>56</v>
      </c>
      <c r="M950" s="151" t="str">
        <f t="shared" si="46"/>
        <v>/</v>
      </c>
      <c r="N950" s="151" t="str">
        <f t="shared" si="47"/>
        <v/>
      </c>
      <c r="Q950" s="239" t="str">
        <f t="shared" ca="1" si="48"/>
        <v/>
      </c>
    </row>
    <row r="951" spans="3:17" ht="15.75" hidden="1" customHeight="1" outlineLevel="1" x14ac:dyDescent="0.25">
      <c r="C951" s="208"/>
      <c r="D951" s="196">
        <v>42730</v>
      </c>
      <c r="E951" s="101" t="s">
        <v>20</v>
      </c>
      <c r="F951" s="216" t="s">
        <v>49</v>
      </c>
      <c r="G951" s="3" t="s">
        <v>56</v>
      </c>
      <c r="H951" s="3" t="s">
        <v>56</v>
      </c>
      <c r="M951" s="151" t="str">
        <f t="shared" si="46"/>
        <v>/</v>
      </c>
      <c r="N951" s="151" t="str">
        <f t="shared" si="47"/>
        <v/>
      </c>
      <c r="Q951" s="239" t="str">
        <f t="shared" ca="1" si="48"/>
        <v/>
      </c>
    </row>
    <row r="952" spans="3:17" ht="15.75" hidden="1" customHeight="1" outlineLevel="1" x14ac:dyDescent="0.25">
      <c r="C952" s="208"/>
      <c r="D952" s="196">
        <v>42732</v>
      </c>
      <c r="E952" s="101" t="s">
        <v>3</v>
      </c>
      <c r="F952" s="216" t="s">
        <v>49</v>
      </c>
      <c r="G952" s="3" t="s">
        <v>56</v>
      </c>
      <c r="H952" s="3" t="s">
        <v>56</v>
      </c>
      <c r="M952" s="151" t="str">
        <f t="shared" si="46"/>
        <v>/</v>
      </c>
      <c r="N952" s="151" t="str">
        <f t="shared" si="47"/>
        <v/>
      </c>
      <c r="Q952" s="239" t="str">
        <f t="shared" ca="1" si="48"/>
        <v/>
      </c>
    </row>
    <row r="953" spans="3:17" ht="15.75" hidden="1" customHeight="1" outlineLevel="1" x14ac:dyDescent="0.25">
      <c r="C953" s="207"/>
      <c r="D953" s="196">
        <v>42370</v>
      </c>
      <c r="E953" s="101" t="s">
        <v>7</v>
      </c>
      <c r="F953" s="216" t="s">
        <v>50</v>
      </c>
      <c r="G953" s="3" t="s">
        <v>56</v>
      </c>
      <c r="H953" s="3" t="s">
        <v>56</v>
      </c>
      <c r="M953" s="151" t="str">
        <f t="shared" si="46"/>
        <v/>
      </c>
      <c r="N953" s="151" t="str">
        <f t="shared" si="47"/>
        <v>/</v>
      </c>
      <c r="Q953" s="239" t="str">
        <f t="shared" ca="1" si="48"/>
        <v/>
      </c>
    </row>
    <row r="954" spans="3:17" ht="15.75" hidden="1" customHeight="1" outlineLevel="1" x14ac:dyDescent="0.25">
      <c r="C954" s="207"/>
      <c r="D954" s="196">
        <v>42371</v>
      </c>
      <c r="E954" s="101" t="s">
        <v>9</v>
      </c>
      <c r="F954" s="216" t="s">
        <v>50</v>
      </c>
      <c r="G954" s="3" t="s">
        <v>56</v>
      </c>
      <c r="H954" s="3" t="s">
        <v>56</v>
      </c>
      <c r="M954" s="151" t="str">
        <f t="shared" si="46"/>
        <v/>
      </c>
      <c r="N954" s="151" t="str">
        <f t="shared" si="47"/>
        <v>/</v>
      </c>
      <c r="Q954" s="239" t="str">
        <f t="shared" ca="1" si="48"/>
        <v/>
      </c>
    </row>
    <row r="955" spans="3:17" ht="15.75" hidden="1" customHeight="1" outlineLevel="1" x14ac:dyDescent="0.25">
      <c r="C955" s="207"/>
      <c r="D955" s="196">
        <v>42373</v>
      </c>
      <c r="E955" s="101" t="s">
        <v>0</v>
      </c>
      <c r="F955" s="216" t="s">
        <v>49</v>
      </c>
      <c r="G955" s="3" t="s">
        <v>56</v>
      </c>
      <c r="H955" s="3" t="s">
        <v>56</v>
      </c>
      <c r="M955" s="151" t="str">
        <f t="shared" si="46"/>
        <v>/</v>
      </c>
      <c r="N955" s="151" t="str">
        <f t="shared" si="47"/>
        <v/>
      </c>
      <c r="Q955" s="239" t="str">
        <f t="shared" ca="1" si="48"/>
        <v/>
      </c>
    </row>
    <row r="956" spans="3:17" ht="15.75" hidden="1" customHeight="1" outlineLevel="1" x14ac:dyDescent="0.25">
      <c r="C956" s="207"/>
      <c r="D956" s="196">
        <v>42375</v>
      </c>
      <c r="E956" s="101" t="s">
        <v>17</v>
      </c>
      <c r="F956" s="216" t="s">
        <v>49</v>
      </c>
      <c r="G956" s="3" t="s">
        <v>56</v>
      </c>
      <c r="H956" s="3" t="s">
        <v>56</v>
      </c>
      <c r="M956" s="151" t="str">
        <f t="shared" si="46"/>
        <v>/</v>
      </c>
      <c r="N956" s="151" t="str">
        <f t="shared" si="47"/>
        <v/>
      </c>
      <c r="Q956" s="239" t="str">
        <f t="shared" ca="1" si="48"/>
        <v/>
      </c>
    </row>
    <row r="957" spans="3:17" ht="15.75" hidden="1" customHeight="1" outlineLevel="1" x14ac:dyDescent="0.25">
      <c r="C957" s="207"/>
      <c r="D957" s="196">
        <v>42377</v>
      </c>
      <c r="E957" s="101" t="s">
        <v>644</v>
      </c>
      <c r="F957" s="216" t="s">
        <v>50</v>
      </c>
      <c r="G957" s="3" t="s">
        <v>56</v>
      </c>
      <c r="H957" s="3" t="s">
        <v>56</v>
      </c>
      <c r="M957" s="151" t="str">
        <f t="shared" si="46"/>
        <v/>
      </c>
      <c r="N957" s="151" t="str">
        <f t="shared" si="47"/>
        <v>/</v>
      </c>
      <c r="Q957" s="239" t="str">
        <f t="shared" ca="1" si="48"/>
        <v/>
      </c>
    </row>
    <row r="958" spans="3:17" ht="15.75" hidden="1" customHeight="1" outlineLevel="1" x14ac:dyDescent="0.25">
      <c r="C958" s="207"/>
      <c r="D958" s="196">
        <v>42380</v>
      </c>
      <c r="E958" s="101" t="s">
        <v>18</v>
      </c>
      <c r="F958" s="216" t="s">
        <v>50</v>
      </c>
      <c r="G958" s="3" t="s">
        <v>56</v>
      </c>
      <c r="H958" s="3" t="s">
        <v>56</v>
      </c>
      <c r="M958" s="151" t="str">
        <f t="shared" si="46"/>
        <v/>
      </c>
      <c r="N958" s="151" t="str">
        <f t="shared" si="47"/>
        <v>/</v>
      </c>
      <c r="Q958" s="239" t="str">
        <f t="shared" ca="1" si="48"/>
        <v/>
      </c>
    </row>
    <row r="959" spans="3:17" ht="15.75" hidden="1" customHeight="1" outlineLevel="1" x14ac:dyDescent="0.25">
      <c r="C959" s="207"/>
      <c r="D959" s="196">
        <v>42382</v>
      </c>
      <c r="E959" s="101" t="s">
        <v>24</v>
      </c>
      <c r="F959" s="216" t="s">
        <v>50</v>
      </c>
      <c r="G959" s="3" t="s">
        <v>56</v>
      </c>
      <c r="H959" s="3" t="s">
        <v>56</v>
      </c>
      <c r="M959" s="151" t="str">
        <f t="shared" si="46"/>
        <v/>
      </c>
      <c r="N959" s="151" t="str">
        <f t="shared" si="47"/>
        <v>/</v>
      </c>
      <c r="Q959" s="239" t="str">
        <f t="shared" ca="1" si="48"/>
        <v/>
      </c>
    </row>
    <row r="960" spans="3:17" ht="15.75" hidden="1" customHeight="1" outlineLevel="1" x14ac:dyDescent="0.25">
      <c r="C960" s="207"/>
      <c r="D960" s="196">
        <v>42383</v>
      </c>
      <c r="E960" s="101" t="s">
        <v>28</v>
      </c>
      <c r="F960" s="216" t="s">
        <v>50</v>
      </c>
      <c r="G960" s="3" t="s">
        <v>56</v>
      </c>
      <c r="H960" s="3" t="s">
        <v>56</v>
      </c>
      <c r="M960" s="151" t="str">
        <f t="shared" si="46"/>
        <v/>
      </c>
      <c r="N960" s="151" t="str">
        <f t="shared" si="47"/>
        <v>/</v>
      </c>
      <c r="Q960" s="239" t="str">
        <f t="shared" ca="1" si="48"/>
        <v/>
      </c>
    </row>
    <row r="961" spans="3:17" ht="15.75" hidden="1" customHeight="1" outlineLevel="1" x14ac:dyDescent="0.25">
      <c r="C961" s="207"/>
      <c r="D961" s="196">
        <v>42385</v>
      </c>
      <c r="E961" s="101" t="s">
        <v>15</v>
      </c>
      <c r="F961" s="216" t="s">
        <v>50</v>
      </c>
      <c r="G961" s="3" t="s">
        <v>56</v>
      </c>
      <c r="H961" s="3" t="s">
        <v>56</v>
      </c>
      <c r="M961" s="151" t="str">
        <f t="shared" si="46"/>
        <v/>
      </c>
      <c r="N961" s="151" t="str">
        <f t="shared" si="47"/>
        <v>/</v>
      </c>
      <c r="Q961" s="239" t="str">
        <f t="shared" ca="1" si="48"/>
        <v/>
      </c>
    </row>
    <row r="962" spans="3:17" ht="15.75" hidden="1" customHeight="1" outlineLevel="1" x14ac:dyDescent="0.25">
      <c r="C962" s="207"/>
      <c r="D962" s="196">
        <v>42387</v>
      </c>
      <c r="E962" s="101" t="s">
        <v>22</v>
      </c>
      <c r="F962" s="216" t="s">
        <v>50</v>
      </c>
      <c r="G962" s="3" t="s">
        <v>56</v>
      </c>
      <c r="H962" s="3" t="s">
        <v>56</v>
      </c>
      <c r="M962" s="151" t="str">
        <f t="shared" si="46"/>
        <v/>
      </c>
      <c r="N962" s="151" t="str">
        <f t="shared" si="47"/>
        <v>/</v>
      </c>
      <c r="Q962" s="239" t="str">
        <f t="shared" ca="1" si="48"/>
        <v/>
      </c>
    </row>
    <row r="963" spans="3:17" ht="15.75" hidden="1" customHeight="1" outlineLevel="1" x14ac:dyDescent="0.25">
      <c r="C963" s="207"/>
      <c r="D963" s="196">
        <v>42389</v>
      </c>
      <c r="E963" s="101" t="s">
        <v>8</v>
      </c>
      <c r="F963" s="216" t="s">
        <v>49</v>
      </c>
      <c r="G963" s="3" t="s">
        <v>56</v>
      </c>
      <c r="H963" s="3" t="s">
        <v>56</v>
      </c>
      <c r="M963" s="151" t="str">
        <f t="shared" si="46"/>
        <v>/</v>
      </c>
      <c r="N963" s="151" t="str">
        <f t="shared" si="47"/>
        <v/>
      </c>
      <c r="Q963" s="239" t="str">
        <f t="shared" ca="1" si="48"/>
        <v/>
      </c>
    </row>
    <row r="964" spans="3:17" ht="15.75" hidden="1" customHeight="1" outlineLevel="1" x14ac:dyDescent="0.25">
      <c r="C964" s="207"/>
      <c r="D964" s="196">
        <v>42391</v>
      </c>
      <c r="E964" s="101" t="s">
        <v>16</v>
      </c>
      <c r="F964" s="216" t="s">
        <v>49</v>
      </c>
      <c r="G964" s="3" t="s">
        <v>56</v>
      </c>
      <c r="H964" s="3" t="s">
        <v>56</v>
      </c>
      <c r="M964" s="151" t="str">
        <f t="shared" si="46"/>
        <v>/</v>
      </c>
      <c r="N964" s="151" t="str">
        <f t="shared" si="47"/>
        <v/>
      </c>
      <c r="Q964" s="239" t="str">
        <f t="shared" ca="1" si="48"/>
        <v/>
      </c>
    </row>
    <row r="965" spans="3:17" ht="15.75" hidden="1" customHeight="1" outlineLevel="1" x14ac:dyDescent="0.25">
      <c r="C965" s="207"/>
      <c r="D965" s="196">
        <v>42393</v>
      </c>
      <c r="E965" s="101" t="s">
        <v>2</v>
      </c>
      <c r="F965" s="216" t="s">
        <v>49</v>
      </c>
      <c r="G965" s="3" t="s">
        <v>56</v>
      </c>
      <c r="H965" s="3" t="s">
        <v>56</v>
      </c>
      <c r="M965" s="151" t="str">
        <f t="shared" si="46"/>
        <v>/</v>
      </c>
      <c r="N965" s="151" t="str">
        <f t="shared" si="47"/>
        <v/>
      </c>
      <c r="Q965" s="239" t="str">
        <f t="shared" ca="1" si="48"/>
        <v/>
      </c>
    </row>
    <row r="966" spans="3:17" ht="15.75" hidden="1" customHeight="1" outlineLevel="1" x14ac:dyDescent="0.25">
      <c r="C966" s="207"/>
      <c r="D966" s="196">
        <v>42396</v>
      </c>
      <c r="E966" s="101" t="s">
        <v>1</v>
      </c>
      <c r="F966" s="216" t="s">
        <v>50</v>
      </c>
      <c r="G966" s="3" t="s">
        <v>56</v>
      </c>
      <c r="H966" s="3" t="s">
        <v>56</v>
      </c>
      <c r="M966" s="151" t="str">
        <f t="shared" si="46"/>
        <v/>
      </c>
      <c r="N966" s="151" t="str">
        <f t="shared" si="47"/>
        <v>/</v>
      </c>
      <c r="Q966" s="239" t="str">
        <f t="shared" ca="1" si="48"/>
        <v/>
      </c>
    </row>
    <row r="967" spans="3:17" ht="15.75" hidden="1" customHeight="1" outlineLevel="1" x14ac:dyDescent="0.25">
      <c r="C967" s="207"/>
      <c r="D967" s="196">
        <v>42398</v>
      </c>
      <c r="E967" s="101" t="s">
        <v>12</v>
      </c>
      <c r="F967" s="216" t="s">
        <v>50</v>
      </c>
      <c r="G967" s="3" t="s">
        <v>56</v>
      </c>
      <c r="H967" s="3" t="s">
        <v>56</v>
      </c>
      <c r="M967" s="151" t="str">
        <f t="shared" ref="M967:M1030" si="49">IF(F967="D",H967,"")</f>
        <v/>
      </c>
      <c r="N967" s="151" t="str">
        <f t="shared" ref="N967:N1030" si="50">IF(F967="E",H967,"")</f>
        <v>/</v>
      </c>
      <c r="Q967" s="239" t="str">
        <f t="shared" ca="1" si="48"/>
        <v/>
      </c>
    </row>
    <row r="968" spans="3:17" ht="15.75" hidden="1" customHeight="1" outlineLevel="1" x14ac:dyDescent="0.25">
      <c r="C968" s="207"/>
      <c r="D968" s="196">
        <v>42399</v>
      </c>
      <c r="E968" s="101" t="s">
        <v>21</v>
      </c>
      <c r="F968" s="216" t="s">
        <v>50</v>
      </c>
      <c r="G968" s="3" t="s">
        <v>56</v>
      </c>
      <c r="H968" s="3" t="s">
        <v>56</v>
      </c>
      <c r="M968" s="151" t="str">
        <f t="shared" si="49"/>
        <v/>
      </c>
      <c r="N968" s="151" t="str">
        <f t="shared" si="50"/>
        <v>/</v>
      </c>
      <c r="Q968" s="239" t="str">
        <f t="shared" ca="1" si="48"/>
        <v/>
      </c>
    </row>
    <row r="969" spans="3:17" ht="15.75" hidden="1" customHeight="1" outlineLevel="1" x14ac:dyDescent="0.25">
      <c r="C969" s="208"/>
      <c r="D969" s="196">
        <v>42401</v>
      </c>
      <c r="E969" s="101" t="s">
        <v>7</v>
      </c>
      <c r="F969" s="216" t="s">
        <v>49</v>
      </c>
      <c r="G969" s="3" t="s">
        <v>56</v>
      </c>
      <c r="H969" s="3" t="s">
        <v>56</v>
      </c>
      <c r="M969" s="151" t="str">
        <f t="shared" si="49"/>
        <v>/</v>
      </c>
      <c r="N969" s="151" t="str">
        <f t="shared" si="50"/>
        <v/>
      </c>
      <c r="Q969" s="239" t="str">
        <f t="shared" ca="1" si="48"/>
        <v/>
      </c>
    </row>
    <row r="970" spans="3:17" ht="15.75" hidden="1" customHeight="1" outlineLevel="1" x14ac:dyDescent="0.25">
      <c r="C970" s="208"/>
      <c r="D970" s="196">
        <v>42403</v>
      </c>
      <c r="E970" s="101" t="s">
        <v>12</v>
      </c>
      <c r="F970" s="216" t="s">
        <v>49</v>
      </c>
      <c r="G970" s="3" t="s">
        <v>56</v>
      </c>
      <c r="H970" s="3" t="s">
        <v>56</v>
      </c>
      <c r="M970" s="151" t="str">
        <f t="shared" si="49"/>
        <v>/</v>
      </c>
      <c r="N970" s="151" t="str">
        <f t="shared" si="50"/>
        <v/>
      </c>
      <c r="Q970" s="239" t="str">
        <f t="shared" ca="1" si="48"/>
        <v/>
      </c>
    </row>
    <row r="971" spans="3:17" ht="15.75" hidden="1" customHeight="1" outlineLevel="1" x14ac:dyDescent="0.25">
      <c r="C971" s="208"/>
      <c r="D971" s="196">
        <v>42404</v>
      </c>
      <c r="E971" s="101" t="s">
        <v>0</v>
      </c>
      <c r="F971" s="216" t="s">
        <v>50</v>
      </c>
      <c r="G971" s="3" t="s">
        <v>56</v>
      </c>
      <c r="H971" s="3" t="s">
        <v>56</v>
      </c>
      <c r="M971" s="151" t="str">
        <f t="shared" si="49"/>
        <v/>
      </c>
      <c r="N971" s="151" t="str">
        <f t="shared" si="50"/>
        <v>/</v>
      </c>
      <c r="Q971" s="239" t="str">
        <f t="shared" ca="1" si="48"/>
        <v/>
      </c>
    </row>
    <row r="972" spans="3:17" ht="15.75" hidden="1" customHeight="1" outlineLevel="1" x14ac:dyDescent="0.25">
      <c r="C972" s="208"/>
      <c r="D972" s="196">
        <v>42407</v>
      </c>
      <c r="E972" s="101" t="s">
        <v>17</v>
      </c>
      <c r="F972" s="216" t="s">
        <v>50</v>
      </c>
      <c r="G972" s="3" t="s">
        <v>56</v>
      </c>
      <c r="H972" s="3" t="s">
        <v>56</v>
      </c>
      <c r="M972" s="151" t="str">
        <f t="shared" si="49"/>
        <v/>
      </c>
      <c r="N972" s="151" t="str">
        <f t="shared" si="50"/>
        <v>/</v>
      </c>
      <c r="Q972" s="239" t="str">
        <f t="shared" ca="1" si="48"/>
        <v/>
      </c>
    </row>
    <row r="973" spans="3:17" ht="15.75" hidden="1" customHeight="1" outlineLevel="1" x14ac:dyDescent="0.25">
      <c r="C973" s="208"/>
      <c r="D973" s="196">
        <v>42409</v>
      </c>
      <c r="E973" s="101" t="s">
        <v>11</v>
      </c>
      <c r="F973" s="216" t="s">
        <v>49</v>
      </c>
      <c r="G973" s="3" t="s">
        <v>56</v>
      </c>
      <c r="H973" s="3" t="s">
        <v>56</v>
      </c>
      <c r="M973" s="151" t="str">
        <f t="shared" si="49"/>
        <v>/</v>
      </c>
      <c r="N973" s="151" t="str">
        <f t="shared" si="50"/>
        <v/>
      </c>
      <c r="Q973" s="239" t="str">
        <f t="shared" ca="1" si="48"/>
        <v/>
      </c>
    </row>
    <row r="974" spans="3:17" ht="15.75" hidden="1" customHeight="1" outlineLevel="1" x14ac:dyDescent="0.25">
      <c r="C974" s="208"/>
      <c r="D974" s="196">
        <v>42411</v>
      </c>
      <c r="E974" s="101" t="s">
        <v>14</v>
      </c>
      <c r="F974" s="216" t="s">
        <v>50</v>
      </c>
      <c r="G974" s="3" t="s">
        <v>56</v>
      </c>
      <c r="H974" s="3" t="s">
        <v>56</v>
      </c>
      <c r="M974" s="151" t="str">
        <f t="shared" si="49"/>
        <v/>
      </c>
      <c r="N974" s="151" t="str">
        <f t="shared" si="50"/>
        <v>/</v>
      </c>
      <c r="Q974" s="239" t="str">
        <f t="shared" ca="1" si="48"/>
        <v/>
      </c>
    </row>
    <row r="975" spans="3:17" ht="15.75" hidden="1" customHeight="1" outlineLevel="1" x14ac:dyDescent="0.25">
      <c r="C975" s="208"/>
      <c r="D975" s="196">
        <v>42413</v>
      </c>
      <c r="E975" s="101" t="s">
        <v>6</v>
      </c>
      <c r="F975" s="216" t="s">
        <v>50</v>
      </c>
      <c r="G975" s="3" t="s">
        <v>56</v>
      </c>
      <c r="H975" s="3" t="s">
        <v>56</v>
      </c>
      <c r="M975" s="151" t="str">
        <f t="shared" si="49"/>
        <v/>
      </c>
      <c r="N975" s="151" t="str">
        <f t="shared" si="50"/>
        <v>/</v>
      </c>
      <c r="Q975" s="239" t="str">
        <f t="shared" ca="1" si="48"/>
        <v/>
      </c>
    </row>
    <row r="976" spans="3:17" ht="15.75" hidden="1" customHeight="1" outlineLevel="1" x14ac:dyDescent="0.25">
      <c r="C976" s="208"/>
      <c r="D976" s="196">
        <v>42415</v>
      </c>
      <c r="E976" s="101" t="s">
        <v>46</v>
      </c>
      <c r="F976" s="216" t="s">
        <v>49</v>
      </c>
      <c r="G976" s="3" t="s">
        <v>56</v>
      </c>
      <c r="H976" s="3" t="s">
        <v>56</v>
      </c>
      <c r="M976" s="151" t="str">
        <f t="shared" si="49"/>
        <v>/</v>
      </c>
      <c r="N976" s="151" t="str">
        <f t="shared" si="50"/>
        <v/>
      </c>
      <c r="Q976" s="239" t="str">
        <f t="shared" ca="1" si="48"/>
        <v/>
      </c>
    </row>
    <row r="977" spans="3:17" ht="15.75" hidden="1" customHeight="1" outlineLevel="1" x14ac:dyDescent="0.25">
      <c r="C977" s="208"/>
      <c r="D977" s="196">
        <v>42423</v>
      </c>
      <c r="E977" s="101" t="s">
        <v>24</v>
      </c>
      <c r="F977" s="216" t="s">
        <v>49</v>
      </c>
      <c r="G977" s="3" t="s">
        <v>56</v>
      </c>
      <c r="H977" s="3" t="s">
        <v>56</v>
      </c>
      <c r="M977" s="151" t="str">
        <f t="shared" si="49"/>
        <v>/</v>
      </c>
      <c r="N977" s="151" t="str">
        <f t="shared" si="50"/>
        <v/>
      </c>
      <c r="Q977" s="239" t="str">
        <f t="shared" ca="1" si="48"/>
        <v/>
      </c>
    </row>
    <row r="978" spans="3:17" ht="15.75" hidden="1" customHeight="1" outlineLevel="1" x14ac:dyDescent="0.25">
      <c r="C978" s="208"/>
      <c r="D978" s="196">
        <v>42425</v>
      </c>
      <c r="E978" s="101" t="s">
        <v>0</v>
      </c>
      <c r="F978" s="216" t="s">
        <v>49</v>
      </c>
      <c r="G978" s="3" t="s">
        <v>56</v>
      </c>
      <c r="H978" s="3" t="s">
        <v>56</v>
      </c>
      <c r="M978" s="151" t="str">
        <f t="shared" si="49"/>
        <v>/</v>
      </c>
      <c r="N978" s="151" t="str">
        <f t="shared" si="50"/>
        <v/>
      </c>
      <c r="Q978" s="239" t="str">
        <f t="shared" ca="1" si="48"/>
        <v/>
      </c>
    </row>
    <row r="979" spans="3:17" ht="15.75" hidden="1" customHeight="1" outlineLevel="1" x14ac:dyDescent="0.25">
      <c r="C979" s="207"/>
      <c r="D979" s="196">
        <v>42430</v>
      </c>
      <c r="E979" s="101" t="s">
        <v>9</v>
      </c>
      <c r="F979" s="216" t="s">
        <v>49</v>
      </c>
      <c r="G979" s="3" t="s">
        <v>56</v>
      </c>
      <c r="H979" s="3" t="s">
        <v>56</v>
      </c>
      <c r="M979" s="151" t="str">
        <f t="shared" si="49"/>
        <v>/</v>
      </c>
      <c r="N979" s="151" t="str">
        <f t="shared" si="50"/>
        <v/>
      </c>
      <c r="Q979" s="239" t="str">
        <f t="shared" ca="1" si="48"/>
        <v/>
      </c>
    </row>
    <row r="980" spans="3:17" ht="15.75" hidden="1" customHeight="1" outlineLevel="1" x14ac:dyDescent="0.25">
      <c r="C980" s="207"/>
      <c r="D980" s="196">
        <v>42432</v>
      </c>
      <c r="E980" s="101" t="s">
        <v>6</v>
      </c>
      <c r="F980" s="216" t="s">
        <v>49</v>
      </c>
      <c r="G980" s="3" t="s">
        <v>56</v>
      </c>
      <c r="H980" s="3" t="s">
        <v>56</v>
      </c>
      <c r="M980" s="151" t="str">
        <f t="shared" si="49"/>
        <v>/</v>
      </c>
      <c r="N980" s="151" t="str">
        <f t="shared" si="50"/>
        <v/>
      </c>
      <c r="Q980" s="239" t="str">
        <f t="shared" ca="1" si="48"/>
        <v/>
      </c>
    </row>
    <row r="981" spans="3:17" ht="15.75" hidden="1" customHeight="1" outlineLevel="1" x14ac:dyDescent="0.25">
      <c r="C981" s="207"/>
      <c r="D981" s="196">
        <v>42434</v>
      </c>
      <c r="E981" s="101" t="s">
        <v>13</v>
      </c>
      <c r="F981" s="216" t="s">
        <v>50</v>
      </c>
      <c r="G981" s="3" t="s">
        <v>56</v>
      </c>
      <c r="H981" s="3" t="s">
        <v>56</v>
      </c>
      <c r="M981" s="151" t="str">
        <f t="shared" si="49"/>
        <v/>
      </c>
      <c r="N981" s="151" t="str">
        <f t="shared" si="50"/>
        <v>/</v>
      </c>
      <c r="Q981" s="239" t="str">
        <f t="shared" ca="1" si="48"/>
        <v/>
      </c>
    </row>
    <row r="982" spans="3:17" ht="15.75" hidden="1" customHeight="1" outlineLevel="1" x14ac:dyDescent="0.25">
      <c r="C982" s="207"/>
      <c r="D982" s="196">
        <v>42435</v>
      </c>
      <c r="E982" s="101" t="s">
        <v>9</v>
      </c>
      <c r="F982" s="216" t="s">
        <v>49</v>
      </c>
      <c r="G982" s="3" t="s">
        <v>56</v>
      </c>
      <c r="H982" s="3" t="s">
        <v>56</v>
      </c>
      <c r="M982" s="151" t="str">
        <f t="shared" si="49"/>
        <v>/</v>
      </c>
      <c r="N982" s="151" t="str">
        <f t="shared" si="50"/>
        <v/>
      </c>
      <c r="Q982" s="239" t="str">
        <f t="shared" ca="1" si="48"/>
        <v/>
      </c>
    </row>
    <row r="983" spans="3:17" ht="15.75" hidden="1" customHeight="1" outlineLevel="1" x14ac:dyDescent="0.25">
      <c r="C983" s="207"/>
      <c r="D983" s="196">
        <v>42437</v>
      </c>
      <c r="E983" s="101" t="s">
        <v>2</v>
      </c>
      <c r="F983" s="216" t="s">
        <v>49</v>
      </c>
      <c r="G983" s="3" t="s">
        <v>56</v>
      </c>
      <c r="H983" s="3" t="s">
        <v>56</v>
      </c>
      <c r="M983" s="151" t="str">
        <f t="shared" si="49"/>
        <v>/</v>
      </c>
      <c r="N983" s="151" t="str">
        <f t="shared" si="50"/>
        <v/>
      </c>
      <c r="Q983" s="239" t="str">
        <f t="shared" ca="1" si="48"/>
        <v/>
      </c>
    </row>
    <row r="984" spans="3:17" ht="15.75" hidden="1" customHeight="1" outlineLevel="1" x14ac:dyDescent="0.25">
      <c r="C984" s="207"/>
      <c r="D984" s="196">
        <v>42439</v>
      </c>
      <c r="E984" s="101" t="s">
        <v>3</v>
      </c>
      <c r="F984" s="216" t="s">
        <v>50</v>
      </c>
      <c r="G984" s="3" t="s">
        <v>56</v>
      </c>
      <c r="H984" s="3" t="s">
        <v>56</v>
      </c>
      <c r="M984" s="151" t="str">
        <f t="shared" si="49"/>
        <v/>
      </c>
      <c r="N984" s="151" t="str">
        <f t="shared" si="50"/>
        <v>/</v>
      </c>
      <c r="Q984" s="239" t="str">
        <f t="shared" ca="1" si="48"/>
        <v/>
      </c>
    </row>
    <row r="985" spans="3:17" ht="15.75" hidden="1" customHeight="1" outlineLevel="1" x14ac:dyDescent="0.25">
      <c r="C985" s="207"/>
      <c r="D985" s="196">
        <v>42440</v>
      </c>
      <c r="E985" s="101" t="s">
        <v>4</v>
      </c>
      <c r="F985" s="216" t="s">
        <v>49</v>
      </c>
      <c r="G985" s="3" t="s">
        <v>56</v>
      </c>
      <c r="H985" s="3" t="s">
        <v>56</v>
      </c>
      <c r="M985" s="151" t="str">
        <f t="shared" si="49"/>
        <v>/</v>
      </c>
      <c r="N985" s="151" t="str">
        <f t="shared" si="50"/>
        <v/>
      </c>
      <c r="Q985" s="239" t="str">
        <f t="shared" ca="1" si="48"/>
        <v/>
      </c>
    </row>
    <row r="986" spans="3:17" ht="15.75" hidden="1" customHeight="1" outlineLevel="1" x14ac:dyDescent="0.25">
      <c r="C986" s="207"/>
      <c r="D986" s="196">
        <v>42442</v>
      </c>
      <c r="E986" s="101" t="s">
        <v>26</v>
      </c>
      <c r="F986" s="216" t="s">
        <v>50</v>
      </c>
      <c r="G986" s="3" t="s">
        <v>56</v>
      </c>
      <c r="H986" s="3" t="s">
        <v>56</v>
      </c>
      <c r="M986" s="151" t="str">
        <f t="shared" si="49"/>
        <v/>
      </c>
      <c r="N986" s="151" t="str">
        <f t="shared" si="50"/>
        <v>/</v>
      </c>
      <c r="Q986" s="239" t="str">
        <f t="shared" ca="1" si="48"/>
        <v/>
      </c>
    </row>
    <row r="987" spans="3:17" ht="15.75" hidden="1" customHeight="1" outlineLevel="1" x14ac:dyDescent="0.25">
      <c r="C987" s="207"/>
      <c r="D987" s="196">
        <v>42445</v>
      </c>
      <c r="E987" s="101" t="s">
        <v>16</v>
      </c>
      <c r="F987" s="216" t="s">
        <v>50</v>
      </c>
      <c r="G987" s="3" t="s">
        <v>56</v>
      </c>
      <c r="H987" s="3" t="s">
        <v>56</v>
      </c>
      <c r="M987" s="151" t="str">
        <f t="shared" si="49"/>
        <v/>
      </c>
      <c r="N987" s="151" t="str">
        <f t="shared" si="50"/>
        <v>/</v>
      </c>
      <c r="Q987" s="239" t="str">
        <f t="shared" ca="1" si="48"/>
        <v/>
      </c>
    </row>
    <row r="988" spans="3:17" ht="15.75" hidden="1" customHeight="1" outlineLevel="1" x14ac:dyDescent="0.25">
      <c r="C988" s="207"/>
      <c r="D988" s="196">
        <v>42446</v>
      </c>
      <c r="E988" s="101" t="s">
        <v>25</v>
      </c>
      <c r="F988" s="216" t="s">
        <v>50</v>
      </c>
      <c r="G988" s="3" t="s">
        <v>56</v>
      </c>
      <c r="H988" s="3" t="s">
        <v>56</v>
      </c>
      <c r="M988" s="151" t="str">
        <f t="shared" si="49"/>
        <v/>
      </c>
      <c r="N988" s="151" t="str">
        <f t="shared" si="50"/>
        <v>/</v>
      </c>
      <c r="Q988" s="239" t="str">
        <f t="shared" ca="1" si="48"/>
        <v/>
      </c>
    </row>
    <row r="989" spans="3:17" ht="15.75" hidden="1" customHeight="1" outlineLevel="1" x14ac:dyDescent="0.25">
      <c r="C989" s="207"/>
      <c r="D989" s="196">
        <v>42449</v>
      </c>
      <c r="E989" s="101" t="s">
        <v>11</v>
      </c>
      <c r="F989" s="216" t="s">
        <v>49</v>
      </c>
      <c r="G989" s="3" t="s">
        <v>56</v>
      </c>
      <c r="H989" s="3" t="s">
        <v>56</v>
      </c>
      <c r="M989" s="151" t="str">
        <f t="shared" si="49"/>
        <v>/</v>
      </c>
      <c r="N989" s="151" t="str">
        <f t="shared" si="50"/>
        <v/>
      </c>
      <c r="Q989" s="239" t="str">
        <f t="shared" ca="1" si="48"/>
        <v/>
      </c>
    </row>
    <row r="990" spans="3:17" ht="15.75" hidden="1" customHeight="1" outlineLevel="1" x14ac:dyDescent="0.25">
      <c r="C990" s="207"/>
      <c r="D990" s="196">
        <v>42451</v>
      </c>
      <c r="E990" s="101" t="s">
        <v>3</v>
      </c>
      <c r="F990" s="216" t="s">
        <v>49</v>
      </c>
      <c r="G990" s="3" t="s">
        <v>56</v>
      </c>
      <c r="H990" s="3" t="s">
        <v>56</v>
      </c>
      <c r="M990" s="151" t="str">
        <f t="shared" si="49"/>
        <v>/</v>
      </c>
      <c r="N990" s="151" t="str">
        <f t="shared" si="50"/>
        <v/>
      </c>
      <c r="Q990" s="239" t="str">
        <f t="shared" ca="1" si="48"/>
        <v/>
      </c>
    </row>
    <row r="991" spans="3:17" ht="15.75" hidden="1" customHeight="1" outlineLevel="1" x14ac:dyDescent="0.25">
      <c r="C991" s="207"/>
      <c r="D991" s="196">
        <v>42453</v>
      </c>
      <c r="E991" s="101" t="s">
        <v>5</v>
      </c>
      <c r="F991" s="216" t="s">
        <v>49</v>
      </c>
      <c r="G991" s="3" t="s">
        <v>56</v>
      </c>
      <c r="H991" s="3" t="s">
        <v>56</v>
      </c>
      <c r="M991" s="151" t="str">
        <f t="shared" si="49"/>
        <v>/</v>
      </c>
      <c r="N991" s="151" t="str">
        <f t="shared" si="50"/>
        <v/>
      </c>
      <c r="Q991" s="239" t="str">
        <f t="shared" ca="1" si="48"/>
        <v/>
      </c>
    </row>
    <row r="992" spans="3:17" ht="15.75" hidden="1" customHeight="1" outlineLevel="1" x14ac:dyDescent="0.25">
      <c r="C992" s="207"/>
      <c r="D992" s="196">
        <v>42456</v>
      </c>
      <c r="E992" s="101" t="s">
        <v>12</v>
      </c>
      <c r="F992" s="216" t="s">
        <v>50</v>
      </c>
      <c r="G992" s="3" t="s">
        <v>56</v>
      </c>
      <c r="H992" s="3" t="s">
        <v>56</v>
      </c>
      <c r="M992" s="151" t="str">
        <f t="shared" si="49"/>
        <v/>
      </c>
      <c r="N992" s="151" t="str">
        <f t="shared" si="50"/>
        <v>/</v>
      </c>
      <c r="Q992" s="239" t="str">
        <f t="shared" ca="1" si="48"/>
        <v/>
      </c>
    </row>
    <row r="993" spans="2:17" ht="15.75" hidden="1" customHeight="1" outlineLevel="1" x14ac:dyDescent="0.25">
      <c r="C993" s="207"/>
      <c r="D993" s="196">
        <v>42458</v>
      </c>
      <c r="E993" s="101" t="s">
        <v>23</v>
      </c>
      <c r="F993" s="216" t="s">
        <v>49</v>
      </c>
      <c r="G993" s="3" t="s">
        <v>56</v>
      </c>
      <c r="H993" s="3" t="s">
        <v>56</v>
      </c>
      <c r="M993" s="151" t="str">
        <f t="shared" si="49"/>
        <v>/</v>
      </c>
      <c r="N993" s="151" t="str">
        <f t="shared" si="50"/>
        <v/>
      </c>
      <c r="Q993" s="239" t="str">
        <f t="shared" ca="1" si="48"/>
        <v/>
      </c>
    </row>
    <row r="994" spans="2:17" ht="15.75" hidden="1" customHeight="1" outlineLevel="1" x14ac:dyDescent="0.25">
      <c r="C994" s="207"/>
      <c r="D994" s="196">
        <v>42460</v>
      </c>
      <c r="E994" s="101" t="s">
        <v>1</v>
      </c>
      <c r="F994" s="216" t="s">
        <v>50</v>
      </c>
      <c r="G994" s="3" t="s">
        <v>56</v>
      </c>
      <c r="H994" s="3" t="s">
        <v>56</v>
      </c>
      <c r="M994" s="151" t="str">
        <f t="shared" si="49"/>
        <v/>
      </c>
      <c r="N994" s="151" t="str">
        <f t="shared" si="50"/>
        <v>/</v>
      </c>
      <c r="Q994" s="239" t="str">
        <f t="shared" ca="1" si="48"/>
        <v/>
      </c>
    </row>
    <row r="995" spans="2:17" ht="15.75" hidden="1" customHeight="1" outlineLevel="1" x14ac:dyDescent="0.25">
      <c r="C995" s="208"/>
      <c r="D995" s="196">
        <v>42461</v>
      </c>
      <c r="E995" s="101" t="s">
        <v>45</v>
      </c>
      <c r="F995" s="216" t="s">
        <v>50</v>
      </c>
      <c r="G995" s="3" t="s">
        <v>56</v>
      </c>
      <c r="H995" s="3" t="s">
        <v>56</v>
      </c>
      <c r="M995" s="151" t="str">
        <f t="shared" si="49"/>
        <v/>
      </c>
      <c r="N995" s="151" t="str">
        <f t="shared" si="50"/>
        <v>/</v>
      </c>
      <c r="Q995" s="239" t="str">
        <f t="shared" ca="1" si="48"/>
        <v/>
      </c>
    </row>
    <row r="996" spans="2:17" ht="15.75" hidden="1" customHeight="1" outlineLevel="1" x14ac:dyDescent="0.25">
      <c r="C996" s="208"/>
      <c r="D996" s="196">
        <v>42464</v>
      </c>
      <c r="E996" s="101" t="s">
        <v>4</v>
      </c>
      <c r="F996" s="216" t="s">
        <v>50</v>
      </c>
      <c r="G996" s="3" t="s">
        <v>56</v>
      </c>
      <c r="H996" s="3" t="s">
        <v>56</v>
      </c>
      <c r="M996" s="151" t="str">
        <f t="shared" si="49"/>
        <v/>
      </c>
      <c r="N996" s="151" t="str">
        <f t="shared" si="50"/>
        <v>/</v>
      </c>
      <c r="Q996" s="239" t="str">
        <f t="shared" ca="1" si="48"/>
        <v/>
      </c>
    </row>
    <row r="997" spans="2:17" ht="15.75" hidden="1" customHeight="1" outlineLevel="1" x14ac:dyDescent="0.25">
      <c r="C997" s="208"/>
      <c r="D997" s="196">
        <v>42466</v>
      </c>
      <c r="E997" s="101" t="s">
        <v>45</v>
      </c>
      <c r="F997" s="216" t="s">
        <v>49</v>
      </c>
      <c r="G997" s="3" t="s">
        <v>56</v>
      </c>
      <c r="H997" s="3" t="s">
        <v>56</v>
      </c>
      <c r="M997" s="151" t="str">
        <f t="shared" si="49"/>
        <v>/</v>
      </c>
      <c r="N997" s="151" t="str">
        <f t="shared" si="50"/>
        <v/>
      </c>
      <c r="Q997" s="239" t="str">
        <f t="shared" ca="1" si="48"/>
        <v/>
      </c>
    </row>
    <row r="998" spans="2:17" ht="15.75" hidden="1" customHeight="1" outlineLevel="1" x14ac:dyDescent="0.25">
      <c r="C998" s="208"/>
      <c r="D998" s="196">
        <v>42468</v>
      </c>
      <c r="E998" s="101" t="s">
        <v>7</v>
      </c>
      <c r="F998" s="216" t="s">
        <v>49</v>
      </c>
      <c r="G998" s="3" t="s">
        <v>56</v>
      </c>
      <c r="H998" s="3" t="s">
        <v>56</v>
      </c>
      <c r="M998" s="151" t="str">
        <f t="shared" si="49"/>
        <v>/</v>
      </c>
      <c r="N998" s="151" t="str">
        <f t="shared" si="50"/>
        <v/>
      </c>
      <c r="Q998" s="239" t="str">
        <f t="shared" ca="1" si="48"/>
        <v/>
      </c>
    </row>
    <row r="999" spans="2:17" ht="15.75" hidden="1" customHeight="1" outlineLevel="1" x14ac:dyDescent="0.25">
      <c r="C999" s="208"/>
      <c r="D999" s="196">
        <v>42470</v>
      </c>
      <c r="E999" s="101" t="s">
        <v>2</v>
      </c>
      <c r="F999" s="216" t="s">
        <v>50</v>
      </c>
      <c r="G999" s="3" t="s">
        <v>56</v>
      </c>
      <c r="H999" s="3" t="s">
        <v>56</v>
      </c>
      <c r="M999" s="151" t="str">
        <f t="shared" si="49"/>
        <v/>
      </c>
      <c r="N999" s="151" t="str">
        <f t="shared" si="50"/>
        <v>/</v>
      </c>
      <c r="Q999" s="239" t="str">
        <f t="shared" ca="1" si="48"/>
        <v/>
      </c>
    </row>
    <row r="1000" spans="2:17" ht="15.75" hidden="1" customHeight="1" outlineLevel="1" x14ac:dyDescent="0.25">
      <c r="C1000" s="208"/>
      <c r="D1000" s="196">
        <v>42472</v>
      </c>
      <c r="E1000" s="102" t="s">
        <v>5</v>
      </c>
      <c r="F1000" s="217" t="s">
        <v>49</v>
      </c>
      <c r="G1000" s="3" t="s">
        <v>56</v>
      </c>
      <c r="H1000" s="3" t="s">
        <v>56</v>
      </c>
      <c r="M1000" s="151" t="str">
        <f t="shared" si="49"/>
        <v>/</v>
      </c>
      <c r="N1000" s="151" t="str">
        <f t="shared" si="50"/>
        <v/>
      </c>
      <c r="Q1000" s="239" t="str">
        <f t="shared" ca="1" si="48"/>
        <v/>
      </c>
    </row>
    <row r="1001" spans="2:17" collapsed="1" x14ac:dyDescent="0.25">
      <c r="B1001" s="404" t="e">
        <f ca="1">"- "&amp;INDEX(E1002:E1083,MATCH(TODAY(),D1002:D1083,0))</f>
        <v>#N/A</v>
      </c>
      <c r="C1001" s="404"/>
      <c r="D1001" s="406" t="s">
        <v>254</v>
      </c>
      <c r="E1001" s="407"/>
      <c r="F1001" s="408"/>
      <c r="H1001" s="3"/>
      <c r="Q1001" s="239" t="str">
        <f t="shared" ca="1" si="48"/>
        <v/>
      </c>
    </row>
    <row r="1002" spans="2:17" ht="16.5" hidden="1" customHeight="1" outlineLevel="1" x14ac:dyDescent="0.25">
      <c r="C1002" s="207"/>
      <c r="D1002" s="196">
        <v>42669</v>
      </c>
      <c r="E1002" s="103" t="s">
        <v>23</v>
      </c>
      <c r="F1002" s="215" t="s">
        <v>49</v>
      </c>
      <c r="G1002" s="3">
        <v>0</v>
      </c>
      <c r="H1002" s="3">
        <v>97</v>
      </c>
      <c r="I1002" s="151">
        <v>29</v>
      </c>
      <c r="J1002" s="151">
        <v>48</v>
      </c>
      <c r="K1002" s="151">
        <v>72</v>
      </c>
      <c r="L1002" s="151">
        <v>43</v>
      </c>
      <c r="M1002" s="151">
        <f t="shared" si="49"/>
        <v>97</v>
      </c>
      <c r="N1002" s="151" t="str">
        <f t="shared" si="50"/>
        <v/>
      </c>
      <c r="O1002" s="151">
        <v>103</v>
      </c>
      <c r="Q1002" s="239" t="str">
        <f t="shared" ca="1" si="48"/>
        <v/>
      </c>
    </row>
    <row r="1003" spans="2:17" ht="15.75" hidden="1" customHeight="1" outlineLevel="1" x14ac:dyDescent="0.25">
      <c r="C1003" s="207"/>
      <c r="D1003" s="196">
        <v>42672</v>
      </c>
      <c r="E1003" s="101" t="s">
        <v>0</v>
      </c>
      <c r="F1003" s="216" t="s">
        <v>49</v>
      </c>
      <c r="G1003" s="3" t="s">
        <v>56</v>
      </c>
      <c r="H1003" s="3" t="s">
        <v>56</v>
      </c>
      <c r="M1003" s="151" t="str">
        <f t="shared" si="49"/>
        <v>/</v>
      </c>
      <c r="N1003" s="151" t="str">
        <f t="shared" si="50"/>
        <v/>
      </c>
      <c r="Q1003" s="239" t="str">
        <f t="shared" ref="Q1003:Q1066" ca="1" si="51">IF(D1003=TODAY(),1,"")</f>
        <v/>
      </c>
    </row>
    <row r="1004" spans="2:17" ht="15.75" hidden="1" customHeight="1" outlineLevel="1" x14ac:dyDescent="0.25">
      <c r="C1004" s="207"/>
      <c r="D1004" s="196">
        <v>42675</v>
      </c>
      <c r="E1004" s="101" t="s">
        <v>10</v>
      </c>
      <c r="F1004" s="216" t="s">
        <v>49</v>
      </c>
      <c r="G1004" s="3" t="s">
        <v>56</v>
      </c>
      <c r="H1004" s="3" t="s">
        <v>56</v>
      </c>
      <c r="M1004" s="151" t="str">
        <f t="shared" si="49"/>
        <v>/</v>
      </c>
      <c r="N1004" s="151" t="str">
        <f t="shared" si="50"/>
        <v/>
      </c>
      <c r="Q1004" s="239" t="str">
        <f t="shared" ca="1" si="51"/>
        <v/>
      </c>
    </row>
    <row r="1005" spans="2:17" ht="15.75" hidden="1" customHeight="1" outlineLevel="1" x14ac:dyDescent="0.25">
      <c r="C1005" s="207"/>
      <c r="D1005" s="196">
        <v>42676</v>
      </c>
      <c r="E1005" s="101" t="s">
        <v>3</v>
      </c>
      <c r="F1005" s="216" t="s">
        <v>50</v>
      </c>
      <c r="G1005" s="3" t="s">
        <v>56</v>
      </c>
      <c r="H1005" s="3" t="s">
        <v>56</v>
      </c>
      <c r="M1005" s="151" t="str">
        <f t="shared" si="49"/>
        <v/>
      </c>
      <c r="N1005" s="151" t="str">
        <f t="shared" si="50"/>
        <v>/</v>
      </c>
      <c r="Q1005" s="239" t="str">
        <f t="shared" ca="1" si="51"/>
        <v/>
      </c>
    </row>
    <row r="1006" spans="2:17" ht="15.75" hidden="1" customHeight="1" outlineLevel="1" x14ac:dyDescent="0.25">
      <c r="C1006" s="207"/>
      <c r="D1006" s="196">
        <v>42679</v>
      </c>
      <c r="E1006" s="101" t="s">
        <v>4</v>
      </c>
      <c r="F1006" s="216" t="s">
        <v>49</v>
      </c>
      <c r="G1006" s="3" t="s">
        <v>56</v>
      </c>
      <c r="H1006" s="3" t="s">
        <v>56</v>
      </c>
      <c r="M1006" s="151" t="str">
        <f t="shared" si="49"/>
        <v>/</v>
      </c>
      <c r="N1006" s="151" t="str">
        <f t="shared" si="50"/>
        <v/>
      </c>
      <c r="Q1006" s="239" t="str">
        <f t="shared" ca="1" si="51"/>
        <v/>
      </c>
    </row>
    <row r="1007" spans="2:17" ht="15.75" hidden="1" customHeight="1" outlineLevel="1" x14ac:dyDescent="0.25">
      <c r="C1007" s="207"/>
      <c r="D1007" s="196">
        <v>42681</v>
      </c>
      <c r="E1007" s="101" t="s">
        <v>28</v>
      </c>
      <c r="F1007" s="216" t="s">
        <v>49</v>
      </c>
      <c r="G1007" s="3" t="s">
        <v>56</v>
      </c>
      <c r="H1007" s="3" t="s">
        <v>56</v>
      </c>
      <c r="M1007" s="151" t="str">
        <f t="shared" si="49"/>
        <v>/</v>
      </c>
      <c r="N1007" s="151" t="str">
        <f t="shared" si="50"/>
        <v/>
      </c>
      <c r="Q1007" s="239" t="str">
        <f t="shared" ca="1" si="51"/>
        <v/>
      </c>
    </row>
    <row r="1008" spans="2:17" ht="15.75" hidden="1" customHeight="1" outlineLevel="1" x14ac:dyDescent="0.25">
      <c r="C1008" s="207"/>
      <c r="D1008" s="196">
        <v>42683</v>
      </c>
      <c r="E1008" s="101" t="s">
        <v>7</v>
      </c>
      <c r="F1008" s="216" t="s">
        <v>50</v>
      </c>
      <c r="G1008" s="3" t="s">
        <v>56</v>
      </c>
      <c r="H1008" s="3" t="s">
        <v>56</v>
      </c>
      <c r="M1008" s="151" t="str">
        <f t="shared" si="49"/>
        <v/>
      </c>
      <c r="N1008" s="151" t="str">
        <f t="shared" si="50"/>
        <v>/</v>
      </c>
      <c r="Q1008" s="239" t="str">
        <f t="shared" ca="1" si="51"/>
        <v/>
      </c>
    </row>
    <row r="1009" spans="3:17" ht="15.75" hidden="1" customHeight="1" outlineLevel="1" x14ac:dyDescent="0.25">
      <c r="C1009" s="207"/>
      <c r="D1009" s="196">
        <v>42685</v>
      </c>
      <c r="E1009" s="101" t="s">
        <v>7</v>
      </c>
      <c r="F1009" s="216" t="s">
        <v>49</v>
      </c>
      <c r="G1009" s="3" t="s">
        <v>56</v>
      </c>
      <c r="H1009" s="3" t="s">
        <v>56</v>
      </c>
      <c r="M1009" s="151" t="str">
        <f t="shared" si="49"/>
        <v>/</v>
      </c>
      <c r="N1009" s="151" t="str">
        <f t="shared" si="50"/>
        <v/>
      </c>
      <c r="Q1009" s="239" t="str">
        <f t="shared" ca="1" si="51"/>
        <v/>
      </c>
    </row>
    <row r="1010" spans="3:17" ht="15.75" hidden="1" customHeight="1" outlineLevel="1" x14ac:dyDescent="0.25">
      <c r="C1010" s="207"/>
      <c r="D1010" s="196">
        <v>42686</v>
      </c>
      <c r="E1010" s="101" t="s">
        <v>0</v>
      </c>
      <c r="F1010" s="216" t="s">
        <v>50</v>
      </c>
      <c r="G1010" s="3" t="s">
        <v>56</v>
      </c>
      <c r="H1010" s="3" t="s">
        <v>56</v>
      </c>
      <c r="M1010" s="151" t="str">
        <f t="shared" si="49"/>
        <v/>
      </c>
      <c r="N1010" s="151" t="str">
        <f t="shared" si="50"/>
        <v>/</v>
      </c>
      <c r="Q1010" s="239" t="str">
        <f t="shared" ca="1" si="51"/>
        <v/>
      </c>
    </row>
    <row r="1011" spans="3:17" ht="15.75" hidden="1" customHeight="1" outlineLevel="1" x14ac:dyDescent="0.25">
      <c r="C1011" s="207"/>
      <c r="D1011" s="196">
        <v>42688</v>
      </c>
      <c r="E1011" s="101" t="s">
        <v>17</v>
      </c>
      <c r="F1011" s="216" t="s">
        <v>50</v>
      </c>
      <c r="G1011" s="3" t="s">
        <v>56</v>
      </c>
      <c r="H1011" s="3" t="s">
        <v>56</v>
      </c>
      <c r="M1011" s="151" t="str">
        <f t="shared" si="49"/>
        <v/>
      </c>
      <c r="N1011" s="151" t="str">
        <f t="shared" si="50"/>
        <v>/</v>
      </c>
      <c r="Q1011" s="239" t="str">
        <f t="shared" ca="1" si="51"/>
        <v/>
      </c>
    </row>
    <row r="1012" spans="3:17" ht="15.75" hidden="1" customHeight="1" outlineLevel="1" x14ac:dyDescent="0.25">
      <c r="C1012" s="207"/>
      <c r="D1012" s="196">
        <v>42690</v>
      </c>
      <c r="E1012" s="101" t="s">
        <v>13</v>
      </c>
      <c r="F1012" s="216" t="s">
        <v>49</v>
      </c>
      <c r="G1012" s="3" t="s">
        <v>56</v>
      </c>
      <c r="H1012" s="3" t="s">
        <v>56</v>
      </c>
      <c r="M1012" s="151" t="str">
        <f t="shared" si="49"/>
        <v>/</v>
      </c>
      <c r="N1012" s="151" t="str">
        <f t="shared" si="50"/>
        <v/>
      </c>
      <c r="Q1012" s="239" t="str">
        <f t="shared" ca="1" si="51"/>
        <v/>
      </c>
    </row>
    <row r="1013" spans="3:17" ht="15.75" hidden="1" customHeight="1" outlineLevel="1" x14ac:dyDescent="0.25">
      <c r="C1013" s="207"/>
      <c r="D1013" s="196">
        <v>42691</v>
      </c>
      <c r="E1013" s="101" t="s">
        <v>21</v>
      </c>
      <c r="F1013" s="216" t="s">
        <v>50</v>
      </c>
      <c r="G1013" s="3" t="s">
        <v>56</v>
      </c>
      <c r="H1013" s="3" t="s">
        <v>56</v>
      </c>
      <c r="M1013" s="151" t="str">
        <f t="shared" si="49"/>
        <v/>
      </c>
      <c r="N1013" s="151" t="str">
        <f t="shared" si="50"/>
        <v>/</v>
      </c>
      <c r="Q1013" s="239" t="str">
        <f t="shared" ca="1" si="51"/>
        <v/>
      </c>
    </row>
    <row r="1014" spans="3:17" ht="15.75" hidden="1" customHeight="1" outlineLevel="1" x14ac:dyDescent="0.25">
      <c r="C1014" s="207"/>
      <c r="D1014" s="196">
        <v>42693</v>
      </c>
      <c r="E1014" s="101" t="s">
        <v>25</v>
      </c>
      <c r="F1014" s="216" t="s">
        <v>49</v>
      </c>
      <c r="G1014" s="3" t="s">
        <v>56</v>
      </c>
      <c r="H1014" s="3" t="s">
        <v>56</v>
      </c>
      <c r="M1014" s="151" t="str">
        <f t="shared" si="49"/>
        <v>/</v>
      </c>
      <c r="N1014" s="151" t="str">
        <f t="shared" si="50"/>
        <v/>
      </c>
      <c r="Q1014" s="239" t="str">
        <f t="shared" ca="1" si="51"/>
        <v/>
      </c>
    </row>
    <row r="1015" spans="3:17" ht="15.75" hidden="1" customHeight="1" outlineLevel="1" x14ac:dyDescent="0.25">
      <c r="C1015" s="207"/>
      <c r="D1015" s="196">
        <v>42695</v>
      </c>
      <c r="E1015" s="101" t="s">
        <v>6</v>
      </c>
      <c r="F1015" s="216" t="s">
        <v>49</v>
      </c>
      <c r="G1015" s="3" t="s">
        <v>56</v>
      </c>
      <c r="H1015" s="3" t="s">
        <v>56</v>
      </c>
      <c r="M1015" s="151" t="str">
        <f t="shared" si="49"/>
        <v>/</v>
      </c>
      <c r="N1015" s="151" t="str">
        <f t="shared" si="50"/>
        <v/>
      </c>
      <c r="Q1015" s="239" t="str">
        <f t="shared" ca="1" si="51"/>
        <v/>
      </c>
    </row>
    <row r="1016" spans="3:17" ht="15.75" hidden="1" customHeight="1" outlineLevel="1" x14ac:dyDescent="0.25">
      <c r="C1016" s="207"/>
      <c r="D1016" s="196">
        <v>42697</v>
      </c>
      <c r="E1016" s="101" t="s">
        <v>20</v>
      </c>
      <c r="F1016" s="216" t="s">
        <v>49</v>
      </c>
      <c r="G1016" s="3" t="s">
        <v>56</v>
      </c>
      <c r="H1016" s="3" t="s">
        <v>56</v>
      </c>
      <c r="M1016" s="151" t="str">
        <f t="shared" si="49"/>
        <v>/</v>
      </c>
      <c r="N1016" s="151" t="str">
        <f t="shared" si="50"/>
        <v/>
      </c>
      <c r="Q1016" s="239" t="str">
        <f t="shared" ca="1" si="51"/>
        <v/>
      </c>
    </row>
    <row r="1017" spans="3:17" ht="15.75" hidden="1" customHeight="1" outlineLevel="1" x14ac:dyDescent="0.25">
      <c r="C1017" s="207"/>
      <c r="D1017" s="196">
        <v>42699</v>
      </c>
      <c r="E1017" s="101" t="s">
        <v>2</v>
      </c>
      <c r="F1017" s="216" t="s">
        <v>49</v>
      </c>
      <c r="G1017" s="3" t="s">
        <v>56</v>
      </c>
      <c r="H1017" s="3" t="s">
        <v>56</v>
      </c>
      <c r="M1017" s="151" t="str">
        <f t="shared" si="49"/>
        <v>/</v>
      </c>
      <c r="N1017" s="151" t="str">
        <f t="shared" si="50"/>
        <v/>
      </c>
      <c r="Q1017" s="239" t="str">
        <f t="shared" ca="1" si="51"/>
        <v/>
      </c>
    </row>
    <row r="1018" spans="3:17" ht="15.75" hidden="1" customHeight="1" outlineLevel="1" x14ac:dyDescent="0.25">
      <c r="C1018" s="207"/>
      <c r="D1018" s="196">
        <v>42701</v>
      </c>
      <c r="E1018" s="101" t="s">
        <v>4</v>
      </c>
      <c r="F1018" s="216" t="s">
        <v>49</v>
      </c>
      <c r="G1018" s="3" t="s">
        <v>56</v>
      </c>
      <c r="H1018" s="3" t="s">
        <v>56</v>
      </c>
      <c r="M1018" s="151" t="str">
        <f t="shared" si="49"/>
        <v>/</v>
      </c>
      <c r="N1018" s="151" t="str">
        <f t="shared" si="50"/>
        <v/>
      </c>
      <c r="Q1018" s="239" t="str">
        <f t="shared" ca="1" si="51"/>
        <v/>
      </c>
    </row>
    <row r="1019" spans="3:17" ht="15.75" hidden="1" customHeight="1" outlineLevel="1" x14ac:dyDescent="0.25">
      <c r="C1019" s="207"/>
      <c r="D1019" s="196">
        <v>42702</v>
      </c>
      <c r="E1019" s="101" t="s">
        <v>12</v>
      </c>
      <c r="F1019" s="216" t="s">
        <v>50</v>
      </c>
      <c r="G1019" s="3" t="s">
        <v>56</v>
      </c>
      <c r="H1019" s="3" t="s">
        <v>56</v>
      </c>
      <c r="M1019" s="151" t="str">
        <f t="shared" si="49"/>
        <v/>
      </c>
      <c r="N1019" s="151" t="str">
        <f t="shared" si="50"/>
        <v>/</v>
      </c>
      <c r="Q1019" s="239" t="str">
        <f t="shared" ca="1" si="51"/>
        <v/>
      </c>
    </row>
    <row r="1020" spans="3:17" ht="15.75" hidden="1" customHeight="1" outlineLevel="1" x14ac:dyDescent="0.25">
      <c r="C1020" s="207"/>
      <c r="D1020" s="196">
        <v>42704</v>
      </c>
      <c r="E1020" s="101" t="s">
        <v>26</v>
      </c>
      <c r="F1020" s="216" t="s">
        <v>49</v>
      </c>
      <c r="G1020" s="3" t="s">
        <v>56</v>
      </c>
      <c r="H1020" s="3" t="s">
        <v>56</v>
      </c>
      <c r="M1020" s="151" t="str">
        <f t="shared" si="49"/>
        <v>/</v>
      </c>
      <c r="N1020" s="151" t="str">
        <f t="shared" si="50"/>
        <v/>
      </c>
      <c r="Q1020" s="239" t="str">
        <f t="shared" ca="1" si="51"/>
        <v/>
      </c>
    </row>
    <row r="1021" spans="3:17" ht="15.75" hidden="1" customHeight="1" outlineLevel="1" x14ac:dyDescent="0.25">
      <c r="C1021" s="208"/>
      <c r="D1021" s="196">
        <v>42706</v>
      </c>
      <c r="E1021" s="101" t="s">
        <v>10</v>
      </c>
      <c r="F1021" s="216" t="s">
        <v>49</v>
      </c>
      <c r="G1021" s="3" t="s">
        <v>56</v>
      </c>
      <c r="H1021" s="3" t="s">
        <v>56</v>
      </c>
      <c r="M1021" s="151" t="str">
        <f t="shared" si="49"/>
        <v>/</v>
      </c>
      <c r="N1021" s="151" t="str">
        <f t="shared" si="50"/>
        <v/>
      </c>
      <c r="Q1021" s="239" t="str">
        <f t="shared" ca="1" si="51"/>
        <v/>
      </c>
    </row>
    <row r="1022" spans="3:17" ht="15.75" hidden="1" customHeight="1" outlineLevel="1" x14ac:dyDescent="0.25">
      <c r="C1022" s="208"/>
      <c r="D1022" s="196">
        <v>42707</v>
      </c>
      <c r="E1022" s="101" t="s">
        <v>1</v>
      </c>
      <c r="F1022" s="216" t="s">
        <v>49</v>
      </c>
      <c r="G1022" s="3" t="s">
        <v>56</v>
      </c>
      <c r="H1022" s="3" t="s">
        <v>56</v>
      </c>
      <c r="M1022" s="151" t="str">
        <f t="shared" si="49"/>
        <v>/</v>
      </c>
      <c r="N1022" s="151" t="str">
        <f t="shared" si="50"/>
        <v/>
      </c>
      <c r="Q1022" s="239" t="str">
        <f t="shared" ca="1" si="51"/>
        <v/>
      </c>
    </row>
    <row r="1023" spans="3:17" ht="15.75" hidden="1" customHeight="1" outlineLevel="1" x14ac:dyDescent="0.25">
      <c r="C1023" s="208"/>
      <c r="D1023" s="196">
        <v>42709</v>
      </c>
      <c r="E1023" s="101" t="s">
        <v>15</v>
      </c>
      <c r="F1023" s="216" t="s">
        <v>49</v>
      </c>
      <c r="G1023" s="3" t="s">
        <v>56</v>
      </c>
      <c r="H1023" s="3" t="s">
        <v>56</v>
      </c>
      <c r="M1023" s="151" t="str">
        <f t="shared" si="49"/>
        <v>/</v>
      </c>
      <c r="N1023" s="151" t="str">
        <f t="shared" si="50"/>
        <v/>
      </c>
      <c r="Q1023" s="239" t="str">
        <f t="shared" ca="1" si="51"/>
        <v/>
      </c>
    </row>
    <row r="1024" spans="3:17" ht="15.75" hidden="1" customHeight="1" outlineLevel="1" x14ac:dyDescent="0.25">
      <c r="C1024" s="208"/>
      <c r="D1024" s="196">
        <v>42710</v>
      </c>
      <c r="E1024" s="101" t="s">
        <v>20</v>
      </c>
      <c r="F1024" s="216" t="s">
        <v>50</v>
      </c>
      <c r="G1024" s="3" t="s">
        <v>56</v>
      </c>
      <c r="H1024" s="3" t="s">
        <v>56</v>
      </c>
      <c r="M1024" s="151" t="str">
        <f t="shared" si="49"/>
        <v/>
      </c>
      <c r="N1024" s="151" t="str">
        <f t="shared" si="50"/>
        <v>/</v>
      </c>
      <c r="Q1024" s="239" t="str">
        <f t="shared" ca="1" si="51"/>
        <v/>
      </c>
    </row>
    <row r="1025" spans="3:17" ht="15.75" hidden="1" customHeight="1" outlineLevel="1" x14ac:dyDescent="0.25">
      <c r="C1025" s="208"/>
      <c r="D1025" s="196">
        <v>42712</v>
      </c>
      <c r="E1025" s="101" t="s">
        <v>22</v>
      </c>
      <c r="F1025" s="216" t="s">
        <v>50</v>
      </c>
      <c r="G1025" s="3" t="s">
        <v>56</v>
      </c>
      <c r="H1025" s="3" t="s">
        <v>56</v>
      </c>
      <c r="M1025" s="151" t="str">
        <f t="shared" si="49"/>
        <v/>
      </c>
      <c r="N1025" s="151" t="str">
        <f t="shared" si="50"/>
        <v>/</v>
      </c>
      <c r="Q1025" s="239" t="str">
        <f t="shared" ca="1" si="51"/>
        <v/>
      </c>
    </row>
    <row r="1026" spans="3:17" ht="15.75" hidden="1" customHeight="1" outlineLevel="1" x14ac:dyDescent="0.25">
      <c r="C1026" s="208"/>
      <c r="D1026" s="196">
        <v>42715</v>
      </c>
      <c r="E1026" s="101" t="s">
        <v>5</v>
      </c>
      <c r="F1026" s="216" t="s">
        <v>50</v>
      </c>
      <c r="G1026" s="3" t="s">
        <v>56</v>
      </c>
      <c r="H1026" s="3" t="s">
        <v>56</v>
      </c>
      <c r="M1026" s="151" t="str">
        <f t="shared" si="49"/>
        <v/>
      </c>
      <c r="N1026" s="151" t="str">
        <f t="shared" si="50"/>
        <v>/</v>
      </c>
      <c r="Q1026" s="239" t="str">
        <f t="shared" ca="1" si="51"/>
        <v/>
      </c>
    </row>
    <row r="1027" spans="3:17" ht="15.75" hidden="1" customHeight="1" outlineLevel="1" x14ac:dyDescent="0.25">
      <c r="C1027" s="208"/>
      <c r="D1027" s="196">
        <v>42718</v>
      </c>
      <c r="E1027" s="101" t="s">
        <v>12</v>
      </c>
      <c r="F1027" s="216" t="s">
        <v>49</v>
      </c>
      <c r="G1027" s="3" t="s">
        <v>56</v>
      </c>
      <c r="H1027" s="3" t="s">
        <v>56</v>
      </c>
      <c r="M1027" s="151" t="str">
        <f t="shared" si="49"/>
        <v>/</v>
      </c>
      <c r="N1027" s="151" t="str">
        <f t="shared" si="50"/>
        <v/>
      </c>
      <c r="Q1027" s="239" t="str">
        <f t="shared" ca="1" si="51"/>
        <v/>
      </c>
    </row>
    <row r="1028" spans="3:17" ht="15.75" hidden="1" customHeight="1" outlineLevel="1" x14ac:dyDescent="0.25">
      <c r="C1028" s="208"/>
      <c r="D1028" s="196">
        <v>42720</v>
      </c>
      <c r="E1028" s="101" t="s">
        <v>644</v>
      </c>
      <c r="F1028" s="216" t="s">
        <v>49</v>
      </c>
      <c r="G1028" s="3" t="s">
        <v>56</v>
      </c>
      <c r="H1028" s="3" t="s">
        <v>56</v>
      </c>
      <c r="M1028" s="151" t="str">
        <f t="shared" si="49"/>
        <v>/</v>
      </c>
      <c r="N1028" s="151" t="str">
        <f t="shared" si="50"/>
        <v/>
      </c>
      <c r="Q1028" s="239" t="str">
        <f t="shared" ca="1" si="51"/>
        <v/>
      </c>
    </row>
    <row r="1029" spans="3:17" ht="15.75" hidden="1" customHeight="1" outlineLevel="1" x14ac:dyDescent="0.25">
      <c r="C1029" s="208"/>
      <c r="D1029" s="196">
        <v>42722</v>
      </c>
      <c r="E1029" s="101" t="s">
        <v>45</v>
      </c>
      <c r="F1029" s="216" t="s">
        <v>49</v>
      </c>
      <c r="G1029" s="3" t="s">
        <v>56</v>
      </c>
      <c r="H1029" s="3" t="s">
        <v>56</v>
      </c>
      <c r="M1029" s="151" t="str">
        <f t="shared" si="49"/>
        <v>/</v>
      </c>
      <c r="N1029" s="151" t="str">
        <f t="shared" si="50"/>
        <v/>
      </c>
      <c r="Q1029" s="239" t="str">
        <f t="shared" ca="1" si="51"/>
        <v/>
      </c>
    </row>
    <row r="1030" spans="3:17" ht="15.75" hidden="1" customHeight="1" outlineLevel="1" x14ac:dyDescent="0.25">
      <c r="C1030" s="208"/>
      <c r="D1030" s="196">
        <v>42724</v>
      </c>
      <c r="E1030" s="101" t="s">
        <v>22</v>
      </c>
      <c r="F1030" s="216" t="s">
        <v>49</v>
      </c>
      <c r="G1030" s="3" t="s">
        <v>56</v>
      </c>
      <c r="H1030" s="3" t="s">
        <v>56</v>
      </c>
      <c r="M1030" s="151" t="str">
        <f t="shared" si="49"/>
        <v>/</v>
      </c>
      <c r="N1030" s="151" t="str">
        <f t="shared" si="50"/>
        <v/>
      </c>
      <c r="Q1030" s="239" t="str">
        <f t="shared" ca="1" si="51"/>
        <v/>
      </c>
    </row>
    <row r="1031" spans="3:17" ht="15.75" hidden="1" customHeight="1" outlineLevel="1" x14ac:dyDescent="0.25">
      <c r="C1031" s="208"/>
      <c r="D1031" s="196">
        <v>42727</v>
      </c>
      <c r="E1031" s="101" t="s">
        <v>25</v>
      </c>
      <c r="F1031" s="216" t="s">
        <v>50</v>
      </c>
      <c r="G1031" s="3" t="s">
        <v>56</v>
      </c>
      <c r="H1031" s="3" t="s">
        <v>56</v>
      </c>
      <c r="M1031" s="151" t="str">
        <f t="shared" ref="M1031:M1094" si="52">IF(F1031="D",H1031,"")</f>
        <v/>
      </c>
      <c r="N1031" s="151" t="str">
        <f t="shared" ref="N1031:N1094" si="53">IF(F1031="E",H1031,"")</f>
        <v>/</v>
      </c>
      <c r="Q1031" s="239" t="str">
        <f t="shared" ca="1" si="51"/>
        <v/>
      </c>
    </row>
    <row r="1032" spans="3:17" ht="15.75" hidden="1" customHeight="1" outlineLevel="1" x14ac:dyDescent="0.25">
      <c r="C1032" s="208"/>
      <c r="D1032" s="196">
        <v>42730</v>
      </c>
      <c r="E1032" s="101" t="s">
        <v>26</v>
      </c>
      <c r="F1032" s="216" t="s">
        <v>50</v>
      </c>
      <c r="G1032" s="3" t="s">
        <v>56</v>
      </c>
      <c r="H1032" s="3" t="s">
        <v>56</v>
      </c>
      <c r="M1032" s="151" t="str">
        <f t="shared" si="52"/>
        <v/>
      </c>
      <c r="N1032" s="151" t="str">
        <f t="shared" si="53"/>
        <v>/</v>
      </c>
      <c r="Q1032" s="239" t="str">
        <f t="shared" ca="1" si="51"/>
        <v/>
      </c>
    </row>
    <row r="1033" spans="3:17" ht="15.75" hidden="1" customHeight="1" outlineLevel="1" x14ac:dyDescent="0.25">
      <c r="C1033" s="208"/>
      <c r="D1033" s="196">
        <v>42733</v>
      </c>
      <c r="E1033" s="101" t="s">
        <v>28</v>
      </c>
      <c r="F1033" s="216" t="s">
        <v>50</v>
      </c>
      <c r="G1033" s="3" t="s">
        <v>56</v>
      </c>
      <c r="H1033" s="3" t="s">
        <v>56</v>
      </c>
      <c r="M1033" s="151" t="str">
        <f t="shared" si="52"/>
        <v/>
      </c>
      <c r="N1033" s="151" t="str">
        <f t="shared" si="53"/>
        <v>/</v>
      </c>
      <c r="Q1033" s="239" t="str">
        <f t="shared" ca="1" si="51"/>
        <v/>
      </c>
    </row>
    <row r="1034" spans="3:17" ht="15.75" hidden="1" customHeight="1" outlineLevel="1" x14ac:dyDescent="0.25">
      <c r="C1034" s="208"/>
      <c r="D1034" s="196">
        <v>42734</v>
      </c>
      <c r="E1034" s="101" t="s">
        <v>15</v>
      </c>
      <c r="F1034" s="216" t="s">
        <v>50</v>
      </c>
      <c r="G1034" s="3" t="s">
        <v>56</v>
      </c>
      <c r="H1034" s="3" t="s">
        <v>56</v>
      </c>
      <c r="M1034" s="151" t="str">
        <f t="shared" si="52"/>
        <v/>
      </c>
      <c r="N1034" s="151" t="str">
        <f t="shared" si="53"/>
        <v>/</v>
      </c>
      <c r="Q1034" s="239" t="str">
        <f t="shared" ca="1" si="51"/>
        <v/>
      </c>
    </row>
    <row r="1035" spans="3:17" ht="15.75" hidden="1" customHeight="1" outlineLevel="1" x14ac:dyDescent="0.25">
      <c r="C1035" s="207"/>
      <c r="D1035" s="196">
        <v>42372</v>
      </c>
      <c r="E1035" s="101" t="s">
        <v>21</v>
      </c>
      <c r="F1035" s="216" t="s">
        <v>49</v>
      </c>
      <c r="G1035" s="3" t="s">
        <v>56</v>
      </c>
      <c r="H1035" s="3" t="s">
        <v>56</v>
      </c>
      <c r="M1035" s="151" t="str">
        <f t="shared" si="52"/>
        <v>/</v>
      </c>
      <c r="N1035" s="151" t="str">
        <f t="shared" si="53"/>
        <v/>
      </c>
      <c r="Q1035" s="239" t="str">
        <f t="shared" ca="1" si="51"/>
        <v/>
      </c>
    </row>
    <row r="1036" spans="3:17" ht="15.75" hidden="1" customHeight="1" outlineLevel="1" x14ac:dyDescent="0.25">
      <c r="C1036" s="207"/>
      <c r="D1036" s="196">
        <v>42375</v>
      </c>
      <c r="E1036" s="101" t="s">
        <v>1</v>
      </c>
      <c r="F1036" s="216" t="s">
        <v>50</v>
      </c>
      <c r="G1036" s="3" t="s">
        <v>56</v>
      </c>
      <c r="H1036" s="3" t="s">
        <v>56</v>
      </c>
      <c r="M1036" s="151" t="str">
        <f t="shared" si="52"/>
        <v/>
      </c>
      <c r="N1036" s="151" t="str">
        <f t="shared" si="53"/>
        <v>/</v>
      </c>
      <c r="Q1036" s="239" t="str">
        <f t="shared" ca="1" si="51"/>
        <v/>
      </c>
    </row>
    <row r="1037" spans="3:17" ht="15.75" hidden="1" customHeight="1" outlineLevel="1" x14ac:dyDescent="0.25">
      <c r="C1037" s="207"/>
      <c r="D1037" s="196">
        <v>42377</v>
      </c>
      <c r="E1037" s="101" t="s">
        <v>45</v>
      </c>
      <c r="F1037" s="216" t="s">
        <v>50</v>
      </c>
      <c r="G1037" s="3" t="s">
        <v>56</v>
      </c>
      <c r="H1037" s="3" t="s">
        <v>56</v>
      </c>
      <c r="M1037" s="151" t="str">
        <f t="shared" si="52"/>
        <v/>
      </c>
      <c r="N1037" s="151" t="str">
        <f t="shared" si="53"/>
        <v>/</v>
      </c>
      <c r="Q1037" s="239" t="str">
        <f t="shared" ca="1" si="51"/>
        <v/>
      </c>
    </row>
    <row r="1038" spans="3:17" ht="15.75" hidden="1" customHeight="1" outlineLevel="1" x14ac:dyDescent="0.25">
      <c r="C1038" s="207"/>
      <c r="D1038" s="196">
        <v>42380</v>
      </c>
      <c r="E1038" s="101" t="s">
        <v>9</v>
      </c>
      <c r="F1038" s="216" t="s">
        <v>49</v>
      </c>
      <c r="G1038" s="3" t="s">
        <v>56</v>
      </c>
      <c r="H1038" s="3" t="s">
        <v>56</v>
      </c>
      <c r="M1038" s="151" t="str">
        <f t="shared" si="52"/>
        <v>/</v>
      </c>
      <c r="N1038" s="151" t="str">
        <f t="shared" si="53"/>
        <v/>
      </c>
      <c r="Q1038" s="239" t="str">
        <f t="shared" ca="1" si="51"/>
        <v/>
      </c>
    </row>
    <row r="1039" spans="3:17" ht="15.75" hidden="1" customHeight="1" outlineLevel="1" x14ac:dyDescent="0.25">
      <c r="C1039" s="207"/>
      <c r="D1039" s="196">
        <v>42382</v>
      </c>
      <c r="E1039" s="101" t="s">
        <v>3</v>
      </c>
      <c r="F1039" s="216" t="s">
        <v>49</v>
      </c>
      <c r="G1039" s="3" t="s">
        <v>56</v>
      </c>
      <c r="H1039" s="3" t="s">
        <v>56</v>
      </c>
      <c r="M1039" s="151" t="str">
        <f t="shared" si="52"/>
        <v>/</v>
      </c>
      <c r="N1039" s="151" t="str">
        <f t="shared" si="53"/>
        <v/>
      </c>
      <c r="Q1039" s="239" t="str">
        <f t="shared" ca="1" si="51"/>
        <v/>
      </c>
    </row>
    <row r="1040" spans="3:17" ht="15.75" hidden="1" customHeight="1" outlineLevel="1" x14ac:dyDescent="0.25">
      <c r="C1040" s="207"/>
      <c r="D1040" s="196">
        <v>42383</v>
      </c>
      <c r="E1040" s="101" t="s">
        <v>13</v>
      </c>
      <c r="F1040" s="216" t="s">
        <v>50</v>
      </c>
      <c r="G1040" s="3" t="s">
        <v>56</v>
      </c>
      <c r="H1040" s="3" t="s">
        <v>56</v>
      </c>
      <c r="M1040" s="151" t="str">
        <f t="shared" si="52"/>
        <v/>
      </c>
      <c r="N1040" s="151" t="str">
        <f t="shared" si="53"/>
        <v>/</v>
      </c>
      <c r="Q1040" s="239" t="str">
        <f t="shared" ca="1" si="51"/>
        <v/>
      </c>
    </row>
    <row r="1041" spans="3:17" ht="15.75" hidden="1" customHeight="1" outlineLevel="1" x14ac:dyDescent="0.25">
      <c r="C1041" s="207"/>
      <c r="D1041" s="196">
        <v>42385</v>
      </c>
      <c r="E1041" s="101" t="s">
        <v>8</v>
      </c>
      <c r="F1041" s="216" t="s">
        <v>50</v>
      </c>
      <c r="G1041" s="3" t="s">
        <v>56</v>
      </c>
      <c r="H1041" s="3" t="s">
        <v>56</v>
      </c>
      <c r="M1041" s="151" t="str">
        <f t="shared" si="52"/>
        <v/>
      </c>
      <c r="N1041" s="151" t="str">
        <f t="shared" si="53"/>
        <v>/</v>
      </c>
      <c r="Q1041" s="239" t="str">
        <f t="shared" ca="1" si="51"/>
        <v/>
      </c>
    </row>
    <row r="1042" spans="3:17" ht="15.75" hidden="1" customHeight="1" outlineLevel="1" x14ac:dyDescent="0.25">
      <c r="C1042" s="207"/>
      <c r="D1042" s="196">
        <v>42387</v>
      </c>
      <c r="E1042" s="101" t="s">
        <v>12</v>
      </c>
      <c r="F1042" s="216" t="s">
        <v>49</v>
      </c>
      <c r="G1042" s="3" t="s">
        <v>56</v>
      </c>
      <c r="H1042" s="3" t="s">
        <v>56</v>
      </c>
      <c r="M1042" s="151" t="str">
        <f t="shared" si="52"/>
        <v>/</v>
      </c>
      <c r="N1042" s="151" t="str">
        <f t="shared" si="53"/>
        <v/>
      </c>
      <c r="Q1042" s="239" t="str">
        <f t="shared" ca="1" si="51"/>
        <v/>
      </c>
    </row>
    <row r="1043" spans="3:17" ht="15.75" hidden="1" customHeight="1" outlineLevel="1" x14ac:dyDescent="0.25">
      <c r="C1043" s="207"/>
      <c r="D1043" s="196">
        <v>42389</v>
      </c>
      <c r="E1043" s="101" t="s">
        <v>24</v>
      </c>
      <c r="F1043" s="216" t="s">
        <v>49</v>
      </c>
      <c r="G1043" s="3" t="s">
        <v>56</v>
      </c>
      <c r="H1043" s="3" t="s">
        <v>56</v>
      </c>
      <c r="M1043" s="151" t="str">
        <f t="shared" si="52"/>
        <v>/</v>
      </c>
      <c r="N1043" s="151" t="str">
        <f t="shared" si="53"/>
        <v/>
      </c>
      <c r="Q1043" s="239" t="str">
        <f t="shared" ca="1" si="51"/>
        <v/>
      </c>
    </row>
    <row r="1044" spans="3:17" ht="15.75" hidden="1" customHeight="1" outlineLevel="1" x14ac:dyDescent="0.25">
      <c r="C1044" s="207"/>
      <c r="D1044" s="196">
        <v>42390</v>
      </c>
      <c r="E1044" s="101" t="s">
        <v>0</v>
      </c>
      <c r="F1044" s="216" t="s">
        <v>50</v>
      </c>
      <c r="G1044" s="3" t="s">
        <v>56</v>
      </c>
      <c r="H1044" s="3" t="s">
        <v>56</v>
      </c>
      <c r="M1044" s="151" t="str">
        <f t="shared" si="52"/>
        <v/>
      </c>
      <c r="N1044" s="151" t="str">
        <f t="shared" si="53"/>
        <v>/</v>
      </c>
      <c r="Q1044" s="239" t="str">
        <f t="shared" ca="1" si="51"/>
        <v/>
      </c>
    </row>
    <row r="1045" spans="3:17" ht="15.75" hidden="1" customHeight="1" outlineLevel="1" x14ac:dyDescent="0.25">
      <c r="C1045" s="207"/>
      <c r="D1045" s="196">
        <v>42393</v>
      </c>
      <c r="E1045" s="101" t="s">
        <v>18</v>
      </c>
      <c r="F1045" s="216" t="s">
        <v>49</v>
      </c>
      <c r="G1045" s="3" t="s">
        <v>56</v>
      </c>
      <c r="H1045" s="3" t="s">
        <v>56</v>
      </c>
      <c r="M1045" s="151" t="str">
        <f t="shared" si="52"/>
        <v>/</v>
      </c>
      <c r="N1045" s="151" t="str">
        <f t="shared" si="53"/>
        <v/>
      </c>
      <c r="Q1045" s="239" t="str">
        <f t="shared" ca="1" si="51"/>
        <v/>
      </c>
    </row>
    <row r="1046" spans="3:17" ht="15.75" hidden="1" customHeight="1" outlineLevel="1" x14ac:dyDescent="0.25">
      <c r="C1046" s="207"/>
      <c r="D1046" s="196">
        <v>42394</v>
      </c>
      <c r="E1046" s="101" t="s">
        <v>8</v>
      </c>
      <c r="F1046" s="216" t="s">
        <v>50</v>
      </c>
      <c r="G1046" s="3" t="s">
        <v>56</v>
      </c>
      <c r="H1046" s="3" t="s">
        <v>56</v>
      </c>
      <c r="M1046" s="151" t="str">
        <f t="shared" si="52"/>
        <v/>
      </c>
      <c r="N1046" s="151" t="str">
        <f t="shared" si="53"/>
        <v>/</v>
      </c>
      <c r="Q1046" s="239" t="str">
        <f t="shared" ca="1" si="51"/>
        <v/>
      </c>
    </row>
    <row r="1047" spans="3:17" ht="15.75" hidden="1" customHeight="1" outlineLevel="1" x14ac:dyDescent="0.25">
      <c r="C1047" s="207"/>
      <c r="D1047" s="196">
        <v>42396</v>
      </c>
      <c r="E1047" s="101" t="s">
        <v>17</v>
      </c>
      <c r="F1047" s="216" t="s">
        <v>49</v>
      </c>
      <c r="G1047" s="3" t="s">
        <v>56</v>
      </c>
      <c r="H1047" s="3" t="s">
        <v>56</v>
      </c>
      <c r="M1047" s="151" t="str">
        <f t="shared" si="52"/>
        <v>/</v>
      </c>
      <c r="N1047" s="151" t="str">
        <f t="shared" si="53"/>
        <v/>
      </c>
      <c r="Q1047" s="239" t="str">
        <f t="shared" ca="1" si="51"/>
        <v/>
      </c>
    </row>
    <row r="1048" spans="3:17" ht="15.75" hidden="1" customHeight="1" outlineLevel="1" x14ac:dyDescent="0.25">
      <c r="C1048" s="207"/>
      <c r="D1048" s="196">
        <v>42398</v>
      </c>
      <c r="E1048" s="101" t="s">
        <v>2</v>
      </c>
      <c r="F1048" s="216" t="s">
        <v>50</v>
      </c>
      <c r="G1048" s="3" t="s">
        <v>56</v>
      </c>
      <c r="H1048" s="3" t="s">
        <v>56</v>
      </c>
      <c r="M1048" s="151" t="str">
        <f t="shared" si="52"/>
        <v/>
      </c>
      <c r="N1048" s="151" t="str">
        <f t="shared" si="53"/>
        <v>/</v>
      </c>
      <c r="Q1048" s="239" t="str">
        <f t="shared" ca="1" si="51"/>
        <v/>
      </c>
    </row>
    <row r="1049" spans="3:17" ht="15.75" hidden="1" customHeight="1" outlineLevel="1" x14ac:dyDescent="0.25">
      <c r="C1049" s="208"/>
      <c r="D1049" s="196">
        <v>42401</v>
      </c>
      <c r="E1049" s="101" t="s">
        <v>645</v>
      </c>
      <c r="F1049" s="216" t="s">
        <v>50</v>
      </c>
      <c r="G1049" s="3" t="s">
        <v>56</v>
      </c>
      <c r="H1049" s="3" t="s">
        <v>56</v>
      </c>
      <c r="M1049" s="151" t="str">
        <f t="shared" si="52"/>
        <v/>
      </c>
      <c r="N1049" s="151" t="str">
        <f t="shared" si="53"/>
        <v>/</v>
      </c>
      <c r="Q1049" s="239" t="str">
        <f t="shared" ca="1" si="51"/>
        <v/>
      </c>
    </row>
    <row r="1050" spans="3:17" ht="15.75" hidden="1" customHeight="1" outlineLevel="1" x14ac:dyDescent="0.25">
      <c r="C1050" s="208"/>
      <c r="D1050" s="196">
        <v>42402</v>
      </c>
      <c r="E1050" s="101" t="s">
        <v>46</v>
      </c>
      <c r="F1050" s="216" t="s">
        <v>50</v>
      </c>
      <c r="G1050" s="3" t="s">
        <v>56</v>
      </c>
      <c r="H1050" s="3" t="s">
        <v>56</v>
      </c>
      <c r="M1050" s="151" t="str">
        <f t="shared" si="52"/>
        <v/>
      </c>
      <c r="N1050" s="151" t="str">
        <f t="shared" si="53"/>
        <v>/</v>
      </c>
      <c r="Q1050" s="239" t="str">
        <f t="shared" ca="1" si="51"/>
        <v/>
      </c>
    </row>
    <row r="1051" spans="3:17" ht="15.75" hidden="1" customHeight="1" outlineLevel="1" x14ac:dyDescent="0.25">
      <c r="C1051" s="208"/>
      <c r="D1051" s="196">
        <v>42404</v>
      </c>
      <c r="E1051" s="101" t="s">
        <v>6</v>
      </c>
      <c r="F1051" s="216" t="s">
        <v>50</v>
      </c>
      <c r="G1051" s="3" t="s">
        <v>56</v>
      </c>
      <c r="H1051" s="3" t="s">
        <v>56</v>
      </c>
      <c r="M1051" s="151" t="str">
        <f t="shared" si="52"/>
        <v/>
      </c>
      <c r="N1051" s="151" t="str">
        <f t="shared" si="53"/>
        <v>/</v>
      </c>
      <c r="Q1051" s="239" t="str">
        <f t="shared" ca="1" si="51"/>
        <v/>
      </c>
    </row>
    <row r="1052" spans="3:17" ht="15.75" hidden="1" customHeight="1" outlineLevel="1" x14ac:dyDescent="0.25">
      <c r="C1052" s="208"/>
      <c r="D1052" s="196">
        <v>42406</v>
      </c>
      <c r="E1052" s="101" t="s">
        <v>5</v>
      </c>
      <c r="F1052" s="216" t="s">
        <v>50</v>
      </c>
      <c r="G1052" s="3" t="s">
        <v>56</v>
      </c>
      <c r="H1052" s="3" t="s">
        <v>56</v>
      </c>
      <c r="M1052" s="151" t="str">
        <f t="shared" si="52"/>
        <v/>
      </c>
      <c r="N1052" s="151" t="str">
        <f t="shared" si="53"/>
        <v>/</v>
      </c>
      <c r="Q1052" s="239" t="str">
        <f t="shared" ca="1" si="51"/>
        <v/>
      </c>
    </row>
    <row r="1053" spans="3:17" ht="15.75" hidden="1" customHeight="1" outlineLevel="1" x14ac:dyDescent="0.25">
      <c r="C1053" s="208"/>
      <c r="D1053" s="196">
        <v>42408</v>
      </c>
      <c r="E1053" s="101" t="s">
        <v>46</v>
      </c>
      <c r="F1053" s="216" t="s">
        <v>49</v>
      </c>
      <c r="G1053" s="3" t="s">
        <v>56</v>
      </c>
      <c r="H1053" s="3" t="s">
        <v>56</v>
      </c>
      <c r="M1053" s="151" t="str">
        <f t="shared" si="52"/>
        <v>/</v>
      </c>
      <c r="N1053" s="151" t="str">
        <f t="shared" si="53"/>
        <v/>
      </c>
      <c r="Q1053" s="239" t="str">
        <f t="shared" ca="1" si="51"/>
        <v/>
      </c>
    </row>
    <row r="1054" spans="3:17" ht="15.75" hidden="1" customHeight="1" outlineLevel="1" x14ac:dyDescent="0.25">
      <c r="C1054" s="208"/>
      <c r="D1054" s="196">
        <v>42409</v>
      </c>
      <c r="E1054" s="101" t="s">
        <v>10</v>
      </c>
      <c r="F1054" s="216" t="s">
        <v>50</v>
      </c>
      <c r="G1054" s="3" t="s">
        <v>56</v>
      </c>
      <c r="H1054" s="3" t="s">
        <v>56</v>
      </c>
      <c r="M1054" s="151" t="str">
        <f t="shared" si="52"/>
        <v/>
      </c>
      <c r="N1054" s="151" t="str">
        <f t="shared" si="53"/>
        <v>/</v>
      </c>
      <c r="Q1054" s="239" t="str">
        <f t="shared" ca="1" si="51"/>
        <v/>
      </c>
    </row>
    <row r="1055" spans="3:17" ht="15.75" hidden="1" customHeight="1" outlineLevel="1" x14ac:dyDescent="0.25">
      <c r="C1055" s="208"/>
      <c r="D1055" s="196">
        <v>42411</v>
      </c>
      <c r="E1055" s="101" t="s">
        <v>6</v>
      </c>
      <c r="F1055" s="216" t="s">
        <v>49</v>
      </c>
      <c r="G1055" s="3" t="s">
        <v>56</v>
      </c>
      <c r="H1055" s="3" t="s">
        <v>56</v>
      </c>
      <c r="M1055" s="151" t="str">
        <f t="shared" si="52"/>
        <v>/</v>
      </c>
      <c r="N1055" s="151" t="str">
        <f t="shared" si="53"/>
        <v/>
      </c>
      <c r="Q1055" s="239" t="str">
        <f t="shared" ca="1" si="51"/>
        <v/>
      </c>
    </row>
    <row r="1056" spans="3:17" ht="15.75" hidden="1" customHeight="1" outlineLevel="1" x14ac:dyDescent="0.25">
      <c r="C1056" s="208"/>
      <c r="D1056" s="196">
        <v>42413</v>
      </c>
      <c r="E1056" s="101" t="s">
        <v>3</v>
      </c>
      <c r="F1056" s="216" t="s">
        <v>50</v>
      </c>
      <c r="G1056" s="3" t="s">
        <v>56</v>
      </c>
      <c r="H1056" s="3" t="s">
        <v>56</v>
      </c>
      <c r="M1056" s="151" t="str">
        <f t="shared" si="52"/>
        <v/>
      </c>
      <c r="N1056" s="151" t="str">
        <f t="shared" si="53"/>
        <v>/</v>
      </c>
      <c r="Q1056" s="239" t="str">
        <f t="shared" ca="1" si="51"/>
        <v/>
      </c>
    </row>
    <row r="1057" spans="3:17" ht="15.75" hidden="1" customHeight="1" outlineLevel="1" x14ac:dyDescent="0.25">
      <c r="C1057" s="208"/>
      <c r="D1057" s="196">
        <v>42415</v>
      </c>
      <c r="E1057" s="101" t="s">
        <v>1</v>
      </c>
      <c r="F1057" s="216" t="s">
        <v>50</v>
      </c>
      <c r="G1057" s="3" t="s">
        <v>56</v>
      </c>
      <c r="H1057" s="3" t="s">
        <v>56</v>
      </c>
      <c r="M1057" s="151" t="str">
        <f t="shared" si="52"/>
        <v/>
      </c>
      <c r="N1057" s="151" t="str">
        <f t="shared" si="53"/>
        <v>/</v>
      </c>
      <c r="Q1057" s="239" t="str">
        <f t="shared" ca="1" si="51"/>
        <v/>
      </c>
    </row>
    <row r="1058" spans="3:17" ht="15.75" hidden="1" customHeight="1" outlineLevel="1" x14ac:dyDescent="0.25">
      <c r="C1058" s="208"/>
      <c r="D1058" s="196">
        <v>42424</v>
      </c>
      <c r="E1058" s="101" t="s">
        <v>13</v>
      </c>
      <c r="F1058" s="216" t="s">
        <v>49</v>
      </c>
      <c r="G1058" s="3" t="s">
        <v>56</v>
      </c>
      <c r="H1058" s="3" t="s">
        <v>56</v>
      </c>
      <c r="M1058" s="151" t="str">
        <f t="shared" si="52"/>
        <v>/</v>
      </c>
      <c r="N1058" s="151" t="str">
        <f t="shared" si="53"/>
        <v/>
      </c>
      <c r="Q1058" s="239" t="str">
        <f t="shared" ca="1" si="51"/>
        <v/>
      </c>
    </row>
    <row r="1059" spans="3:17" ht="15.75" hidden="1" customHeight="1" outlineLevel="1" x14ac:dyDescent="0.25">
      <c r="C1059" s="208"/>
      <c r="D1059" s="196">
        <v>42425</v>
      </c>
      <c r="E1059" s="101" t="s">
        <v>9</v>
      </c>
      <c r="F1059" s="216" t="s">
        <v>50</v>
      </c>
      <c r="G1059" s="3" t="s">
        <v>56</v>
      </c>
      <c r="H1059" s="3" t="s">
        <v>56</v>
      </c>
      <c r="M1059" s="151" t="str">
        <f t="shared" si="52"/>
        <v/>
      </c>
      <c r="N1059" s="151" t="str">
        <f t="shared" si="53"/>
        <v>/</v>
      </c>
      <c r="Q1059" s="239" t="str">
        <f t="shared" ca="1" si="51"/>
        <v/>
      </c>
    </row>
    <row r="1060" spans="3:17" ht="15.75" hidden="1" customHeight="1" outlineLevel="1" x14ac:dyDescent="0.25">
      <c r="C1060" s="208"/>
      <c r="D1060" s="196">
        <v>42427</v>
      </c>
      <c r="E1060" s="101" t="s">
        <v>16</v>
      </c>
      <c r="F1060" s="216" t="s">
        <v>49</v>
      </c>
      <c r="G1060" s="3" t="s">
        <v>56</v>
      </c>
      <c r="H1060" s="3" t="s">
        <v>56</v>
      </c>
      <c r="M1060" s="151" t="str">
        <f t="shared" si="52"/>
        <v>/</v>
      </c>
      <c r="N1060" s="151" t="str">
        <f t="shared" si="53"/>
        <v/>
      </c>
      <c r="Q1060" s="239" t="str">
        <f t="shared" ca="1" si="51"/>
        <v/>
      </c>
    </row>
    <row r="1061" spans="3:17" ht="15.75" hidden="1" customHeight="1" outlineLevel="1" x14ac:dyDescent="0.25">
      <c r="C1061" s="207"/>
      <c r="D1061" s="196">
        <v>42430</v>
      </c>
      <c r="E1061" s="101" t="s">
        <v>6</v>
      </c>
      <c r="F1061" s="216" t="s">
        <v>50</v>
      </c>
      <c r="G1061" s="3" t="s">
        <v>56</v>
      </c>
      <c r="H1061" s="3" t="s">
        <v>56</v>
      </c>
      <c r="M1061" s="151" t="str">
        <f t="shared" si="52"/>
        <v/>
      </c>
      <c r="N1061" s="151" t="str">
        <f t="shared" si="53"/>
        <v>/</v>
      </c>
      <c r="Q1061" s="239" t="str">
        <f t="shared" ca="1" si="51"/>
        <v/>
      </c>
    </row>
    <row r="1062" spans="3:17" ht="15.75" hidden="1" customHeight="1" outlineLevel="1" x14ac:dyDescent="0.25">
      <c r="C1062" s="207"/>
      <c r="D1062" s="196">
        <v>42432</v>
      </c>
      <c r="E1062" s="101" t="s">
        <v>9</v>
      </c>
      <c r="F1062" s="216" t="s">
        <v>49</v>
      </c>
      <c r="G1062" s="3" t="s">
        <v>56</v>
      </c>
      <c r="H1062" s="3" t="s">
        <v>56</v>
      </c>
      <c r="M1062" s="151" t="str">
        <f t="shared" si="52"/>
        <v>/</v>
      </c>
      <c r="N1062" s="151" t="str">
        <f t="shared" si="53"/>
        <v/>
      </c>
      <c r="Q1062" s="239" t="str">
        <f t="shared" ca="1" si="51"/>
        <v/>
      </c>
    </row>
    <row r="1063" spans="3:17" ht="15.75" hidden="1" customHeight="1" outlineLevel="1" x14ac:dyDescent="0.25">
      <c r="C1063" s="207"/>
      <c r="D1063" s="196">
        <v>42433</v>
      </c>
      <c r="E1063" s="101" t="s">
        <v>5</v>
      </c>
      <c r="F1063" s="216" t="s">
        <v>49</v>
      </c>
      <c r="G1063" s="3" t="s">
        <v>56</v>
      </c>
      <c r="H1063" s="3" t="s">
        <v>56</v>
      </c>
      <c r="M1063" s="151" t="str">
        <f t="shared" si="52"/>
        <v>/</v>
      </c>
      <c r="N1063" s="151" t="str">
        <f t="shared" si="53"/>
        <v/>
      </c>
      <c r="Q1063" s="239" t="str">
        <f t="shared" ca="1" si="51"/>
        <v/>
      </c>
    </row>
    <row r="1064" spans="3:17" ht="15.75" hidden="1" customHeight="1" outlineLevel="1" x14ac:dyDescent="0.25">
      <c r="C1064" s="207"/>
      <c r="D1064" s="196">
        <v>42435</v>
      </c>
      <c r="E1064" s="101" t="s">
        <v>8</v>
      </c>
      <c r="F1064" s="216" t="s">
        <v>49</v>
      </c>
      <c r="G1064" s="3" t="s">
        <v>56</v>
      </c>
      <c r="H1064" s="3" t="s">
        <v>56</v>
      </c>
      <c r="M1064" s="151" t="str">
        <f t="shared" si="52"/>
        <v>/</v>
      </c>
      <c r="N1064" s="151" t="str">
        <f t="shared" si="53"/>
        <v/>
      </c>
      <c r="Q1064" s="239" t="str">
        <f t="shared" ca="1" si="51"/>
        <v/>
      </c>
    </row>
    <row r="1065" spans="3:17" ht="15.75" hidden="1" customHeight="1" outlineLevel="1" x14ac:dyDescent="0.25">
      <c r="C1065" s="207"/>
      <c r="D1065" s="196">
        <v>42438</v>
      </c>
      <c r="E1065" s="101" t="s">
        <v>24</v>
      </c>
      <c r="F1065" s="216" t="s">
        <v>50</v>
      </c>
      <c r="G1065" s="3" t="s">
        <v>56</v>
      </c>
      <c r="H1065" s="3" t="s">
        <v>56</v>
      </c>
      <c r="M1065" s="151" t="str">
        <f t="shared" si="52"/>
        <v/>
      </c>
      <c r="N1065" s="151" t="str">
        <f t="shared" si="53"/>
        <v>/</v>
      </c>
      <c r="Q1065" s="239" t="str">
        <f t="shared" ca="1" si="51"/>
        <v/>
      </c>
    </row>
    <row r="1066" spans="3:17" ht="15.75" hidden="1" customHeight="1" outlineLevel="1" x14ac:dyDescent="0.25">
      <c r="C1066" s="207"/>
      <c r="D1066" s="196">
        <v>42440</v>
      </c>
      <c r="E1066" s="101" t="s">
        <v>18</v>
      </c>
      <c r="F1066" s="216" t="s">
        <v>50</v>
      </c>
      <c r="G1066" s="3" t="s">
        <v>56</v>
      </c>
      <c r="H1066" s="3" t="s">
        <v>56</v>
      </c>
      <c r="M1066" s="151" t="str">
        <f t="shared" si="52"/>
        <v/>
      </c>
      <c r="N1066" s="151" t="str">
        <f t="shared" si="53"/>
        <v>/</v>
      </c>
      <c r="Q1066" s="239" t="str">
        <f t="shared" ca="1" si="51"/>
        <v/>
      </c>
    </row>
    <row r="1067" spans="3:17" ht="15.75" hidden="1" customHeight="1" outlineLevel="1" x14ac:dyDescent="0.25">
      <c r="C1067" s="207"/>
      <c r="D1067" s="196">
        <v>42441</v>
      </c>
      <c r="E1067" s="101" t="s">
        <v>644</v>
      </c>
      <c r="F1067" s="216" t="s">
        <v>50</v>
      </c>
      <c r="G1067" s="3" t="s">
        <v>56</v>
      </c>
      <c r="H1067" s="3" t="s">
        <v>56</v>
      </c>
      <c r="M1067" s="151" t="str">
        <f t="shared" si="52"/>
        <v/>
      </c>
      <c r="N1067" s="151" t="str">
        <f t="shared" si="53"/>
        <v>/</v>
      </c>
      <c r="Q1067" s="239" t="str">
        <f t="shared" ref="Q1067:Q1130" ca="1" si="54">IF(D1067=TODAY(),1,"")</f>
        <v/>
      </c>
    </row>
    <row r="1068" spans="3:17" ht="15.75" hidden="1" customHeight="1" outlineLevel="1" x14ac:dyDescent="0.25">
      <c r="C1068" s="207"/>
      <c r="D1068" s="196">
        <v>42443</v>
      </c>
      <c r="E1068" s="101" t="s">
        <v>16</v>
      </c>
      <c r="F1068" s="216" t="s">
        <v>50</v>
      </c>
      <c r="G1068" s="3" t="s">
        <v>56</v>
      </c>
      <c r="H1068" s="3" t="s">
        <v>56</v>
      </c>
      <c r="M1068" s="151" t="str">
        <f t="shared" si="52"/>
        <v/>
      </c>
      <c r="N1068" s="151" t="str">
        <f t="shared" si="53"/>
        <v>/</v>
      </c>
      <c r="Q1068" s="239" t="str">
        <f t="shared" ca="1" si="54"/>
        <v/>
      </c>
    </row>
    <row r="1069" spans="3:17" ht="15.75" hidden="1" customHeight="1" outlineLevel="1" x14ac:dyDescent="0.25">
      <c r="C1069" s="207"/>
      <c r="D1069" s="196">
        <v>42446</v>
      </c>
      <c r="E1069" s="101" t="s">
        <v>645</v>
      </c>
      <c r="F1069" s="216" t="s">
        <v>49</v>
      </c>
      <c r="G1069" s="3" t="s">
        <v>56</v>
      </c>
      <c r="H1069" s="3" t="s">
        <v>56</v>
      </c>
      <c r="M1069" s="151" t="str">
        <f t="shared" si="52"/>
        <v>/</v>
      </c>
      <c r="N1069" s="151" t="str">
        <f t="shared" si="53"/>
        <v/>
      </c>
      <c r="Q1069" s="239" t="str">
        <f t="shared" ca="1" si="54"/>
        <v/>
      </c>
    </row>
    <row r="1070" spans="3:17" ht="15.75" hidden="1" customHeight="1" outlineLevel="1" x14ac:dyDescent="0.25">
      <c r="C1070" s="207"/>
      <c r="D1070" s="196">
        <v>42448</v>
      </c>
      <c r="E1070" s="101" t="s">
        <v>1</v>
      </c>
      <c r="F1070" s="216" t="s">
        <v>49</v>
      </c>
      <c r="G1070" s="3" t="s">
        <v>56</v>
      </c>
      <c r="H1070" s="3" t="s">
        <v>56</v>
      </c>
      <c r="M1070" s="151" t="str">
        <f t="shared" si="52"/>
        <v>/</v>
      </c>
      <c r="N1070" s="151" t="str">
        <f t="shared" si="53"/>
        <v/>
      </c>
      <c r="Q1070" s="239" t="str">
        <f t="shared" ca="1" si="54"/>
        <v/>
      </c>
    </row>
    <row r="1071" spans="3:17" ht="15.75" hidden="1" customHeight="1" outlineLevel="1" x14ac:dyDescent="0.25">
      <c r="C1071" s="207"/>
      <c r="D1071" s="196">
        <v>42449</v>
      </c>
      <c r="E1071" s="101" t="s">
        <v>10</v>
      </c>
      <c r="F1071" s="216" t="s">
        <v>50</v>
      </c>
      <c r="G1071" s="3" t="s">
        <v>56</v>
      </c>
      <c r="H1071" s="3" t="s">
        <v>56</v>
      </c>
      <c r="M1071" s="151" t="str">
        <f t="shared" si="52"/>
        <v/>
      </c>
      <c r="N1071" s="151" t="str">
        <f t="shared" si="53"/>
        <v>/</v>
      </c>
      <c r="Q1071" s="239" t="str">
        <f t="shared" ca="1" si="54"/>
        <v/>
      </c>
    </row>
    <row r="1072" spans="3:17" ht="15.75" hidden="1" customHeight="1" outlineLevel="1" x14ac:dyDescent="0.25">
      <c r="C1072" s="207"/>
      <c r="D1072" s="196">
        <v>42451</v>
      </c>
      <c r="E1072" s="101" t="s">
        <v>23</v>
      </c>
      <c r="F1072" s="216" t="s">
        <v>50</v>
      </c>
      <c r="G1072" s="3" t="s">
        <v>56</v>
      </c>
      <c r="H1072" s="3" t="s">
        <v>56</v>
      </c>
      <c r="M1072" s="151" t="str">
        <f t="shared" si="52"/>
        <v/>
      </c>
      <c r="N1072" s="151" t="str">
        <f t="shared" si="53"/>
        <v>/</v>
      </c>
      <c r="Q1072" s="239" t="str">
        <f t="shared" ca="1" si="54"/>
        <v/>
      </c>
    </row>
    <row r="1073" spans="2:17" ht="15.75" hidden="1" customHeight="1" outlineLevel="1" x14ac:dyDescent="0.25">
      <c r="C1073" s="207"/>
      <c r="D1073" s="196">
        <v>42453</v>
      </c>
      <c r="E1073" s="101" t="s">
        <v>2</v>
      </c>
      <c r="F1073" s="216" t="s">
        <v>50</v>
      </c>
      <c r="G1073" s="3" t="s">
        <v>56</v>
      </c>
      <c r="H1073" s="3" t="s">
        <v>56</v>
      </c>
      <c r="M1073" s="151" t="str">
        <f t="shared" si="52"/>
        <v/>
      </c>
      <c r="N1073" s="151" t="str">
        <f t="shared" si="53"/>
        <v>/</v>
      </c>
      <c r="Q1073" s="239" t="str">
        <f t="shared" ca="1" si="54"/>
        <v/>
      </c>
    </row>
    <row r="1074" spans="2:17" ht="15.75" hidden="1" customHeight="1" outlineLevel="1" x14ac:dyDescent="0.25">
      <c r="C1074" s="207"/>
      <c r="D1074" s="196">
        <v>42455</v>
      </c>
      <c r="E1074" s="101" t="s">
        <v>7</v>
      </c>
      <c r="F1074" s="216" t="s">
        <v>50</v>
      </c>
      <c r="G1074" s="3" t="s">
        <v>56</v>
      </c>
      <c r="H1074" s="3" t="s">
        <v>56</v>
      </c>
      <c r="M1074" s="151" t="str">
        <f t="shared" si="52"/>
        <v/>
      </c>
      <c r="N1074" s="151" t="str">
        <f t="shared" si="53"/>
        <v>/</v>
      </c>
      <c r="Q1074" s="239" t="str">
        <f t="shared" ca="1" si="54"/>
        <v/>
      </c>
    </row>
    <row r="1075" spans="2:17" ht="15.75" hidden="1" customHeight="1" outlineLevel="1" x14ac:dyDescent="0.25">
      <c r="C1075" s="207"/>
      <c r="D1075" s="196">
        <v>42457</v>
      </c>
      <c r="E1075" s="101" t="s">
        <v>45</v>
      </c>
      <c r="F1075" s="216" t="s">
        <v>50</v>
      </c>
      <c r="G1075" s="3" t="s">
        <v>56</v>
      </c>
      <c r="H1075" s="3" t="s">
        <v>56</v>
      </c>
      <c r="M1075" s="151" t="str">
        <f t="shared" si="52"/>
        <v/>
      </c>
      <c r="N1075" s="151" t="str">
        <f t="shared" si="53"/>
        <v>/</v>
      </c>
      <c r="Q1075" s="239" t="str">
        <f t="shared" ca="1" si="54"/>
        <v/>
      </c>
    </row>
    <row r="1076" spans="2:17" ht="15.75" hidden="1" customHeight="1" outlineLevel="1" x14ac:dyDescent="0.25">
      <c r="C1076" s="207"/>
      <c r="D1076" s="196">
        <v>42458</v>
      </c>
      <c r="E1076" s="101" t="s">
        <v>0</v>
      </c>
      <c r="F1076" s="216" t="s">
        <v>49</v>
      </c>
      <c r="G1076" s="3" t="s">
        <v>56</v>
      </c>
      <c r="H1076" s="3" t="s">
        <v>56</v>
      </c>
      <c r="M1076" s="151" t="str">
        <f t="shared" si="52"/>
        <v>/</v>
      </c>
      <c r="N1076" s="151" t="str">
        <f t="shared" si="53"/>
        <v/>
      </c>
      <c r="Q1076" s="239" t="str">
        <f t="shared" ca="1" si="54"/>
        <v/>
      </c>
    </row>
    <row r="1077" spans="2:17" ht="15.75" hidden="1" customHeight="1" outlineLevel="1" x14ac:dyDescent="0.25">
      <c r="C1077" s="207"/>
      <c r="D1077" s="196">
        <v>42460</v>
      </c>
      <c r="E1077" s="101" t="s">
        <v>4</v>
      </c>
      <c r="F1077" s="216" t="s">
        <v>50</v>
      </c>
      <c r="G1077" s="3" t="s">
        <v>56</v>
      </c>
      <c r="H1077" s="3" t="s">
        <v>56</v>
      </c>
      <c r="M1077" s="151" t="str">
        <f t="shared" si="52"/>
        <v/>
      </c>
      <c r="N1077" s="151" t="str">
        <f t="shared" si="53"/>
        <v>/</v>
      </c>
      <c r="Q1077" s="239" t="str">
        <f t="shared" ca="1" si="54"/>
        <v/>
      </c>
    </row>
    <row r="1078" spans="2:17" ht="15.75" hidden="1" customHeight="1" outlineLevel="1" x14ac:dyDescent="0.25">
      <c r="C1078" s="208"/>
      <c r="D1078" s="196">
        <v>42462</v>
      </c>
      <c r="E1078" s="101" t="s">
        <v>12</v>
      </c>
      <c r="F1078" s="216" t="s">
        <v>50</v>
      </c>
      <c r="G1078" s="3" t="s">
        <v>56</v>
      </c>
      <c r="H1078" s="3" t="s">
        <v>56</v>
      </c>
      <c r="M1078" s="151" t="str">
        <f t="shared" si="52"/>
        <v/>
      </c>
      <c r="N1078" s="151" t="str">
        <f t="shared" si="53"/>
        <v>/</v>
      </c>
      <c r="Q1078" s="239" t="str">
        <f t="shared" ca="1" si="54"/>
        <v/>
      </c>
    </row>
    <row r="1079" spans="2:17" ht="15.75" hidden="1" customHeight="1" outlineLevel="1" x14ac:dyDescent="0.25">
      <c r="C1079" s="208"/>
      <c r="D1079" s="196">
        <v>42464</v>
      </c>
      <c r="E1079" s="101" t="s">
        <v>45</v>
      </c>
      <c r="F1079" s="216" t="s">
        <v>49</v>
      </c>
      <c r="G1079" s="3" t="s">
        <v>56</v>
      </c>
      <c r="H1079" s="3" t="s">
        <v>56</v>
      </c>
      <c r="M1079" s="151" t="str">
        <f t="shared" si="52"/>
        <v>/</v>
      </c>
      <c r="N1079" s="151" t="str">
        <f t="shared" si="53"/>
        <v/>
      </c>
      <c r="Q1079" s="239" t="str">
        <f t="shared" ca="1" si="54"/>
        <v/>
      </c>
    </row>
    <row r="1080" spans="2:17" ht="15.75" hidden="1" customHeight="1" outlineLevel="1" x14ac:dyDescent="0.25">
      <c r="C1080" s="208"/>
      <c r="D1080" s="196">
        <v>42466</v>
      </c>
      <c r="E1080" s="101" t="s">
        <v>2</v>
      </c>
      <c r="F1080" s="216" t="s">
        <v>49</v>
      </c>
      <c r="G1080" s="3" t="s">
        <v>56</v>
      </c>
      <c r="H1080" s="3" t="s">
        <v>56</v>
      </c>
      <c r="M1080" s="151" t="str">
        <f t="shared" si="52"/>
        <v>/</v>
      </c>
      <c r="N1080" s="151" t="str">
        <f t="shared" si="53"/>
        <v/>
      </c>
      <c r="Q1080" s="239" t="str">
        <f t="shared" ca="1" si="54"/>
        <v/>
      </c>
    </row>
    <row r="1081" spans="2:17" ht="15.75" hidden="1" customHeight="1" outlineLevel="1" x14ac:dyDescent="0.25">
      <c r="C1081" s="208"/>
      <c r="D1081" s="196">
        <v>42468</v>
      </c>
      <c r="E1081" s="101" t="s">
        <v>8</v>
      </c>
      <c r="F1081" s="216" t="s">
        <v>49</v>
      </c>
      <c r="G1081" s="3" t="s">
        <v>56</v>
      </c>
      <c r="H1081" s="3" t="s">
        <v>56</v>
      </c>
      <c r="M1081" s="151" t="str">
        <f t="shared" si="52"/>
        <v>/</v>
      </c>
      <c r="N1081" s="151" t="str">
        <f t="shared" si="53"/>
        <v/>
      </c>
      <c r="Q1081" s="239" t="str">
        <f t="shared" ca="1" si="54"/>
        <v/>
      </c>
    </row>
    <row r="1082" spans="2:17" ht="15.75" hidden="1" customHeight="1" outlineLevel="1" x14ac:dyDescent="0.25">
      <c r="C1082" s="208"/>
      <c r="D1082" s="196">
        <v>42470</v>
      </c>
      <c r="E1082" s="101" t="s">
        <v>7</v>
      </c>
      <c r="F1082" s="216" t="s">
        <v>49</v>
      </c>
      <c r="G1082" s="3" t="s">
        <v>56</v>
      </c>
      <c r="H1082" s="3" t="s">
        <v>56</v>
      </c>
      <c r="M1082" s="151" t="str">
        <f t="shared" si="52"/>
        <v>/</v>
      </c>
      <c r="N1082" s="151" t="str">
        <f t="shared" si="53"/>
        <v/>
      </c>
      <c r="Q1082" s="239" t="str">
        <f t="shared" ca="1" si="54"/>
        <v/>
      </c>
    </row>
    <row r="1083" spans="2:17" ht="15.75" hidden="1" customHeight="1" outlineLevel="1" x14ac:dyDescent="0.25">
      <c r="C1083" s="208"/>
      <c r="D1083" s="196">
        <v>42472</v>
      </c>
      <c r="E1083" s="102" t="s">
        <v>9</v>
      </c>
      <c r="F1083" s="217" t="s">
        <v>50</v>
      </c>
      <c r="G1083" s="3" t="s">
        <v>56</v>
      </c>
      <c r="H1083" s="3" t="s">
        <v>56</v>
      </c>
      <c r="M1083" s="151" t="str">
        <f t="shared" si="52"/>
        <v/>
      </c>
      <c r="N1083" s="151" t="str">
        <f t="shared" si="53"/>
        <v>/</v>
      </c>
      <c r="Q1083" s="239" t="str">
        <f t="shared" ca="1" si="54"/>
        <v/>
      </c>
    </row>
    <row r="1084" spans="2:17" collapsed="1" x14ac:dyDescent="0.25">
      <c r="B1084" s="404" t="str">
        <f ca="1">"- "&amp;INDEX(E1085:E1166,MATCH(TODAY(),D1085:D1166,0))</f>
        <v>- Cleveland</v>
      </c>
      <c r="C1084" s="404"/>
      <c r="D1084" s="406" t="s">
        <v>12</v>
      </c>
      <c r="E1084" s="407"/>
      <c r="F1084" s="408"/>
      <c r="H1084" s="3"/>
      <c r="Q1084" s="239" t="str">
        <f t="shared" ca="1" si="54"/>
        <v/>
      </c>
    </row>
    <row r="1085" spans="2:17" ht="16.5" hidden="1" customHeight="1" outlineLevel="1" x14ac:dyDescent="0.25">
      <c r="C1085" s="207"/>
      <c r="D1085" s="196">
        <v>42669</v>
      </c>
      <c r="E1085" s="103" t="s">
        <v>5</v>
      </c>
      <c r="F1085" s="215" t="s">
        <v>49</v>
      </c>
      <c r="G1085" s="3">
        <v>1</v>
      </c>
      <c r="H1085" s="3">
        <v>109</v>
      </c>
      <c r="I1085" s="151">
        <v>17</v>
      </c>
      <c r="J1085" s="151">
        <v>56</v>
      </c>
      <c r="K1085" s="151">
        <v>83</v>
      </c>
      <c r="L1085" s="151">
        <v>48</v>
      </c>
      <c r="M1085" s="151">
        <f t="shared" si="52"/>
        <v>109</v>
      </c>
      <c r="N1085" s="151" t="str">
        <f t="shared" si="53"/>
        <v/>
      </c>
      <c r="O1085" s="151">
        <v>91</v>
      </c>
      <c r="Q1085" s="239" t="str">
        <f t="shared" ca="1" si="54"/>
        <v/>
      </c>
    </row>
    <row r="1086" spans="2:17" ht="15.75" hidden="1" customHeight="1" outlineLevel="1" x14ac:dyDescent="0.25">
      <c r="C1086" s="207"/>
      <c r="D1086" s="196">
        <v>42671</v>
      </c>
      <c r="E1086" s="101" t="s">
        <v>4</v>
      </c>
      <c r="F1086" s="216" t="s">
        <v>49</v>
      </c>
      <c r="G1086" s="3" t="s">
        <v>56</v>
      </c>
      <c r="H1086" s="3" t="s">
        <v>56</v>
      </c>
      <c r="M1086" s="151" t="str">
        <f t="shared" si="52"/>
        <v>/</v>
      </c>
      <c r="N1086" s="151" t="str">
        <f t="shared" si="53"/>
        <v/>
      </c>
      <c r="Q1086" s="239">
        <f t="shared" ca="1" si="54"/>
        <v>1</v>
      </c>
    </row>
    <row r="1087" spans="2:17" ht="15.75" hidden="1" customHeight="1" outlineLevel="1" x14ac:dyDescent="0.25">
      <c r="C1087" s="207"/>
      <c r="D1087" s="196">
        <v>42674</v>
      </c>
      <c r="E1087" s="101" t="s">
        <v>15</v>
      </c>
      <c r="F1087" s="216" t="s">
        <v>49</v>
      </c>
      <c r="G1087" s="3" t="s">
        <v>56</v>
      </c>
      <c r="H1087" s="3" t="s">
        <v>56</v>
      </c>
      <c r="M1087" s="151" t="str">
        <f t="shared" si="52"/>
        <v>/</v>
      </c>
      <c r="N1087" s="151" t="str">
        <f t="shared" si="53"/>
        <v/>
      </c>
      <c r="Q1087" s="239" t="str">
        <f t="shared" ca="1" si="54"/>
        <v/>
      </c>
    </row>
    <row r="1088" spans="2:17" ht="15.75" hidden="1" customHeight="1" outlineLevel="1" x14ac:dyDescent="0.25">
      <c r="C1088" s="207"/>
      <c r="D1088" s="196">
        <v>42676</v>
      </c>
      <c r="E1088" s="101" t="s">
        <v>13</v>
      </c>
      <c r="F1088" s="216" t="s">
        <v>50</v>
      </c>
      <c r="G1088" s="3" t="s">
        <v>56</v>
      </c>
      <c r="H1088" s="3" t="s">
        <v>56</v>
      </c>
      <c r="M1088" s="151" t="str">
        <f t="shared" si="52"/>
        <v/>
      </c>
      <c r="N1088" s="151" t="str">
        <f t="shared" si="53"/>
        <v>/</v>
      </c>
      <c r="Q1088" s="239" t="str">
        <f t="shared" ca="1" si="54"/>
        <v/>
      </c>
    </row>
    <row r="1089" spans="3:17" ht="15.75" hidden="1" customHeight="1" outlineLevel="1" x14ac:dyDescent="0.25">
      <c r="C1089" s="207"/>
      <c r="D1089" s="196">
        <v>42678</v>
      </c>
      <c r="E1089" s="101" t="s">
        <v>6</v>
      </c>
      <c r="F1089" s="216" t="s">
        <v>49</v>
      </c>
      <c r="G1089" s="3" t="s">
        <v>56</v>
      </c>
      <c r="H1089" s="3" t="s">
        <v>56</v>
      </c>
      <c r="M1089" s="151" t="str">
        <f t="shared" si="52"/>
        <v>/</v>
      </c>
      <c r="N1089" s="151" t="str">
        <f t="shared" si="53"/>
        <v/>
      </c>
      <c r="Q1089" s="239" t="str">
        <f t="shared" ca="1" si="54"/>
        <v/>
      </c>
    </row>
    <row r="1090" spans="3:17" ht="15.75" hidden="1" customHeight="1" outlineLevel="1" x14ac:dyDescent="0.25">
      <c r="C1090" s="207"/>
      <c r="D1090" s="196">
        <v>42680</v>
      </c>
      <c r="E1090" s="101" t="s">
        <v>26</v>
      </c>
      <c r="F1090" s="216" t="s">
        <v>49</v>
      </c>
      <c r="G1090" s="3" t="s">
        <v>56</v>
      </c>
      <c r="H1090" s="3" t="s">
        <v>56</v>
      </c>
      <c r="M1090" s="151" t="str">
        <f t="shared" si="52"/>
        <v>/</v>
      </c>
      <c r="N1090" s="151" t="str">
        <f t="shared" si="53"/>
        <v/>
      </c>
      <c r="Q1090" s="239" t="str">
        <f t="shared" ca="1" si="54"/>
        <v/>
      </c>
    </row>
    <row r="1091" spans="3:17" ht="15.75" hidden="1" customHeight="1" outlineLevel="1" x14ac:dyDescent="0.25">
      <c r="C1091" s="207"/>
      <c r="D1091" s="196">
        <v>42683</v>
      </c>
      <c r="E1091" s="101" t="s">
        <v>23</v>
      </c>
      <c r="F1091" s="216" t="s">
        <v>50</v>
      </c>
      <c r="G1091" s="3" t="s">
        <v>56</v>
      </c>
      <c r="H1091" s="3" t="s">
        <v>56</v>
      </c>
      <c r="M1091" s="151" t="str">
        <f t="shared" si="52"/>
        <v/>
      </c>
      <c r="N1091" s="151" t="str">
        <f t="shared" si="53"/>
        <v>/</v>
      </c>
      <c r="Q1091" s="239" t="str">
        <f t="shared" ca="1" si="54"/>
        <v/>
      </c>
    </row>
    <row r="1092" spans="3:17" ht="15.75" hidden="1" customHeight="1" outlineLevel="1" x14ac:dyDescent="0.25">
      <c r="C1092" s="207"/>
      <c r="D1092" s="196">
        <v>42685</v>
      </c>
      <c r="E1092" s="101" t="s">
        <v>3</v>
      </c>
      <c r="F1092" s="216" t="s">
        <v>50</v>
      </c>
      <c r="G1092" s="3" t="s">
        <v>56</v>
      </c>
      <c r="H1092" s="3" t="s">
        <v>56</v>
      </c>
      <c r="M1092" s="151" t="str">
        <f t="shared" si="52"/>
        <v/>
      </c>
      <c r="N1092" s="151" t="str">
        <f t="shared" si="53"/>
        <v>/</v>
      </c>
      <c r="Q1092" s="239" t="str">
        <f t="shared" ca="1" si="54"/>
        <v/>
      </c>
    </row>
    <row r="1093" spans="3:17" ht="15.75" hidden="1" customHeight="1" outlineLevel="1" x14ac:dyDescent="0.25">
      <c r="C1093" s="207"/>
      <c r="D1093" s="196">
        <v>42686</v>
      </c>
      <c r="E1093" s="101" t="s">
        <v>9</v>
      </c>
      <c r="F1093" s="216" t="s">
        <v>49</v>
      </c>
      <c r="G1093" s="3" t="s">
        <v>56</v>
      </c>
      <c r="H1093" s="3" t="s">
        <v>56</v>
      </c>
      <c r="M1093" s="151" t="str">
        <f t="shared" si="52"/>
        <v>/</v>
      </c>
      <c r="N1093" s="151" t="str">
        <f t="shared" si="53"/>
        <v/>
      </c>
      <c r="Q1093" s="239" t="str">
        <f t="shared" ca="1" si="54"/>
        <v/>
      </c>
    </row>
    <row r="1094" spans="3:17" ht="15.75" hidden="1" customHeight="1" outlineLevel="1" x14ac:dyDescent="0.25">
      <c r="C1094" s="207"/>
      <c r="D1094" s="196">
        <v>42689</v>
      </c>
      <c r="E1094" s="101" t="s">
        <v>4</v>
      </c>
      <c r="F1094" s="216" t="s">
        <v>50</v>
      </c>
      <c r="G1094" s="3" t="s">
        <v>56</v>
      </c>
      <c r="H1094" s="3" t="s">
        <v>56</v>
      </c>
      <c r="M1094" s="151" t="str">
        <f t="shared" si="52"/>
        <v/>
      </c>
      <c r="N1094" s="151" t="str">
        <f t="shared" si="53"/>
        <v>/</v>
      </c>
      <c r="Q1094" s="239" t="str">
        <f t="shared" ca="1" si="54"/>
        <v/>
      </c>
    </row>
    <row r="1095" spans="3:17" ht="15.75" hidden="1" customHeight="1" outlineLevel="1" x14ac:dyDescent="0.25">
      <c r="C1095" s="207"/>
      <c r="D1095" s="196">
        <v>42690</v>
      </c>
      <c r="E1095" s="101" t="s">
        <v>16</v>
      </c>
      <c r="F1095" s="216" t="s">
        <v>49</v>
      </c>
      <c r="G1095" s="3" t="s">
        <v>56</v>
      </c>
      <c r="H1095" s="3" t="s">
        <v>56</v>
      </c>
      <c r="M1095" s="151" t="str">
        <f t="shared" ref="M1095:M1158" si="55">IF(F1095="D",H1095,"")</f>
        <v>/</v>
      </c>
      <c r="N1095" s="151" t="str">
        <f t="shared" ref="N1095:N1158" si="56">IF(F1095="E",H1095,"")</f>
        <v/>
      </c>
      <c r="Q1095" s="239" t="str">
        <f t="shared" ca="1" si="54"/>
        <v/>
      </c>
    </row>
    <row r="1096" spans="3:17" ht="15.75" hidden="1" customHeight="1" outlineLevel="1" x14ac:dyDescent="0.25">
      <c r="C1096" s="207"/>
      <c r="D1096" s="196">
        <v>42692</v>
      </c>
      <c r="E1096" s="101" t="s">
        <v>15</v>
      </c>
      <c r="F1096" s="216" t="s">
        <v>50</v>
      </c>
      <c r="G1096" s="3" t="s">
        <v>56</v>
      </c>
      <c r="H1096" s="3" t="s">
        <v>56</v>
      </c>
      <c r="M1096" s="151" t="str">
        <f t="shared" si="55"/>
        <v/>
      </c>
      <c r="N1096" s="151" t="str">
        <f t="shared" si="56"/>
        <v>/</v>
      </c>
      <c r="Q1096" s="239" t="str">
        <f t="shared" ca="1" si="54"/>
        <v/>
      </c>
    </row>
    <row r="1097" spans="3:17" ht="15.75" hidden="1" customHeight="1" outlineLevel="1" x14ac:dyDescent="0.25">
      <c r="C1097" s="207"/>
      <c r="D1097" s="196">
        <v>42694</v>
      </c>
      <c r="E1097" s="101" t="s">
        <v>26</v>
      </c>
      <c r="F1097" s="216" t="s">
        <v>50</v>
      </c>
      <c r="G1097" s="3" t="s">
        <v>56</v>
      </c>
      <c r="H1097" s="3" t="s">
        <v>56</v>
      </c>
      <c r="M1097" s="151" t="str">
        <f t="shared" si="55"/>
        <v/>
      </c>
      <c r="N1097" s="151" t="str">
        <f t="shared" si="56"/>
        <v>/</v>
      </c>
      <c r="Q1097" s="239" t="str">
        <f t="shared" ca="1" si="54"/>
        <v/>
      </c>
    </row>
    <row r="1098" spans="3:17" ht="15.75" hidden="1" customHeight="1" outlineLevel="1" x14ac:dyDescent="0.25">
      <c r="C1098" s="207"/>
      <c r="D1098" s="196">
        <v>42695</v>
      </c>
      <c r="E1098" s="101" t="s">
        <v>18</v>
      </c>
      <c r="F1098" s="216" t="s">
        <v>50</v>
      </c>
      <c r="G1098" s="3" t="s">
        <v>56</v>
      </c>
      <c r="H1098" s="3" t="s">
        <v>56</v>
      </c>
      <c r="M1098" s="151" t="str">
        <f t="shared" si="55"/>
        <v/>
      </c>
      <c r="N1098" s="151" t="str">
        <f t="shared" si="56"/>
        <v>/</v>
      </c>
      <c r="Q1098" s="239" t="str">
        <f t="shared" ca="1" si="54"/>
        <v/>
      </c>
    </row>
    <row r="1099" spans="3:17" ht="15.75" hidden="1" customHeight="1" outlineLevel="1" x14ac:dyDescent="0.25">
      <c r="C1099" s="207"/>
      <c r="D1099" s="196">
        <v>42697</v>
      </c>
      <c r="E1099" s="101" t="s">
        <v>17</v>
      </c>
      <c r="F1099" s="216" t="s">
        <v>50</v>
      </c>
      <c r="G1099" s="3" t="s">
        <v>56</v>
      </c>
      <c r="H1099" s="3" t="s">
        <v>56</v>
      </c>
      <c r="M1099" s="151" t="str">
        <f t="shared" si="55"/>
        <v/>
      </c>
      <c r="N1099" s="151" t="str">
        <f t="shared" si="56"/>
        <v>/</v>
      </c>
      <c r="Q1099" s="239" t="str">
        <f t="shared" ca="1" si="54"/>
        <v/>
      </c>
    </row>
    <row r="1100" spans="3:17" ht="15.75" hidden="1" customHeight="1" outlineLevel="1" x14ac:dyDescent="0.25">
      <c r="C1100" s="207"/>
      <c r="D1100" s="196">
        <v>42699</v>
      </c>
      <c r="E1100" s="101" t="s">
        <v>8</v>
      </c>
      <c r="F1100" s="216" t="s">
        <v>50</v>
      </c>
      <c r="G1100" s="3" t="s">
        <v>56</v>
      </c>
      <c r="H1100" s="3" t="s">
        <v>56</v>
      </c>
      <c r="M1100" s="151" t="str">
        <f t="shared" si="55"/>
        <v/>
      </c>
      <c r="N1100" s="151" t="str">
        <f t="shared" si="56"/>
        <v>/</v>
      </c>
      <c r="Q1100" s="239" t="str">
        <f t="shared" ca="1" si="54"/>
        <v/>
      </c>
    </row>
    <row r="1101" spans="3:17" ht="15.75" hidden="1" customHeight="1" outlineLevel="1" x14ac:dyDescent="0.25">
      <c r="C1101" s="207"/>
      <c r="D1101" s="196">
        <v>42702</v>
      </c>
      <c r="E1101" s="101" t="s">
        <v>11</v>
      </c>
      <c r="F1101" s="216" t="s">
        <v>49</v>
      </c>
      <c r="G1101" s="3" t="s">
        <v>56</v>
      </c>
      <c r="H1101" s="3" t="s">
        <v>56</v>
      </c>
      <c r="M1101" s="151" t="str">
        <f t="shared" si="55"/>
        <v>/</v>
      </c>
      <c r="N1101" s="151" t="str">
        <f t="shared" si="56"/>
        <v/>
      </c>
      <c r="Q1101" s="239" t="str">
        <f t="shared" ca="1" si="54"/>
        <v/>
      </c>
    </row>
    <row r="1102" spans="3:17" ht="15.75" hidden="1" customHeight="1" outlineLevel="1" x14ac:dyDescent="0.25">
      <c r="C1102" s="207"/>
      <c r="D1102" s="196">
        <v>42704</v>
      </c>
      <c r="E1102" s="101" t="s">
        <v>20</v>
      </c>
      <c r="F1102" s="216" t="s">
        <v>49</v>
      </c>
      <c r="G1102" s="3" t="s">
        <v>56</v>
      </c>
      <c r="H1102" s="3" t="s">
        <v>56</v>
      </c>
      <c r="M1102" s="151" t="str">
        <f t="shared" si="55"/>
        <v>/</v>
      </c>
      <c r="N1102" s="151" t="str">
        <f t="shared" si="56"/>
        <v/>
      </c>
      <c r="Q1102" s="239" t="str">
        <f t="shared" ca="1" si="54"/>
        <v/>
      </c>
    </row>
    <row r="1103" spans="3:17" ht="15.75" hidden="1" customHeight="1" outlineLevel="1" x14ac:dyDescent="0.25">
      <c r="C1103" s="208"/>
      <c r="D1103" s="196">
        <v>42706</v>
      </c>
      <c r="E1103" s="101" t="s">
        <v>644</v>
      </c>
      <c r="F1103" s="216" t="s">
        <v>49</v>
      </c>
      <c r="G1103" s="3" t="s">
        <v>56</v>
      </c>
      <c r="H1103" s="3" t="s">
        <v>56</v>
      </c>
      <c r="M1103" s="151" t="str">
        <f t="shared" si="55"/>
        <v>/</v>
      </c>
      <c r="N1103" s="151" t="str">
        <f t="shared" si="56"/>
        <v/>
      </c>
      <c r="Q1103" s="239" t="str">
        <f t="shared" ca="1" si="54"/>
        <v/>
      </c>
    </row>
    <row r="1104" spans="3:17" ht="15.75" hidden="1" customHeight="1" outlineLevel="1" x14ac:dyDescent="0.25">
      <c r="C1104" s="208"/>
      <c r="D1104" s="196">
        <v>42707</v>
      </c>
      <c r="E1104" s="101" t="s">
        <v>0</v>
      </c>
      <c r="F1104" s="216" t="s">
        <v>49</v>
      </c>
      <c r="G1104" s="3" t="s">
        <v>56</v>
      </c>
      <c r="H1104" s="3" t="s">
        <v>56</v>
      </c>
      <c r="M1104" s="151" t="str">
        <f t="shared" si="55"/>
        <v>/</v>
      </c>
      <c r="N1104" s="151" t="str">
        <f t="shared" si="56"/>
        <v/>
      </c>
      <c r="Q1104" s="239" t="str">
        <f t="shared" ca="1" si="54"/>
        <v/>
      </c>
    </row>
    <row r="1105" spans="3:17" ht="15.75" hidden="1" customHeight="1" outlineLevel="1" x14ac:dyDescent="0.25">
      <c r="C1105" s="208"/>
      <c r="D1105" s="196">
        <v>42709</v>
      </c>
      <c r="E1105" s="101" t="s">
        <v>4</v>
      </c>
      <c r="F1105" s="216" t="s">
        <v>49</v>
      </c>
      <c r="G1105" s="3" t="s">
        <v>56</v>
      </c>
      <c r="H1105" s="3" t="s">
        <v>56</v>
      </c>
      <c r="M1105" s="151" t="str">
        <f t="shared" si="55"/>
        <v>/</v>
      </c>
      <c r="N1105" s="151" t="str">
        <f t="shared" si="56"/>
        <v/>
      </c>
      <c r="Q1105" s="239" t="str">
        <f t="shared" ca="1" si="54"/>
        <v/>
      </c>
    </row>
    <row r="1106" spans="3:17" ht="15.75" hidden="1" customHeight="1" outlineLevel="1" x14ac:dyDescent="0.25">
      <c r="C1106" s="208"/>
      <c r="D1106" s="196">
        <v>42712</v>
      </c>
      <c r="E1106" s="101" t="s">
        <v>21</v>
      </c>
      <c r="F1106" s="216" t="s">
        <v>49</v>
      </c>
      <c r="G1106" s="3" t="s">
        <v>56</v>
      </c>
      <c r="H1106" s="3" t="s">
        <v>56</v>
      </c>
      <c r="M1106" s="151" t="str">
        <f t="shared" si="55"/>
        <v>/</v>
      </c>
      <c r="N1106" s="151" t="str">
        <f t="shared" si="56"/>
        <v/>
      </c>
      <c r="Q1106" s="239" t="str">
        <f t="shared" ca="1" si="54"/>
        <v/>
      </c>
    </row>
    <row r="1107" spans="3:17" ht="15.75" hidden="1" customHeight="1" outlineLevel="1" x14ac:dyDescent="0.25">
      <c r="C1107" s="208"/>
      <c r="D1107" s="196">
        <v>42713</v>
      </c>
      <c r="E1107" s="101" t="s">
        <v>1</v>
      </c>
      <c r="F1107" s="216" t="s">
        <v>50</v>
      </c>
      <c r="G1107" s="3" t="s">
        <v>56</v>
      </c>
      <c r="H1107" s="3" t="s">
        <v>56</v>
      </c>
      <c r="M1107" s="151" t="str">
        <f t="shared" si="55"/>
        <v/>
      </c>
      <c r="N1107" s="151" t="str">
        <f t="shared" si="56"/>
        <v>/</v>
      </c>
      <c r="Q1107" s="239" t="str">
        <f t="shared" ca="1" si="54"/>
        <v/>
      </c>
    </row>
    <row r="1108" spans="3:17" ht="15.75" hidden="1" customHeight="1" outlineLevel="1" x14ac:dyDescent="0.25">
      <c r="C1108" s="208"/>
      <c r="D1108" s="196">
        <v>42716</v>
      </c>
      <c r="E1108" s="101" t="s">
        <v>8</v>
      </c>
      <c r="F1108" s="216" t="s">
        <v>49</v>
      </c>
      <c r="G1108" s="3" t="s">
        <v>56</v>
      </c>
      <c r="H1108" s="3" t="s">
        <v>56</v>
      </c>
      <c r="M1108" s="151" t="str">
        <f t="shared" si="55"/>
        <v>/</v>
      </c>
      <c r="N1108" s="151" t="str">
        <f t="shared" si="56"/>
        <v/>
      </c>
      <c r="Q1108" s="239" t="str">
        <f t="shared" ca="1" si="54"/>
        <v/>
      </c>
    </row>
    <row r="1109" spans="3:17" ht="15.75" hidden="1" customHeight="1" outlineLevel="1" x14ac:dyDescent="0.25">
      <c r="C1109" s="208"/>
      <c r="D1109" s="196">
        <v>42718</v>
      </c>
      <c r="E1109" s="101" t="s">
        <v>11</v>
      </c>
      <c r="F1109" s="216" t="s">
        <v>50</v>
      </c>
      <c r="G1109" s="3" t="s">
        <v>56</v>
      </c>
      <c r="H1109" s="3" t="s">
        <v>56</v>
      </c>
      <c r="M1109" s="151" t="str">
        <f t="shared" si="55"/>
        <v/>
      </c>
      <c r="N1109" s="151" t="str">
        <f t="shared" si="56"/>
        <v>/</v>
      </c>
      <c r="Q1109" s="239" t="str">
        <f t="shared" ca="1" si="54"/>
        <v/>
      </c>
    </row>
    <row r="1110" spans="3:17" ht="15.75" hidden="1" customHeight="1" outlineLevel="1" x14ac:dyDescent="0.25">
      <c r="C1110" s="208"/>
      <c r="D1110" s="196">
        <v>42720</v>
      </c>
      <c r="E1110" s="101" t="s">
        <v>0</v>
      </c>
      <c r="F1110" s="216" t="s">
        <v>49</v>
      </c>
      <c r="G1110" s="3" t="s">
        <v>56</v>
      </c>
      <c r="H1110" s="3" t="s">
        <v>56</v>
      </c>
      <c r="M1110" s="151" t="str">
        <f t="shared" si="55"/>
        <v>/</v>
      </c>
      <c r="N1110" s="151" t="str">
        <f t="shared" si="56"/>
        <v/>
      </c>
      <c r="Q1110" s="239" t="str">
        <f t="shared" ca="1" si="54"/>
        <v/>
      </c>
    </row>
    <row r="1111" spans="3:17" ht="15.75" hidden="1" customHeight="1" outlineLevel="1" x14ac:dyDescent="0.25">
      <c r="C1111" s="208"/>
      <c r="D1111" s="196">
        <v>42722</v>
      </c>
      <c r="E1111" s="101" t="s">
        <v>10</v>
      </c>
      <c r="F1111" s="216" t="s">
        <v>50</v>
      </c>
      <c r="G1111" s="3" t="s">
        <v>56</v>
      </c>
      <c r="H1111" s="3" t="s">
        <v>56</v>
      </c>
      <c r="M1111" s="151" t="str">
        <f t="shared" si="55"/>
        <v/>
      </c>
      <c r="N1111" s="151" t="str">
        <f t="shared" si="56"/>
        <v>/</v>
      </c>
      <c r="Q1111" s="239" t="str">
        <f t="shared" ca="1" si="54"/>
        <v/>
      </c>
    </row>
    <row r="1112" spans="3:17" ht="15.75" hidden="1" customHeight="1" outlineLevel="1" x14ac:dyDescent="0.25">
      <c r="C1112" s="208"/>
      <c r="D1112" s="196">
        <v>42724</v>
      </c>
      <c r="E1112" s="101" t="s">
        <v>45</v>
      </c>
      <c r="F1112" s="216" t="s">
        <v>49</v>
      </c>
      <c r="G1112" s="3" t="s">
        <v>56</v>
      </c>
      <c r="H1112" s="3" t="s">
        <v>56</v>
      </c>
      <c r="M1112" s="151" t="str">
        <f t="shared" si="55"/>
        <v>/</v>
      </c>
      <c r="N1112" s="151" t="str">
        <f t="shared" si="56"/>
        <v/>
      </c>
      <c r="Q1112" s="239" t="str">
        <f t="shared" ca="1" si="54"/>
        <v/>
      </c>
    </row>
    <row r="1113" spans="3:17" ht="15.75" hidden="1" customHeight="1" outlineLevel="1" x14ac:dyDescent="0.25">
      <c r="C1113" s="208"/>
      <c r="D1113" s="196">
        <v>42727</v>
      </c>
      <c r="E1113" s="101" t="s">
        <v>28</v>
      </c>
      <c r="F1113" s="216" t="s">
        <v>50</v>
      </c>
      <c r="G1113" s="3" t="s">
        <v>56</v>
      </c>
      <c r="H1113" s="3" t="s">
        <v>56</v>
      </c>
      <c r="M1113" s="151" t="str">
        <f t="shared" si="55"/>
        <v/>
      </c>
      <c r="N1113" s="151" t="str">
        <f t="shared" si="56"/>
        <v>/</v>
      </c>
      <c r="Q1113" s="239" t="str">
        <f t="shared" ca="1" si="54"/>
        <v/>
      </c>
    </row>
    <row r="1114" spans="3:17" ht="15.75" hidden="1" customHeight="1" outlineLevel="1" x14ac:dyDescent="0.25">
      <c r="C1114" s="208"/>
      <c r="D1114" s="196">
        <v>42730</v>
      </c>
      <c r="E1114" s="101" t="s">
        <v>24</v>
      </c>
      <c r="F1114" s="216" t="s">
        <v>50</v>
      </c>
      <c r="G1114" s="3" t="s">
        <v>56</v>
      </c>
      <c r="H1114" s="3" t="s">
        <v>56</v>
      </c>
      <c r="M1114" s="151" t="str">
        <f t="shared" si="55"/>
        <v/>
      </c>
      <c r="N1114" s="151" t="str">
        <f t="shared" si="56"/>
        <v>/</v>
      </c>
      <c r="Q1114" s="239" t="str">
        <f t="shared" ca="1" si="54"/>
        <v/>
      </c>
    </row>
    <row r="1115" spans="3:17" ht="15.75" hidden="1" customHeight="1" outlineLevel="1" x14ac:dyDescent="0.25">
      <c r="C1115" s="208"/>
      <c r="D1115" s="196">
        <v>42732</v>
      </c>
      <c r="E1115" s="101" t="s">
        <v>16</v>
      </c>
      <c r="F1115" s="216" t="s">
        <v>50</v>
      </c>
      <c r="G1115" s="3" t="s">
        <v>56</v>
      </c>
      <c r="H1115" s="3" t="s">
        <v>56</v>
      </c>
      <c r="M1115" s="151" t="str">
        <f t="shared" si="55"/>
        <v/>
      </c>
      <c r="N1115" s="151" t="str">
        <f t="shared" si="56"/>
        <v>/</v>
      </c>
      <c r="Q1115" s="239" t="str">
        <f t="shared" ca="1" si="54"/>
        <v/>
      </c>
    </row>
    <row r="1116" spans="3:17" ht="15.75" hidden="1" customHeight="1" outlineLevel="1" x14ac:dyDescent="0.25">
      <c r="C1116" s="208"/>
      <c r="D1116" s="196">
        <v>42733</v>
      </c>
      <c r="E1116" s="101" t="s">
        <v>25</v>
      </c>
      <c r="F1116" s="216" t="s">
        <v>50</v>
      </c>
      <c r="G1116" s="3" t="s">
        <v>56</v>
      </c>
      <c r="H1116" s="3" t="s">
        <v>56</v>
      </c>
      <c r="M1116" s="151" t="str">
        <f t="shared" si="55"/>
        <v/>
      </c>
      <c r="N1116" s="151" t="str">
        <f t="shared" si="56"/>
        <v>/</v>
      </c>
      <c r="Q1116" s="239" t="str">
        <f t="shared" ca="1" si="54"/>
        <v/>
      </c>
    </row>
    <row r="1117" spans="3:17" ht="15.75" hidden="1" customHeight="1" outlineLevel="1" x14ac:dyDescent="0.25">
      <c r="C1117" s="207"/>
      <c r="D1117" s="196">
        <v>42370</v>
      </c>
      <c r="E1117" s="101" t="s">
        <v>644</v>
      </c>
      <c r="F1117" s="216" t="s">
        <v>50</v>
      </c>
      <c r="G1117" s="3" t="s">
        <v>56</v>
      </c>
      <c r="H1117" s="3" t="s">
        <v>56</v>
      </c>
      <c r="M1117" s="151" t="str">
        <f t="shared" si="55"/>
        <v/>
      </c>
      <c r="N1117" s="151" t="str">
        <f t="shared" si="56"/>
        <v>/</v>
      </c>
      <c r="Q1117" s="239" t="str">
        <f t="shared" ca="1" si="54"/>
        <v/>
      </c>
    </row>
    <row r="1118" spans="3:17" ht="15.75" hidden="1" customHeight="1" outlineLevel="1" x14ac:dyDescent="0.25">
      <c r="C1118" s="207"/>
      <c r="D1118" s="196">
        <v>42372</v>
      </c>
      <c r="E1118" s="101" t="s">
        <v>46</v>
      </c>
      <c r="F1118" s="216" t="s">
        <v>50</v>
      </c>
      <c r="G1118" s="3" t="s">
        <v>56</v>
      </c>
      <c r="H1118" s="3" t="s">
        <v>56</v>
      </c>
      <c r="M1118" s="151" t="str">
        <f t="shared" si="55"/>
        <v/>
      </c>
      <c r="N1118" s="151" t="str">
        <f t="shared" si="56"/>
        <v>/</v>
      </c>
      <c r="Q1118" s="239" t="str">
        <f t="shared" ca="1" si="54"/>
        <v/>
      </c>
    </row>
    <row r="1119" spans="3:17" ht="15.75" hidden="1" customHeight="1" outlineLevel="1" x14ac:dyDescent="0.25">
      <c r="C1119" s="207"/>
      <c r="D1119" s="196">
        <v>42374</v>
      </c>
      <c r="E1119" s="101" t="s">
        <v>28</v>
      </c>
      <c r="F1119" s="216" t="s">
        <v>49</v>
      </c>
      <c r="G1119" s="3" t="s">
        <v>56</v>
      </c>
      <c r="H1119" s="3" t="s">
        <v>56</v>
      </c>
      <c r="M1119" s="151" t="str">
        <f t="shared" si="55"/>
        <v>/</v>
      </c>
      <c r="N1119" s="151" t="str">
        <f t="shared" si="56"/>
        <v/>
      </c>
      <c r="Q1119" s="239" t="str">
        <f t="shared" ca="1" si="54"/>
        <v/>
      </c>
    </row>
    <row r="1120" spans="3:17" ht="15.75" hidden="1" customHeight="1" outlineLevel="1" x14ac:dyDescent="0.25">
      <c r="C1120" s="207"/>
      <c r="D1120" s="196">
        <v>42376</v>
      </c>
      <c r="E1120" s="101" t="s">
        <v>2</v>
      </c>
      <c r="F1120" s="216" t="s">
        <v>50</v>
      </c>
      <c r="G1120" s="3" t="s">
        <v>56</v>
      </c>
      <c r="H1120" s="3" t="s">
        <v>56</v>
      </c>
      <c r="M1120" s="151" t="str">
        <f t="shared" si="55"/>
        <v/>
      </c>
      <c r="N1120" s="151" t="str">
        <f t="shared" si="56"/>
        <v>/</v>
      </c>
      <c r="Q1120" s="239" t="str">
        <f t="shared" ca="1" si="54"/>
        <v/>
      </c>
    </row>
    <row r="1121" spans="3:17" ht="15.75" hidden="1" customHeight="1" outlineLevel="1" x14ac:dyDescent="0.25">
      <c r="C1121" s="207"/>
      <c r="D1121" s="196">
        <v>42377</v>
      </c>
      <c r="E1121" s="101" t="s">
        <v>17</v>
      </c>
      <c r="F1121" s="216" t="s">
        <v>49</v>
      </c>
      <c r="G1121" s="3" t="s">
        <v>56</v>
      </c>
      <c r="H1121" s="3" t="s">
        <v>56</v>
      </c>
      <c r="M1121" s="151" t="str">
        <f t="shared" si="55"/>
        <v>/</v>
      </c>
      <c r="N1121" s="151" t="str">
        <f t="shared" si="56"/>
        <v/>
      </c>
      <c r="Q1121" s="239" t="str">
        <f t="shared" ca="1" si="54"/>
        <v/>
      </c>
    </row>
    <row r="1122" spans="3:17" ht="15.75" hidden="1" customHeight="1" outlineLevel="1" x14ac:dyDescent="0.25">
      <c r="C1122" s="207"/>
      <c r="D1122" s="196">
        <v>42379</v>
      </c>
      <c r="E1122" s="101" t="s">
        <v>1</v>
      </c>
      <c r="F1122" s="216" t="s">
        <v>49</v>
      </c>
      <c r="G1122" s="3" t="s">
        <v>56</v>
      </c>
      <c r="H1122" s="3" t="s">
        <v>56</v>
      </c>
      <c r="M1122" s="151" t="str">
        <f t="shared" si="55"/>
        <v>/</v>
      </c>
      <c r="N1122" s="151" t="str">
        <f t="shared" si="56"/>
        <v/>
      </c>
      <c r="Q1122" s="239" t="str">
        <f t="shared" ca="1" si="54"/>
        <v/>
      </c>
    </row>
    <row r="1123" spans="3:17" ht="15.75" hidden="1" customHeight="1" outlineLevel="1" x14ac:dyDescent="0.25">
      <c r="C1123" s="207"/>
      <c r="D1123" s="196">
        <v>42382</v>
      </c>
      <c r="E1123" s="101" t="s">
        <v>45</v>
      </c>
      <c r="F1123" s="216" t="s">
        <v>49</v>
      </c>
      <c r="G1123" s="3" t="s">
        <v>56</v>
      </c>
      <c r="H1123" s="3" t="s">
        <v>56</v>
      </c>
      <c r="M1123" s="151" t="str">
        <f t="shared" si="55"/>
        <v>/</v>
      </c>
      <c r="N1123" s="151" t="str">
        <f t="shared" si="56"/>
        <v/>
      </c>
      <c r="Q1123" s="239" t="str">
        <f t="shared" ca="1" si="54"/>
        <v/>
      </c>
    </row>
    <row r="1124" spans="3:17" ht="15.75" hidden="1" customHeight="1" outlineLevel="1" x14ac:dyDescent="0.25">
      <c r="C1124" s="207"/>
      <c r="D1124" s="196">
        <v>42384</v>
      </c>
      <c r="E1124" s="101" t="s">
        <v>9</v>
      </c>
      <c r="F1124" s="216" t="s">
        <v>49</v>
      </c>
      <c r="G1124" s="3" t="s">
        <v>56</v>
      </c>
      <c r="H1124" s="3" t="s">
        <v>56</v>
      </c>
      <c r="M1124" s="151" t="str">
        <f t="shared" si="55"/>
        <v>/</v>
      </c>
      <c r="N1124" s="151" t="str">
        <f t="shared" si="56"/>
        <v/>
      </c>
      <c r="Q1124" s="239" t="str">
        <f t="shared" ca="1" si="54"/>
        <v/>
      </c>
    </row>
    <row r="1125" spans="3:17" ht="15.75" hidden="1" customHeight="1" outlineLevel="1" x14ac:dyDescent="0.25">
      <c r="C1125" s="207"/>
      <c r="D1125" s="196">
        <v>42386</v>
      </c>
      <c r="E1125" s="101" t="s">
        <v>45</v>
      </c>
      <c r="F1125" s="216" t="s">
        <v>50</v>
      </c>
      <c r="G1125" s="3" t="s">
        <v>56</v>
      </c>
      <c r="H1125" s="3" t="s">
        <v>56</v>
      </c>
      <c r="M1125" s="151" t="str">
        <f t="shared" si="55"/>
        <v/>
      </c>
      <c r="N1125" s="151" t="str">
        <f t="shared" si="56"/>
        <v>/</v>
      </c>
      <c r="Q1125" s="239" t="str">
        <f t="shared" ca="1" si="54"/>
        <v/>
      </c>
    </row>
    <row r="1126" spans="3:17" ht="15.75" hidden="1" customHeight="1" outlineLevel="1" x14ac:dyDescent="0.25">
      <c r="C1126" s="207"/>
      <c r="D1126" s="196">
        <v>42387</v>
      </c>
      <c r="E1126" s="101" t="s">
        <v>11</v>
      </c>
      <c r="F1126" s="216" t="s">
        <v>50</v>
      </c>
      <c r="G1126" s="3" t="s">
        <v>56</v>
      </c>
      <c r="H1126" s="3" t="s">
        <v>56</v>
      </c>
      <c r="M1126" s="151" t="str">
        <f t="shared" si="55"/>
        <v/>
      </c>
      <c r="N1126" s="151" t="str">
        <f t="shared" si="56"/>
        <v>/</v>
      </c>
      <c r="Q1126" s="239" t="str">
        <f t="shared" ca="1" si="54"/>
        <v/>
      </c>
    </row>
    <row r="1127" spans="3:17" ht="15.75" hidden="1" customHeight="1" outlineLevel="1" x14ac:dyDescent="0.25">
      <c r="C1127" s="207"/>
      <c r="D1127" s="196">
        <v>42389</v>
      </c>
      <c r="E1127" s="101" t="s">
        <v>3</v>
      </c>
      <c r="F1127" s="216" t="s">
        <v>50</v>
      </c>
      <c r="G1127" s="3" t="s">
        <v>56</v>
      </c>
      <c r="H1127" s="3" t="s">
        <v>56</v>
      </c>
      <c r="M1127" s="151" t="str">
        <f t="shared" si="55"/>
        <v/>
      </c>
      <c r="N1127" s="151" t="str">
        <f t="shared" si="56"/>
        <v>/</v>
      </c>
      <c r="Q1127" s="239" t="str">
        <f t="shared" ca="1" si="54"/>
        <v/>
      </c>
    </row>
    <row r="1128" spans="3:17" ht="15.75" hidden="1" customHeight="1" outlineLevel="1" x14ac:dyDescent="0.25">
      <c r="C1128" s="207"/>
      <c r="D1128" s="196">
        <v>42391</v>
      </c>
      <c r="E1128" s="101" t="s">
        <v>25</v>
      </c>
      <c r="F1128" s="216" t="s">
        <v>49</v>
      </c>
      <c r="G1128" s="3" t="s">
        <v>56</v>
      </c>
      <c r="H1128" s="3" t="s">
        <v>56</v>
      </c>
      <c r="M1128" s="151" t="str">
        <f t="shared" si="55"/>
        <v>/</v>
      </c>
      <c r="N1128" s="151" t="str">
        <f t="shared" si="56"/>
        <v/>
      </c>
      <c r="Q1128" s="239" t="str">
        <f t="shared" ca="1" si="54"/>
        <v/>
      </c>
    </row>
    <row r="1129" spans="3:17" ht="15.75" hidden="1" customHeight="1" outlineLevel="1" x14ac:dyDescent="0.25">
      <c r="C1129" s="207"/>
      <c r="D1129" s="196">
        <v>42393</v>
      </c>
      <c r="E1129" s="101" t="s">
        <v>46</v>
      </c>
      <c r="F1129" s="216" t="s">
        <v>49</v>
      </c>
      <c r="G1129" s="3" t="s">
        <v>56</v>
      </c>
      <c r="H1129" s="3" t="s">
        <v>56</v>
      </c>
      <c r="M1129" s="151" t="str">
        <f t="shared" si="55"/>
        <v>/</v>
      </c>
      <c r="N1129" s="151" t="str">
        <f t="shared" si="56"/>
        <v/>
      </c>
      <c r="Q1129" s="239" t="str">
        <f t="shared" ca="1" si="54"/>
        <v/>
      </c>
    </row>
    <row r="1130" spans="3:17" ht="15.75" hidden="1" customHeight="1" outlineLevel="1" x14ac:dyDescent="0.25">
      <c r="C1130" s="207"/>
      <c r="D1130" s="196">
        <v>42394</v>
      </c>
      <c r="E1130" s="101" t="s">
        <v>20</v>
      </c>
      <c r="F1130" s="216" t="s">
        <v>50</v>
      </c>
      <c r="G1130" s="3" t="s">
        <v>56</v>
      </c>
      <c r="H1130" s="3" t="s">
        <v>56</v>
      </c>
      <c r="M1130" s="151" t="str">
        <f t="shared" si="55"/>
        <v/>
      </c>
      <c r="N1130" s="151" t="str">
        <f t="shared" si="56"/>
        <v>/</v>
      </c>
      <c r="Q1130" s="239" t="str">
        <f t="shared" ca="1" si="54"/>
        <v/>
      </c>
    </row>
    <row r="1131" spans="3:17" ht="15.75" hidden="1" customHeight="1" outlineLevel="1" x14ac:dyDescent="0.25">
      <c r="C1131" s="207"/>
      <c r="D1131" s="196">
        <v>42396</v>
      </c>
      <c r="E1131" s="101" t="s">
        <v>8</v>
      </c>
      <c r="F1131" s="216" t="s">
        <v>49</v>
      </c>
      <c r="G1131" s="3" t="s">
        <v>56</v>
      </c>
      <c r="H1131" s="3" t="s">
        <v>56</v>
      </c>
      <c r="M1131" s="151" t="str">
        <f t="shared" si="55"/>
        <v>/</v>
      </c>
      <c r="N1131" s="151" t="str">
        <f t="shared" si="56"/>
        <v/>
      </c>
      <c r="Q1131" s="239" t="str">
        <f t="shared" ref="Q1131:Q1194" ca="1" si="57">IF(D1131=TODAY(),1,"")</f>
        <v/>
      </c>
    </row>
    <row r="1132" spans="3:17" ht="15.75" hidden="1" customHeight="1" outlineLevel="1" x14ac:dyDescent="0.25">
      <c r="C1132" s="207"/>
      <c r="D1132" s="196">
        <v>42398</v>
      </c>
      <c r="E1132" s="101" t="s">
        <v>10</v>
      </c>
      <c r="F1132" s="216" t="s">
        <v>49</v>
      </c>
      <c r="G1132" s="3" t="s">
        <v>56</v>
      </c>
      <c r="H1132" s="3" t="s">
        <v>56</v>
      </c>
      <c r="M1132" s="151" t="str">
        <f t="shared" si="55"/>
        <v>/</v>
      </c>
      <c r="N1132" s="151" t="str">
        <f t="shared" si="56"/>
        <v/>
      </c>
      <c r="Q1132" s="239" t="str">
        <f t="shared" ca="1" si="57"/>
        <v/>
      </c>
    </row>
    <row r="1133" spans="3:17" ht="15.75" hidden="1" customHeight="1" outlineLevel="1" x14ac:dyDescent="0.25">
      <c r="C1133" s="207"/>
      <c r="D1133" s="196">
        <v>42400</v>
      </c>
      <c r="E1133" s="101" t="s">
        <v>22</v>
      </c>
      <c r="F1133" s="216" t="s">
        <v>49</v>
      </c>
      <c r="G1133" s="3" t="s">
        <v>56</v>
      </c>
      <c r="H1133" s="3" t="s">
        <v>56</v>
      </c>
      <c r="M1133" s="151" t="str">
        <f t="shared" si="55"/>
        <v>/</v>
      </c>
      <c r="N1133" s="151" t="str">
        <f t="shared" si="56"/>
        <v/>
      </c>
      <c r="Q1133" s="239" t="str">
        <f t="shared" ca="1" si="57"/>
        <v/>
      </c>
    </row>
    <row r="1134" spans="3:17" ht="15.75" hidden="1" customHeight="1" outlineLevel="1" x14ac:dyDescent="0.25">
      <c r="C1134" s="208"/>
      <c r="D1134" s="196">
        <v>42401</v>
      </c>
      <c r="E1134" s="101" t="s">
        <v>1</v>
      </c>
      <c r="F1134" s="216" t="s">
        <v>50</v>
      </c>
      <c r="G1134" s="3" t="s">
        <v>56</v>
      </c>
      <c r="H1134" s="3" t="s">
        <v>56</v>
      </c>
      <c r="M1134" s="151" t="str">
        <f t="shared" si="55"/>
        <v/>
      </c>
      <c r="N1134" s="151" t="str">
        <f t="shared" si="56"/>
        <v>/</v>
      </c>
      <c r="Q1134" s="239" t="str">
        <f t="shared" ca="1" si="57"/>
        <v/>
      </c>
    </row>
    <row r="1135" spans="3:17" ht="15.75" hidden="1" customHeight="1" outlineLevel="1" x14ac:dyDescent="0.25">
      <c r="C1135" s="208"/>
      <c r="D1135" s="196">
        <v>42403</v>
      </c>
      <c r="E1135" s="101" t="s">
        <v>10</v>
      </c>
      <c r="F1135" s="216" t="s">
        <v>50</v>
      </c>
      <c r="G1135" s="3" t="s">
        <v>56</v>
      </c>
      <c r="H1135" s="3" t="s">
        <v>56</v>
      </c>
      <c r="M1135" s="151" t="str">
        <f t="shared" si="55"/>
        <v/>
      </c>
      <c r="N1135" s="151" t="str">
        <f t="shared" si="56"/>
        <v>/</v>
      </c>
      <c r="Q1135" s="239" t="str">
        <f t="shared" ca="1" si="57"/>
        <v/>
      </c>
    </row>
    <row r="1136" spans="3:17" ht="15.75" hidden="1" customHeight="1" outlineLevel="1" x14ac:dyDescent="0.25">
      <c r="C1136" s="208"/>
      <c r="D1136" s="196">
        <v>42405</v>
      </c>
      <c r="E1136" s="101" t="s">
        <v>45</v>
      </c>
      <c r="F1136" s="216" t="s">
        <v>50</v>
      </c>
      <c r="G1136" s="3" t="s">
        <v>56</v>
      </c>
      <c r="H1136" s="3" t="s">
        <v>56</v>
      </c>
      <c r="M1136" s="151" t="str">
        <f t="shared" si="55"/>
        <v/>
      </c>
      <c r="N1136" s="151" t="str">
        <f t="shared" si="56"/>
        <v>/</v>
      </c>
      <c r="Q1136" s="239" t="str">
        <f t="shared" ca="1" si="57"/>
        <v/>
      </c>
    </row>
    <row r="1137" spans="3:17" ht="15.75" hidden="1" customHeight="1" outlineLevel="1" x14ac:dyDescent="0.25">
      <c r="C1137" s="208"/>
      <c r="D1137" s="196">
        <v>42406</v>
      </c>
      <c r="E1137" s="101" t="s">
        <v>18</v>
      </c>
      <c r="F1137" s="216" t="s">
        <v>49</v>
      </c>
      <c r="G1137" s="3" t="s">
        <v>56</v>
      </c>
      <c r="H1137" s="3" t="s">
        <v>56</v>
      </c>
      <c r="M1137" s="151" t="str">
        <f t="shared" si="55"/>
        <v>/</v>
      </c>
      <c r="N1137" s="151" t="str">
        <f t="shared" si="56"/>
        <v/>
      </c>
      <c r="Q1137" s="239" t="str">
        <f t="shared" ca="1" si="57"/>
        <v/>
      </c>
    </row>
    <row r="1138" spans="3:17" ht="15.75" hidden="1" customHeight="1" outlineLevel="1" x14ac:dyDescent="0.25">
      <c r="C1138" s="208"/>
      <c r="D1138" s="196">
        <v>42408</v>
      </c>
      <c r="E1138" s="101" t="s">
        <v>21</v>
      </c>
      <c r="F1138" s="216" t="s">
        <v>50</v>
      </c>
      <c r="G1138" s="3" t="s">
        <v>56</v>
      </c>
      <c r="H1138" s="3" t="s">
        <v>56</v>
      </c>
      <c r="M1138" s="151" t="str">
        <f t="shared" si="55"/>
        <v/>
      </c>
      <c r="N1138" s="151" t="str">
        <f t="shared" si="56"/>
        <v>/</v>
      </c>
      <c r="Q1138" s="239" t="str">
        <f t="shared" ca="1" si="57"/>
        <v/>
      </c>
    </row>
    <row r="1139" spans="3:17" ht="15.75" hidden="1" customHeight="1" outlineLevel="1" x14ac:dyDescent="0.25">
      <c r="C1139" s="208"/>
      <c r="D1139" s="196">
        <v>42412</v>
      </c>
      <c r="E1139" s="101" t="s">
        <v>5</v>
      </c>
      <c r="F1139" s="216" t="s">
        <v>49</v>
      </c>
      <c r="G1139" s="3" t="s">
        <v>56</v>
      </c>
      <c r="H1139" s="3" t="s">
        <v>56</v>
      </c>
      <c r="M1139" s="151" t="str">
        <f t="shared" si="55"/>
        <v>/</v>
      </c>
      <c r="N1139" s="151" t="str">
        <f t="shared" si="56"/>
        <v/>
      </c>
      <c r="Q1139" s="239" t="str">
        <f t="shared" ca="1" si="57"/>
        <v/>
      </c>
    </row>
    <row r="1140" spans="3:17" ht="15.75" hidden="1" customHeight="1" outlineLevel="1" x14ac:dyDescent="0.25">
      <c r="C1140" s="208"/>
      <c r="D1140" s="196">
        <v>42414</v>
      </c>
      <c r="E1140" s="101" t="s">
        <v>2</v>
      </c>
      <c r="F1140" s="216" t="s">
        <v>50</v>
      </c>
      <c r="G1140" s="3" t="s">
        <v>56</v>
      </c>
      <c r="H1140" s="3" t="s">
        <v>56</v>
      </c>
      <c r="M1140" s="151" t="str">
        <f t="shared" si="55"/>
        <v/>
      </c>
      <c r="N1140" s="151" t="str">
        <f t="shared" si="56"/>
        <v>/</v>
      </c>
      <c r="Q1140" s="239" t="str">
        <f t="shared" ca="1" si="57"/>
        <v/>
      </c>
    </row>
    <row r="1141" spans="3:17" ht="15.75" hidden="1" customHeight="1" outlineLevel="1" x14ac:dyDescent="0.25">
      <c r="C1141" s="208"/>
      <c r="D1141" s="196">
        <v>42415</v>
      </c>
      <c r="E1141" s="101" t="s">
        <v>3</v>
      </c>
      <c r="F1141" s="216" t="s">
        <v>49</v>
      </c>
      <c r="G1141" s="3" t="s">
        <v>56</v>
      </c>
      <c r="H1141" s="3" t="s">
        <v>56</v>
      </c>
      <c r="M1141" s="151" t="str">
        <f t="shared" si="55"/>
        <v>/</v>
      </c>
      <c r="N1141" s="151" t="str">
        <f t="shared" si="56"/>
        <v/>
      </c>
      <c r="Q1141" s="239" t="str">
        <f t="shared" ca="1" si="57"/>
        <v/>
      </c>
    </row>
    <row r="1142" spans="3:17" ht="15.75" hidden="1" customHeight="1" outlineLevel="1" x14ac:dyDescent="0.25">
      <c r="C1142" s="208"/>
      <c r="D1142" s="196">
        <v>42424</v>
      </c>
      <c r="E1142" s="101" t="s">
        <v>1</v>
      </c>
      <c r="F1142" s="216" t="s">
        <v>49</v>
      </c>
      <c r="G1142" s="3" t="s">
        <v>56</v>
      </c>
      <c r="H1142" s="3" t="s">
        <v>56</v>
      </c>
      <c r="M1142" s="151" t="str">
        <f t="shared" si="55"/>
        <v>/</v>
      </c>
      <c r="N1142" s="151" t="str">
        <f t="shared" si="56"/>
        <v/>
      </c>
      <c r="Q1142" s="239" t="str">
        <f t="shared" ca="1" si="57"/>
        <v/>
      </c>
    </row>
    <row r="1143" spans="3:17" ht="15.75" hidden="1" customHeight="1" outlineLevel="1" x14ac:dyDescent="0.25">
      <c r="C1143" s="208"/>
      <c r="D1143" s="196">
        <v>42426</v>
      </c>
      <c r="E1143" s="101" t="s">
        <v>24</v>
      </c>
      <c r="F1143" s="216" t="s">
        <v>49</v>
      </c>
      <c r="G1143" s="3" t="s">
        <v>56</v>
      </c>
      <c r="H1143" s="3" t="s">
        <v>56</v>
      </c>
      <c r="M1143" s="151" t="str">
        <f t="shared" si="55"/>
        <v>/</v>
      </c>
      <c r="N1143" s="151" t="str">
        <f t="shared" si="56"/>
        <v/>
      </c>
      <c r="Q1143" s="239" t="str">
        <f t="shared" ca="1" si="57"/>
        <v/>
      </c>
    </row>
    <row r="1144" spans="3:17" ht="15.75" hidden="1" customHeight="1" outlineLevel="1" x14ac:dyDescent="0.25">
      <c r="C1144" s="208"/>
      <c r="D1144" s="196">
        <v>42427</v>
      </c>
      <c r="E1144" s="101" t="s">
        <v>9</v>
      </c>
      <c r="F1144" s="216" t="s">
        <v>50</v>
      </c>
      <c r="G1144" s="3" t="s">
        <v>56</v>
      </c>
      <c r="H1144" s="3" t="s">
        <v>56</v>
      </c>
      <c r="M1144" s="151" t="str">
        <f t="shared" si="55"/>
        <v/>
      </c>
      <c r="N1144" s="151" t="str">
        <f t="shared" si="56"/>
        <v>/</v>
      </c>
      <c r="Q1144" s="239" t="str">
        <f t="shared" ca="1" si="57"/>
        <v/>
      </c>
    </row>
    <row r="1145" spans="3:17" ht="15.75" hidden="1" customHeight="1" outlineLevel="1" x14ac:dyDescent="0.25">
      <c r="C1145" s="207"/>
      <c r="D1145" s="196">
        <v>42430</v>
      </c>
      <c r="E1145" s="101" t="s">
        <v>13</v>
      </c>
      <c r="F1145" s="216" t="s">
        <v>49</v>
      </c>
      <c r="G1145" s="3" t="s">
        <v>56</v>
      </c>
      <c r="H1145" s="3" t="s">
        <v>56</v>
      </c>
      <c r="M1145" s="151" t="str">
        <f t="shared" si="55"/>
        <v>/</v>
      </c>
      <c r="N1145" s="151" t="str">
        <f t="shared" si="56"/>
        <v/>
      </c>
      <c r="Q1145" s="239" t="str">
        <f t="shared" ca="1" si="57"/>
        <v/>
      </c>
    </row>
    <row r="1146" spans="3:17" ht="15.75" hidden="1" customHeight="1" outlineLevel="1" x14ac:dyDescent="0.25">
      <c r="C1146" s="207"/>
      <c r="D1146" s="196">
        <v>42432</v>
      </c>
      <c r="E1146" s="101" t="s">
        <v>13</v>
      </c>
      <c r="F1146" s="216" t="s">
        <v>50</v>
      </c>
      <c r="G1146" s="3" t="s">
        <v>56</v>
      </c>
      <c r="H1146" s="3" t="s">
        <v>56</v>
      </c>
      <c r="M1146" s="151" t="str">
        <f t="shared" si="55"/>
        <v/>
      </c>
      <c r="N1146" s="151" t="str">
        <f t="shared" si="56"/>
        <v>/</v>
      </c>
      <c r="Q1146" s="239" t="str">
        <f t="shared" ca="1" si="57"/>
        <v/>
      </c>
    </row>
    <row r="1147" spans="3:17" ht="15.75" hidden="1" customHeight="1" outlineLevel="1" x14ac:dyDescent="0.25">
      <c r="C1147" s="207"/>
      <c r="D1147" s="196">
        <v>42433</v>
      </c>
      <c r="E1147" s="101" t="s">
        <v>8</v>
      </c>
      <c r="F1147" s="216" t="s">
        <v>50</v>
      </c>
      <c r="G1147" s="3" t="s">
        <v>56</v>
      </c>
      <c r="H1147" s="3" t="s">
        <v>56</v>
      </c>
      <c r="M1147" s="151" t="str">
        <f t="shared" si="55"/>
        <v/>
      </c>
      <c r="N1147" s="151" t="str">
        <f t="shared" si="56"/>
        <v>/</v>
      </c>
      <c r="Q1147" s="239" t="str">
        <f t="shared" ca="1" si="57"/>
        <v/>
      </c>
    </row>
    <row r="1148" spans="3:17" ht="15.75" hidden="1" customHeight="1" outlineLevel="1" x14ac:dyDescent="0.25">
      <c r="C1148" s="207"/>
      <c r="D1148" s="196">
        <v>42437</v>
      </c>
      <c r="E1148" s="101" t="s">
        <v>22</v>
      </c>
      <c r="F1148" s="216" t="s">
        <v>50</v>
      </c>
      <c r="G1148" s="3" t="s">
        <v>56</v>
      </c>
      <c r="H1148" s="3" t="s">
        <v>56</v>
      </c>
      <c r="M1148" s="151" t="str">
        <f t="shared" si="55"/>
        <v/>
      </c>
      <c r="N1148" s="151" t="str">
        <f t="shared" si="56"/>
        <v>/</v>
      </c>
      <c r="Q1148" s="239" t="str">
        <f t="shared" ca="1" si="57"/>
        <v/>
      </c>
    </row>
    <row r="1149" spans="3:17" ht="15.75" hidden="1" customHeight="1" outlineLevel="1" x14ac:dyDescent="0.25">
      <c r="C1149" s="207"/>
      <c r="D1149" s="196">
        <v>42439</v>
      </c>
      <c r="E1149" s="101" t="s">
        <v>0</v>
      </c>
      <c r="F1149" s="216" t="s">
        <v>50</v>
      </c>
      <c r="G1149" s="3" t="s">
        <v>56</v>
      </c>
      <c r="H1149" s="3" t="s">
        <v>56</v>
      </c>
      <c r="M1149" s="151" t="str">
        <f t="shared" si="55"/>
        <v/>
      </c>
      <c r="N1149" s="151" t="str">
        <f t="shared" si="56"/>
        <v>/</v>
      </c>
      <c r="Q1149" s="239" t="str">
        <f t="shared" ca="1" si="57"/>
        <v/>
      </c>
    </row>
    <row r="1150" spans="3:17" ht="15.75" hidden="1" customHeight="1" outlineLevel="1" x14ac:dyDescent="0.25">
      <c r="C1150" s="207"/>
      <c r="D1150" s="196">
        <v>42440</v>
      </c>
      <c r="E1150" s="101" t="s">
        <v>6</v>
      </c>
      <c r="F1150" s="216" t="s">
        <v>50</v>
      </c>
      <c r="G1150" s="3" t="s">
        <v>56</v>
      </c>
      <c r="H1150" s="3" t="s">
        <v>56</v>
      </c>
      <c r="M1150" s="151" t="str">
        <f t="shared" si="55"/>
        <v/>
      </c>
      <c r="N1150" s="151" t="str">
        <f t="shared" si="56"/>
        <v>/</v>
      </c>
      <c r="Q1150" s="239" t="str">
        <f t="shared" ca="1" si="57"/>
        <v/>
      </c>
    </row>
    <row r="1151" spans="3:17" ht="15.75" hidden="1" customHeight="1" outlineLevel="1" x14ac:dyDescent="0.25">
      <c r="C1151" s="207"/>
      <c r="D1151" s="196">
        <v>42442</v>
      </c>
      <c r="E1151" s="101" t="s">
        <v>645</v>
      </c>
      <c r="F1151" s="216" t="s">
        <v>49</v>
      </c>
      <c r="G1151" s="3" t="s">
        <v>56</v>
      </c>
      <c r="H1151" s="3" t="s">
        <v>56</v>
      </c>
      <c r="M1151" s="151" t="str">
        <f t="shared" si="55"/>
        <v>/</v>
      </c>
      <c r="N1151" s="151" t="str">
        <f t="shared" si="56"/>
        <v/>
      </c>
      <c r="Q1151" s="239" t="str">
        <f t="shared" ca="1" si="57"/>
        <v/>
      </c>
    </row>
    <row r="1152" spans="3:17" ht="15.75" hidden="1" customHeight="1" outlineLevel="1" x14ac:dyDescent="0.25">
      <c r="C1152" s="207"/>
      <c r="D1152" s="196">
        <v>42445</v>
      </c>
      <c r="E1152" s="101" t="s">
        <v>23</v>
      </c>
      <c r="F1152" s="216" t="s">
        <v>49</v>
      </c>
      <c r="G1152" s="3" t="s">
        <v>56</v>
      </c>
      <c r="H1152" s="3" t="s">
        <v>56</v>
      </c>
      <c r="M1152" s="151" t="str">
        <f t="shared" si="55"/>
        <v>/</v>
      </c>
      <c r="N1152" s="151" t="str">
        <f t="shared" si="56"/>
        <v/>
      </c>
      <c r="Q1152" s="239" t="str">
        <f t="shared" ca="1" si="57"/>
        <v/>
      </c>
    </row>
    <row r="1153" spans="2:17" ht="15.75" hidden="1" customHeight="1" outlineLevel="1" x14ac:dyDescent="0.25">
      <c r="C1153" s="207"/>
      <c r="D1153" s="196">
        <v>42446</v>
      </c>
      <c r="E1153" s="101" t="s">
        <v>5</v>
      </c>
      <c r="F1153" s="216" t="s">
        <v>50</v>
      </c>
      <c r="G1153" s="3" t="s">
        <v>56</v>
      </c>
      <c r="H1153" s="3" t="s">
        <v>56</v>
      </c>
      <c r="M1153" s="151" t="str">
        <f t="shared" si="55"/>
        <v/>
      </c>
      <c r="N1153" s="151" t="str">
        <f t="shared" si="56"/>
        <v>/</v>
      </c>
      <c r="Q1153" s="239" t="str">
        <f t="shared" ca="1" si="57"/>
        <v/>
      </c>
    </row>
    <row r="1154" spans="2:17" ht="15.75" hidden="1" customHeight="1" outlineLevel="1" x14ac:dyDescent="0.25">
      <c r="C1154" s="207"/>
      <c r="D1154" s="196">
        <v>42448</v>
      </c>
      <c r="E1154" s="101" t="s">
        <v>7</v>
      </c>
      <c r="F1154" s="216" t="s">
        <v>49</v>
      </c>
      <c r="G1154" s="3" t="s">
        <v>56</v>
      </c>
      <c r="H1154" s="3" t="s">
        <v>56</v>
      </c>
      <c r="M1154" s="151" t="str">
        <f t="shared" si="55"/>
        <v>/</v>
      </c>
      <c r="N1154" s="151" t="str">
        <f t="shared" si="56"/>
        <v/>
      </c>
      <c r="Q1154" s="239" t="str">
        <f t="shared" ca="1" si="57"/>
        <v/>
      </c>
    </row>
    <row r="1155" spans="2:17" ht="15.75" hidden="1" customHeight="1" outlineLevel="1" x14ac:dyDescent="0.25">
      <c r="C1155" s="207"/>
      <c r="D1155" s="196">
        <v>42450</v>
      </c>
      <c r="E1155" s="101" t="s">
        <v>2</v>
      </c>
      <c r="F1155" s="216" t="s">
        <v>49</v>
      </c>
      <c r="G1155" s="3" t="s">
        <v>56</v>
      </c>
      <c r="H1155" s="3" t="s">
        <v>56</v>
      </c>
      <c r="M1155" s="151" t="str">
        <f t="shared" si="55"/>
        <v>/</v>
      </c>
      <c r="N1155" s="151" t="str">
        <f t="shared" si="56"/>
        <v/>
      </c>
      <c r="Q1155" s="239" t="str">
        <f t="shared" ca="1" si="57"/>
        <v/>
      </c>
    </row>
    <row r="1156" spans="2:17" ht="15.75" hidden="1" customHeight="1" outlineLevel="1" x14ac:dyDescent="0.25">
      <c r="C1156" s="207"/>
      <c r="D1156" s="196">
        <v>42452</v>
      </c>
      <c r="E1156" s="101" t="s">
        <v>6</v>
      </c>
      <c r="F1156" s="216" t="s">
        <v>50</v>
      </c>
      <c r="G1156" s="3" t="s">
        <v>56</v>
      </c>
      <c r="H1156" s="3" t="s">
        <v>56</v>
      </c>
      <c r="M1156" s="151" t="str">
        <f t="shared" si="55"/>
        <v/>
      </c>
      <c r="N1156" s="151" t="str">
        <f t="shared" si="56"/>
        <v>/</v>
      </c>
      <c r="Q1156" s="239" t="str">
        <f t="shared" ca="1" si="57"/>
        <v/>
      </c>
    </row>
    <row r="1157" spans="2:17" ht="15.75" hidden="1" customHeight="1" outlineLevel="1" x14ac:dyDescent="0.25">
      <c r="C1157" s="207"/>
      <c r="D1157" s="196">
        <v>42454</v>
      </c>
      <c r="E1157" s="101" t="s">
        <v>645</v>
      </c>
      <c r="F1157" s="216" t="s">
        <v>50</v>
      </c>
      <c r="G1157" s="3" t="s">
        <v>56</v>
      </c>
      <c r="H1157" s="3" t="s">
        <v>56</v>
      </c>
      <c r="M1157" s="151" t="str">
        <f t="shared" si="55"/>
        <v/>
      </c>
      <c r="N1157" s="151" t="str">
        <f t="shared" si="56"/>
        <v>/</v>
      </c>
      <c r="Q1157" s="239" t="str">
        <f t="shared" ca="1" si="57"/>
        <v/>
      </c>
    </row>
    <row r="1158" spans="2:17" ht="15.75" hidden="1" customHeight="1" outlineLevel="1" x14ac:dyDescent="0.25">
      <c r="C1158" s="207"/>
      <c r="D1158" s="196">
        <v>42456</v>
      </c>
      <c r="E1158" s="101" t="s">
        <v>10</v>
      </c>
      <c r="F1158" s="216" t="s">
        <v>49</v>
      </c>
      <c r="G1158" s="3" t="s">
        <v>56</v>
      </c>
      <c r="H1158" s="3" t="s">
        <v>56</v>
      </c>
      <c r="M1158" s="151" t="str">
        <f t="shared" si="55"/>
        <v>/</v>
      </c>
      <c r="N1158" s="151" t="str">
        <f t="shared" si="56"/>
        <v/>
      </c>
      <c r="Q1158" s="239" t="str">
        <f t="shared" ca="1" si="57"/>
        <v/>
      </c>
    </row>
    <row r="1159" spans="2:17" ht="15.75" hidden="1" customHeight="1" outlineLevel="1" x14ac:dyDescent="0.25">
      <c r="C1159" s="207"/>
      <c r="D1159" s="196">
        <v>42458</v>
      </c>
      <c r="E1159" s="101" t="s">
        <v>3</v>
      </c>
      <c r="F1159" s="216" t="s">
        <v>49</v>
      </c>
      <c r="G1159" s="3" t="s">
        <v>56</v>
      </c>
      <c r="H1159" s="3" t="s">
        <v>56</v>
      </c>
      <c r="M1159" s="151" t="str">
        <f t="shared" ref="M1159:M1222" si="58">IF(F1159="D",H1159,"")</f>
        <v>/</v>
      </c>
      <c r="N1159" s="151" t="str">
        <f t="shared" ref="N1159:N1222" si="59">IF(F1159="E",H1159,"")</f>
        <v/>
      </c>
      <c r="Q1159" s="239" t="str">
        <f t="shared" ca="1" si="57"/>
        <v/>
      </c>
    </row>
    <row r="1160" spans="2:17" ht="15.75" hidden="1" customHeight="1" outlineLevel="1" x14ac:dyDescent="0.25">
      <c r="C1160" s="207"/>
      <c r="D1160" s="196">
        <v>42460</v>
      </c>
      <c r="E1160" s="101" t="s">
        <v>7</v>
      </c>
      <c r="F1160" s="216" t="s">
        <v>49</v>
      </c>
      <c r="G1160" s="3" t="s">
        <v>56</v>
      </c>
      <c r="H1160" s="3" t="s">
        <v>56</v>
      </c>
      <c r="M1160" s="151" t="str">
        <f t="shared" si="58"/>
        <v>/</v>
      </c>
      <c r="N1160" s="151" t="str">
        <f t="shared" si="59"/>
        <v/>
      </c>
      <c r="Q1160" s="239" t="str">
        <f t="shared" ca="1" si="57"/>
        <v/>
      </c>
    </row>
    <row r="1161" spans="2:17" ht="15.75" hidden="1" customHeight="1" outlineLevel="1" x14ac:dyDescent="0.25">
      <c r="C1161" s="208"/>
      <c r="D1161" s="196">
        <v>42462</v>
      </c>
      <c r="E1161" s="101" t="s">
        <v>11</v>
      </c>
      <c r="F1161" s="216" t="s">
        <v>49</v>
      </c>
      <c r="G1161" s="3" t="s">
        <v>56</v>
      </c>
      <c r="H1161" s="3" t="s">
        <v>56</v>
      </c>
      <c r="M1161" s="151" t="str">
        <f t="shared" si="58"/>
        <v>/</v>
      </c>
      <c r="N1161" s="151" t="str">
        <f t="shared" si="59"/>
        <v/>
      </c>
      <c r="Q1161" s="239" t="str">
        <f t="shared" ca="1" si="57"/>
        <v/>
      </c>
    </row>
    <row r="1162" spans="2:17" ht="15.75" hidden="1" customHeight="1" outlineLevel="1" x14ac:dyDescent="0.25">
      <c r="C1162" s="208"/>
      <c r="D1162" s="196">
        <v>42464</v>
      </c>
      <c r="E1162" s="101" t="s">
        <v>7</v>
      </c>
      <c r="F1162" s="216" t="s">
        <v>50</v>
      </c>
      <c r="G1162" s="3" t="s">
        <v>56</v>
      </c>
      <c r="H1162" s="3" t="s">
        <v>56</v>
      </c>
      <c r="M1162" s="151" t="str">
        <f t="shared" si="58"/>
        <v/>
      </c>
      <c r="N1162" s="151" t="str">
        <f t="shared" si="59"/>
        <v>/</v>
      </c>
      <c r="Q1162" s="239" t="str">
        <f t="shared" ca="1" si="57"/>
        <v/>
      </c>
    </row>
    <row r="1163" spans="2:17" ht="15.75" hidden="1" customHeight="1" outlineLevel="1" x14ac:dyDescent="0.25">
      <c r="C1163" s="208"/>
      <c r="D1163" s="196">
        <v>42465</v>
      </c>
      <c r="E1163" s="101" t="s">
        <v>5</v>
      </c>
      <c r="F1163" s="216" t="s">
        <v>50</v>
      </c>
      <c r="G1163" s="3" t="s">
        <v>56</v>
      </c>
      <c r="H1163" s="3" t="s">
        <v>56</v>
      </c>
      <c r="M1163" s="151" t="str">
        <f t="shared" si="58"/>
        <v/>
      </c>
      <c r="N1163" s="151" t="str">
        <f t="shared" si="59"/>
        <v>/</v>
      </c>
      <c r="Q1163" s="239" t="str">
        <f t="shared" ca="1" si="57"/>
        <v/>
      </c>
    </row>
    <row r="1164" spans="2:17" ht="15.75" hidden="1" customHeight="1" outlineLevel="1" x14ac:dyDescent="0.25">
      <c r="C1164" s="208"/>
      <c r="D1164" s="196">
        <v>42467</v>
      </c>
      <c r="E1164" s="101" t="s">
        <v>6</v>
      </c>
      <c r="F1164" s="216" t="s">
        <v>49</v>
      </c>
      <c r="G1164" s="3" t="s">
        <v>56</v>
      </c>
      <c r="H1164" s="3" t="s">
        <v>56</v>
      </c>
      <c r="M1164" s="151" t="str">
        <f t="shared" si="58"/>
        <v>/</v>
      </c>
      <c r="N1164" s="151" t="str">
        <f t="shared" si="59"/>
        <v/>
      </c>
      <c r="Q1164" s="239" t="str">
        <f t="shared" ca="1" si="57"/>
        <v/>
      </c>
    </row>
    <row r="1165" spans="2:17" ht="15.75" hidden="1" customHeight="1" outlineLevel="1" x14ac:dyDescent="0.25">
      <c r="C1165" s="208"/>
      <c r="D1165" s="196">
        <v>42469</v>
      </c>
      <c r="E1165" s="101" t="s">
        <v>9</v>
      </c>
      <c r="F1165" s="216" t="s">
        <v>50</v>
      </c>
      <c r="G1165" s="3" t="s">
        <v>56</v>
      </c>
      <c r="H1165" s="3" t="s">
        <v>56</v>
      </c>
      <c r="M1165" s="151" t="str">
        <f t="shared" si="58"/>
        <v/>
      </c>
      <c r="N1165" s="151" t="str">
        <f t="shared" si="59"/>
        <v>/</v>
      </c>
      <c r="Q1165" s="239" t="str">
        <f t="shared" ca="1" si="57"/>
        <v/>
      </c>
    </row>
    <row r="1166" spans="2:17" ht="15.75" hidden="1" customHeight="1" outlineLevel="1" x14ac:dyDescent="0.25">
      <c r="C1166" s="208"/>
      <c r="D1166" s="196">
        <v>42472</v>
      </c>
      <c r="E1166" s="102" t="s">
        <v>4</v>
      </c>
      <c r="F1166" s="217" t="s">
        <v>50</v>
      </c>
      <c r="G1166" s="3" t="s">
        <v>56</v>
      </c>
      <c r="H1166" s="3" t="s">
        <v>56</v>
      </c>
      <c r="M1166" s="151" t="str">
        <f t="shared" si="58"/>
        <v/>
      </c>
      <c r="N1166" s="151" t="str">
        <f t="shared" si="59"/>
        <v>/</v>
      </c>
      <c r="Q1166" s="239" t="str">
        <f t="shared" ca="1" si="57"/>
        <v/>
      </c>
    </row>
    <row r="1167" spans="2:17" collapsed="1" x14ac:dyDescent="0.25">
      <c r="B1167" s="404" t="e">
        <f ca="1">"- "&amp;INDEX(E1168:E1249,MATCH(TODAY(),D1168:D1249,0))</f>
        <v>#N/A</v>
      </c>
      <c r="C1167" s="404"/>
      <c r="D1167" s="406" t="s">
        <v>13</v>
      </c>
      <c r="E1167" s="407"/>
      <c r="F1167" s="408"/>
      <c r="H1167" s="3"/>
      <c r="Q1167" s="239" t="str">
        <f t="shared" ca="1" si="57"/>
        <v/>
      </c>
    </row>
    <row r="1168" spans="2:17" ht="16.5" hidden="1" customHeight="1" outlineLevel="1" x14ac:dyDescent="0.25">
      <c r="C1168" s="207"/>
      <c r="D1168" s="196">
        <v>42670</v>
      </c>
      <c r="E1168" s="103" t="s">
        <v>0</v>
      </c>
      <c r="F1168" s="215" t="s">
        <v>50</v>
      </c>
      <c r="G1168" s="3">
        <v>0</v>
      </c>
      <c r="H1168" s="3">
        <v>99</v>
      </c>
      <c r="I1168" s="151">
        <v>30</v>
      </c>
      <c r="J1168" s="151">
        <v>46</v>
      </c>
      <c r="K1168" s="151">
        <v>72</v>
      </c>
      <c r="L1168" s="151">
        <v>43</v>
      </c>
      <c r="M1168" s="151" t="str">
        <f t="shared" si="58"/>
        <v/>
      </c>
      <c r="N1168" s="151">
        <f t="shared" si="59"/>
        <v>99</v>
      </c>
      <c r="P1168" s="151">
        <v>114</v>
      </c>
      <c r="Q1168" s="239" t="str">
        <f t="shared" ca="1" si="57"/>
        <v/>
      </c>
    </row>
    <row r="1169" spans="3:17" ht="15.75" hidden="1" customHeight="1" outlineLevel="1" x14ac:dyDescent="0.25">
      <c r="C1169" s="207"/>
      <c r="D1169" s="196">
        <v>42673</v>
      </c>
      <c r="E1169" s="101" t="s">
        <v>20</v>
      </c>
      <c r="F1169" s="216" t="s">
        <v>50</v>
      </c>
      <c r="G1169" s="3" t="s">
        <v>56</v>
      </c>
      <c r="H1169" s="3" t="s">
        <v>56</v>
      </c>
      <c r="M1169" s="151" t="str">
        <f t="shared" si="58"/>
        <v/>
      </c>
      <c r="N1169" s="151" t="str">
        <f t="shared" si="59"/>
        <v>/</v>
      </c>
      <c r="Q1169" s="239" t="str">
        <f t="shared" ca="1" si="57"/>
        <v/>
      </c>
    </row>
    <row r="1170" spans="3:17" ht="15.75" hidden="1" customHeight="1" outlineLevel="1" x14ac:dyDescent="0.25">
      <c r="C1170" s="207"/>
      <c r="D1170" s="196">
        <v>42676</v>
      </c>
      <c r="E1170" s="101" t="s">
        <v>12</v>
      </c>
      <c r="F1170" s="216" t="s">
        <v>49</v>
      </c>
      <c r="G1170" s="3" t="s">
        <v>56</v>
      </c>
      <c r="H1170" s="3" t="s">
        <v>56</v>
      </c>
      <c r="M1170" s="151" t="str">
        <f t="shared" si="58"/>
        <v>/</v>
      </c>
      <c r="N1170" s="151" t="str">
        <f t="shared" si="59"/>
        <v/>
      </c>
      <c r="Q1170" s="239" t="str">
        <f t="shared" ca="1" si="57"/>
        <v/>
      </c>
    </row>
    <row r="1171" spans="3:17" ht="15.75" hidden="1" customHeight="1" outlineLevel="1" x14ac:dyDescent="0.25">
      <c r="C1171" s="207"/>
      <c r="D1171" s="196">
        <v>42678</v>
      </c>
      <c r="E1171" s="101" t="s">
        <v>0</v>
      </c>
      <c r="F1171" s="216" t="s">
        <v>49</v>
      </c>
      <c r="G1171" s="3" t="s">
        <v>56</v>
      </c>
      <c r="H1171" s="3" t="s">
        <v>56</v>
      </c>
      <c r="M1171" s="151" t="str">
        <f t="shared" si="58"/>
        <v>/</v>
      </c>
      <c r="N1171" s="151" t="str">
        <f t="shared" si="59"/>
        <v/>
      </c>
      <c r="Q1171" s="239" t="str">
        <f t="shared" ca="1" si="57"/>
        <v/>
      </c>
    </row>
    <row r="1172" spans="3:17" ht="15.75" hidden="1" customHeight="1" outlineLevel="1" x14ac:dyDescent="0.25">
      <c r="C1172" s="207"/>
      <c r="D1172" s="196">
        <v>42679</v>
      </c>
      <c r="E1172" s="101" t="s">
        <v>10</v>
      </c>
      <c r="F1172" s="216" t="s">
        <v>50</v>
      </c>
      <c r="G1172" s="3" t="s">
        <v>56</v>
      </c>
      <c r="H1172" s="3" t="s">
        <v>56</v>
      </c>
      <c r="M1172" s="151" t="str">
        <f t="shared" si="58"/>
        <v/>
      </c>
      <c r="N1172" s="151" t="str">
        <f t="shared" si="59"/>
        <v>/</v>
      </c>
      <c r="Q1172" s="239" t="str">
        <f t="shared" ca="1" si="57"/>
        <v/>
      </c>
    </row>
    <row r="1173" spans="3:17" ht="15.75" hidden="1" customHeight="1" outlineLevel="1" x14ac:dyDescent="0.25">
      <c r="C1173" s="207"/>
      <c r="D1173" s="196">
        <v>42681</v>
      </c>
      <c r="E1173" s="101" t="s">
        <v>17</v>
      </c>
      <c r="F1173" s="216" t="s">
        <v>49</v>
      </c>
      <c r="G1173" s="3" t="s">
        <v>56</v>
      </c>
      <c r="H1173" s="3" t="s">
        <v>56</v>
      </c>
      <c r="M1173" s="151" t="str">
        <f t="shared" si="58"/>
        <v>/</v>
      </c>
      <c r="N1173" s="151" t="str">
        <f t="shared" si="59"/>
        <v/>
      </c>
      <c r="Q1173" s="239" t="str">
        <f t="shared" ca="1" si="57"/>
        <v/>
      </c>
    </row>
    <row r="1174" spans="3:17" ht="15.75" hidden="1" customHeight="1" outlineLevel="1" x14ac:dyDescent="0.25">
      <c r="C1174" s="207"/>
      <c r="D1174" s="196">
        <v>42683</v>
      </c>
      <c r="E1174" s="101" t="s">
        <v>1</v>
      </c>
      <c r="F1174" s="216" t="s">
        <v>49</v>
      </c>
      <c r="G1174" s="3" t="s">
        <v>56</v>
      </c>
      <c r="H1174" s="3" t="s">
        <v>56</v>
      </c>
      <c r="M1174" s="151" t="str">
        <f t="shared" si="58"/>
        <v>/</v>
      </c>
      <c r="N1174" s="151" t="str">
        <f t="shared" si="59"/>
        <v/>
      </c>
      <c r="Q1174" s="239" t="str">
        <f t="shared" ca="1" si="57"/>
        <v/>
      </c>
    </row>
    <row r="1175" spans="3:17" ht="15.75" hidden="1" customHeight="1" outlineLevel="1" x14ac:dyDescent="0.25">
      <c r="C1175" s="207"/>
      <c r="D1175" s="196">
        <v>42685</v>
      </c>
      <c r="E1175" s="101" t="s">
        <v>4</v>
      </c>
      <c r="F1175" s="216" t="s">
        <v>49</v>
      </c>
      <c r="G1175" s="3" t="s">
        <v>56</v>
      </c>
      <c r="H1175" s="3" t="s">
        <v>56</v>
      </c>
      <c r="M1175" s="151" t="str">
        <f t="shared" si="58"/>
        <v>/</v>
      </c>
      <c r="N1175" s="151" t="str">
        <f t="shared" si="59"/>
        <v/>
      </c>
      <c r="Q1175" s="239" t="str">
        <f t="shared" ca="1" si="57"/>
        <v/>
      </c>
    </row>
    <row r="1176" spans="3:17" ht="15.75" hidden="1" customHeight="1" outlineLevel="1" x14ac:dyDescent="0.25">
      <c r="C1176" s="207"/>
      <c r="D1176" s="196">
        <v>42686</v>
      </c>
      <c r="E1176" s="101" t="s">
        <v>2</v>
      </c>
      <c r="F1176" s="216" t="s">
        <v>50</v>
      </c>
      <c r="G1176" s="3" t="s">
        <v>56</v>
      </c>
      <c r="H1176" s="3" t="s">
        <v>56</v>
      </c>
      <c r="M1176" s="151" t="str">
        <f t="shared" si="58"/>
        <v/>
      </c>
      <c r="N1176" s="151" t="str">
        <f t="shared" si="59"/>
        <v>/</v>
      </c>
      <c r="Q1176" s="239" t="str">
        <f t="shared" ca="1" si="57"/>
        <v/>
      </c>
    </row>
    <row r="1177" spans="3:17" ht="15.75" hidden="1" customHeight="1" outlineLevel="1" x14ac:dyDescent="0.25">
      <c r="C1177" s="207"/>
      <c r="D1177" s="196">
        <v>42690</v>
      </c>
      <c r="E1177" s="101" t="s">
        <v>11</v>
      </c>
      <c r="F1177" s="216" t="s">
        <v>50</v>
      </c>
      <c r="G1177" s="3" t="s">
        <v>56</v>
      </c>
      <c r="H1177" s="3" t="s">
        <v>56</v>
      </c>
      <c r="M1177" s="151" t="str">
        <f t="shared" si="58"/>
        <v/>
      </c>
      <c r="N1177" s="151" t="str">
        <f t="shared" si="59"/>
        <v>/</v>
      </c>
      <c r="Q1177" s="239" t="str">
        <f t="shared" ca="1" si="57"/>
        <v/>
      </c>
    </row>
    <row r="1178" spans="3:17" ht="15.75" hidden="1" customHeight="1" outlineLevel="1" x14ac:dyDescent="0.25">
      <c r="C1178" s="207"/>
      <c r="D1178" s="196">
        <v>42691</v>
      </c>
      <c r="E1178" s="101" t="s">
        <v>9</v>
      </c>
      <c r="F1178" s="216" t="s">
        <v>49</v>
      </c>
      <c r="G1178" s="3" t="s">
        <v>56</v>
      </c>
      <c r="H1178" s="3" t="s">
        <v>56</v>
      </c>
      <c r="M1178" s="151" t="str">
        <f t="shared" si="58"/>
        <v>/</v>
      </c>
      <c r="N1178" s="151" t="str">
        <f t="shared" si="59"/>
        <v/>
      </c>
      <c r="Q1178" s="239" t="str">
        <f t="shared" ca="1" si="57"/>
        <v/>
      </c>
    </row>
    <row r="1179" spans="3:17" ht="15.75" hidden="1" customHeight="1" outlineLevel="1" x14ac:dyDescent="0.25">
      <c r="C1179" s="207"/>
      <c r="D1179" s="196">
        <v>42693</v>
      </c>
      <c r="E1179" s="101" t="s">
        <v>6</v>
      </c>
      <c r="F1179" s="216" t="s">
        <v>49</v>
      </c>
      <c r="G1179" s="3" t="s">
        <v>56</v>
      </c>
      <c r="H1179" s="3" t="s">
        <v>56</v>
      </c>
      <c r="M1179" s="151" t="str">
        <f t="shared" si="58"/>
        <v>/</v>
      </c>
      <c r="N1179" s="151" t="str">
        <f t="shared" si="59"/>
        <v/>
      </c>
      <c r="Q1179" s="239" t="str">
        <f t="shared" ca="1" si="57"/>
        <v/>
      </c>
    </row>
    <row r="1180" spans="3:17" ht="15.75" hidden="1" customHeight="1" outlineLevel="1" x14ac:dyDescent="0.25">
      <c r="C1180" s="207"/>
      <c r="D1180" s="196">
        <v>42695</v>
      </c>
      <c r="E1180" s="101" t="s">
        <v>25</v>
      </c>
      <c r="F1180" s="216" t="s">
        <v>49</v>
      </c>
      <c r="G1180" s="3" t="s">
        <v>56</v>
      </c>
      <c r="H1180" s="3" t="s">
        <v>56</v>
      </c>
      <c r="M1180" s="151" t="str">
        <f t="shared" si="58"/>
        <v>/</v>
      </c>
      <c r="N1180" s="151" t="str">
        <f t="shared" si="59"/>
        <v/>
      </c>
      <c r="Q1180" s="239" t="str">
        <f t="shared" ca="1" si="57"/>
        <v/>
      </c>
    </row>
    <row r="1181" spans="3:17" ht="15.75" hidden="1" customHeight="1" outlineLevel="1" x14ac:dyDescent="0.25">
      <c r="C1181" s="207"/>
      <c r="D1181" s="196">
        <v>42699</v>
      </c>
      <c r="E1181" s="101" t="s">
        <v>10</v>
      </c>
      <c r="F1181" s="216" t="s">
        <v>50</v>
      </c>
      <c r="G1181" s="3" t="s">
        <v>56</v>
      </c>
      <c r="H1181" s="3" t="s">
        <v>56</v>
      </c>
      <c r="M1181" s="151" t="str">
        <f t="shared" si="58"/>
        <v/>
      </c>
      <c r="N1181" s="151" t="str">
        <f t="shared" si="59"/>
        <v>/</v>
      </c>
      <c r="Q1181" s="239" t="str">
        <f t="shared" ca="1" si="57"/>
        <v/>
      </c>
    </row>
    <row r="1182" spans="3:17" ht="15.75" hidden="1" customHeight="1" outlineLevel="1" x14ac:dyDescent="0.25">
      <c r="C1182" s="207"/>
      <c r="D1182" s="196">
        <v>42700</v>
      </c>
      <c r="E1182" s="101" t="s">
        <v>46</v>
      </c>
      <c r="F1182" s="216" t="s">
        <v>49</v>
      </c>
      <c r="G1182" s="3" t="s">
        <v>56</v>
      </c>
      <c r="H1182" s="3" t="s">
        <v>56</v>
      </c>
      <c r="M1182" s="151" t="str">
        <f t="shared" si="58"/>
        <v>/</v>
      </c>
      <c r="N1182" s="151" t="str">
        <f t="shared" si="59"/>
        <v/>
      </c>
      <c r="Q1182" s="239" t="str">
        <f t="shared" ca="1" si="57"/>
        <v/>
      </c>
    </row>
    <row r="1183" spans="3:17" ht="15.75" hidden="1" customHeight="1" outlineLevel="1" x14ac:dyDescent="0.25">
      <c r="C1183" s="207"/>
      <c r="D1183" s="196">
        <v>42702</v>
      </c>
      <c r="E1183" s="101" t="s">
        <v>26</v>
      </c>
      <c r="F1183" s="216" t="s">
        <v>49</v>
      </c>
      <c r="G1183" s="3" t="s">
        <v>56</v>
      </c>
      <c r="H1183" s="3" t="s">
        <v>56</v>
      </c>
      <c r="M1183" s="151" t="str">
        <f t="shared" si="58"/>
        <v>/</v>
      </c>
      <c r="N1183" s="151" t="str">
        <f t="shared" si="59"/>
        <v/>
      </c>
      <c r="Q1183" s="239" t="str">
        <f t="shared" ca="1" si="57"/>
        <v/>
      </c>
    </row>
    <row r="1184" spans="3:17" ht="15.75" hidden="1" customHeight="1" outlineLevel="1" x14ac:dyDescent="0.25">
      <c r="C1184" s="207"/>
      <c r="D1184" s="196">
        <v>42704</v>
      </c>
      <c r="E1184" s="101" t="s">
        <v>23</v>
      </c>
      <c r="F1184" s="216" t="s">
        <v>50</v>
      </c>
      <c r="G1184" s="3" t="s">
        <v>56</v>
      </c>
      <c r="H1184" s="3" t="s">
        <v>56</v>
      </c>
      <c r="M1184" s="151" t="str">
        <f t="shared" si="58"/>
        <v/>
      </c>
      <c r="N1184" s="151" t="str">
        <f t="shared" si="59"/>
        <v>/</v>
      </c>
      <c r="Q1184" s="239" t="str">
        <f t="shared" ca="1" si="57"/>
        <v/>
      </c>
    </row>
    <row r="1185" spans="3:17" ht="15.75" hidden="1" customHeight="1" outlineLevel="1" x14ac:dyDescent="0.25">
      <c r="C1185" s="208"/>
      <c r="D1185" s="196">
        <v>42706</v>
      </c>
      <c r="E1185" s="101" t="s">
        <v>46</v>
      </c>
      <c r="F1185" s="216" t="s">
        <v>50</v>
      </c>
      <c r="G1185" s="3" t="s">
        <v>56</v>
      </c>
      <c r="H1185" s="3" t="s">
        <v>56</v>
      </c>
      <c r="M1185" s="151" t="str">
        <f t="shared" si="58"/>
        <v/>
      </c>
      <c r="N1185" s="151" t="str">
        <f t="shared" si="59"/>
        <v>/</v>
      </c>
      <c r="Q1185" s="239" t="str">
        <f t="shared" ca="1" si="57"/>
        <v/>
      </c>
    </row>
    <row r="1186" spans="3:17" ht="15.75" hidden="1" customHeight="1" outlineLevel="1" x14ac:dyDescent="0.25">
      <c r="C1186" s="208"/>
      <c r="D1186" s="196">
        <v>42709</v>
      </c>
      <c r="E1186" s="101" t="s">
        <v>45</v>
      </c>
      <c r="F1186" s="216" t="s">
        <v>50</v>
      </c>
      <c r="G1186" s="3" t="s">
        <v>56</v>
      </c>
      <c r="H1186" s="3" t="s">
        <v>56</v>
      </c>
      <c r="M1186" s="151" t="str">
        <f t="shared" si="58"/>
        <v/>
      </c>
      <c r="N1186" s="151" t="str">
        <f t="shared" si="59"/>
        <v>/</v>
      </c>
      <c r="Q1186" s="239" t="str">
        <f t="shared" ca="1" si="57"/>
        <v/>
      </c>
    </row>
    <row r="1187" spans="3:17" ht="15.75" hidden="1" customHeight="1" outlineLevel="1" x14ac:dyDescent="0.25">
      <c r="C1187" s="208"/>
      <c r="D1187" s="196">
        <v>42710</v>
      </c>
      <c r="E1187" s="101" t="s">
        <v>10</v>
      </c>
      <c r="F1187" s="216" t="s">
        <v>49</v>
      </c>
      <c r="G1187" s="3" t="s">
        <v>56</v>
      </c>
      <c r="H1187" s="3" t="s">
        <v>56</v>
      </c>
      <c r="M1187" s="151" t="str">
        <f t="shared" si="58"/>
        <v>/</v>
      </c>
      <c r="N1187" s="151" t="str">
        <f t="shared" si="59"/>
        <v/>
      </c>
      <c r="Q1187" s="239" t="str">
        <f t="shared" ca="1" si="57"/>
        <v/>
      </c>
    </row>
    <row r="1188" spans="3:17" ht="15.75" hidden="1" customHeight="1" outlineLevel="1" x14ac:dyDescent="0.25">
      <c r="C1188" s="208"/>
      <c r="D1188" s="196">
        <v>42712</v>
      </c>
      <c r="E1188" s="101" t="s">
        <v>15</v>
      </c>
      <c r="F1188" s="216" t="s">
        <v>49</v>
      </c>
      <c r="G1188" s="3" t="s">
        <v>56</v>
      </c>
      <c r="H1188" s="3" t="s">
        <v>56</v>
      </c>
      <c r="M1188" s="151" t="str">
        <f t="shared" si="58"/>
        <v>/</v>
      </c>
      <c r="N1188" s="151" t="str">
        <f t="shared" si="59"/>
        <v/>
      </c>
      <c r="Q1188" s="239" t="str">
        <f t="shared" ca="1" si="57"/>
        <v/>
      </c>
    </row>
    <row r="1189" spans="3:17" ht="15.75" hidden="1" customHeight="1" outlineLevel="1" x14ac:dyDescent="0.25">
      <c r="C1189" s="208"/>
      <c r="D1189" s="196">
        <v>42714</v>
      </c>
      <c r="E1189" s="101" t="s">
        <v>8</v>
      </c>
      <c r="F1189" s="216" t="s">
        <v>49</v>
      </c>
      <c r="G1189" s="3" t="s">
        <v>56</v>
      </c>
      <c r="H1189" s="3" t="s">
        <v>56</v>
      </c>
      <c r="M1189" s="151" t="str">
        <f t="shared" si="58"/>
        <v>/</v>
      </c>
      <c r="N1189" s="151" t="str">
        <f t="shared" si="59"/>
        <v/>
      </c>
      <c r="Q1189" s="239" t="str">
        <f t="shared" ca="1" si="57"/>
        <v/>
      </c>
    </row>
    <row r="1190" spans="3:17" ht="15.75" hidden="1" customHeight="1" outlineLevel="1" x14ac:dyDescent="0.25">
      <c r="C1190" s="208"/>
      <c r="D1190" s="196">
        <v>42716</v>
      </c>
      <c r="E1190" s="101" t="s">
        <v>6</v>
      </c>
      <c r="F1190" s="216" t="s">
        <v>50</v>
      </c>
      <c r="G1190" s="3" t="s">
        <v>56</v>
      </c>
      <c r="H1190" s="3" t="s">
        <v>56</v>
      </c>
      <c r="M1190" s="151" t="str">
        <f t="shared" si="58"/>
        <v/>
      </c>
      <c r="N1190" s="151" t="str">
        <f t="shared" si="59"/>
        <v>/</v>
      </c>
      <c r="Q1190" s="239" t="str">
        <f t="shared" ca="1" si="57"/>
        <v/>
      </c>
    </row>
    <row r="1191" spans="3:17" ht="15.75" hidden="1" customHeight="1" outlineLevel="1" x14ac:dyDescent="0.25">
      <c r="C1191" s="208"/>
      <c r="D1191" s="196">
        <v>42718</v>
      </c>
      <c r="E1191" s="101" t="s">
        <v>3</v>
      </c>
      <c r="F1191" s="216" t="s">
        <v>49</v>
      </c>
      <c r="G1191" s="3" t="s">
        <v>56</v>
      </c>
      <c r="H1191" s="3" t="s">
        <v>56</v>
      </c>
      <c r="M1191" s="151" t="str">
        <f t="shared" si="58"/>
        <v>/</v>
      </c>
      <c r="N1191" s="151" t="str">
        <f t="shared" si="59"/>
        <v/>
      </c>
      <c r="Q1191" s="239" t="str">
        <f t="shared" ca="1" si="57"/>
        <v/>
      </c>
    </row>
    <row r="1192" spans="3:17" ht="15.75" hidden="1" customHeight="1" outlineLevel="1" x14ac:dyDescent="0.25">
      <c r="C1192" s="208"/>
      <c r="D1192" s="196">
        <v>42720</v>
      </c>
      <c r="E1192" s="101" t="s">
        <v>5</v>
      </c>
      <c r="F1192" s="216" t="s">
        <v>49</v>
      </c>
      <c r="G1192" s="3" t="s">
        <v>56</v>
      </c>
      <c r="H1192" s="3" t="s">
        <v>56</v>
      </c>
      <c r="M1192" s="151" t="str">
        <f t="shared" si="58"/>
        <v>/</v>
      </c>
      <c r="N1192" s="151" t="str">
        <f t="shared" si="59"/>
        <v/>
      </c>
      <c r="Q1192" s="239" t="str">
        <f t="shared" ca="1" si="57"/>
        <v/>
      </c>
    </row>
    <row r="1193" spans="3:17" ht="15.75" hidden="1" customHeight="1" outlineLevel="1" x14ac:dyDescent="0.25">
      <c r="C1193" s="208"/>
      <c r="D1193" s="196">
        <v>42722</v>
      </c>
      <c r="E1193" s="101" t="s">
        <v>18</v>
      </c>
      <c r="F1193" s="216" t="s">
        <v>49</v>
      </c>
      <c r="G1193" s="3" t="s">
        <v>56</v>
      </c>
      <c r="H1193" s="3" t="s">
        <v>56</v>
      </c>
      <c r="M1193" s="151" t="str">
        <f t="shared" si="58"/>
        <v>/</v>
      </c>
      <c r="N1193" s="151" t="str">
        <f t="shared" si="59"/>
        <v/>
      </c>
      <c r="Q1193" s="239" t="str">
        <f t="shared" ca="1" si="57"/>
        <v/>
      </c>
    </row>
    <row r="1194" spans="3:17" ht="15.75" hidden="1" customHeight="1" outlineLevel="1" x14ac:dyDescent="0.25">
      <c r="C1194" s="208"/>
      <c r="D1194" s="196">
        <v>42723</v>
      </c>
      <c r="E1194" s="101" t="s">
        <v>7</v>
      </c>
      <c r="F1194" s="216" t="s">
        <v>50</v>
      </c>
      <c r="G1194" s="3" t="s">
        <v>56</v>
      </c>
      <c r="H1194" s="3" t="s">
        <v>56</v>
      </c>
      <c r="M1194" s="151" t="str">
        <f t="shared" si="58"/>
        <v/>
      </c>
      <c r="N1194" s="151" t="str">
        <f t="shared" si="59"/>
        <v>/</v>
      </c>
      <c r="Q1194" s="239" t="str">
        <f t="shared" ca="1" si="57"/>
        <v/>
      </c>
    </row>
    <row r="1195" spans="3:17" ht="15.75" hidden="1" customHeight="1" outlineLevel="1" x14ac:dyDescent="0.25">
      <c r="C1195" s="208"/>
      <c r="D1195" s="196">
        <v>42725</v>
      </c>
      <c r="E1195" s="101" t="s">
        <v>2</v>
      </c>
      <c r="F1195" s="216" t="s">
        <v>50</v>
      </c>
      <c r="G1195" s="3" t="s">
        <v>56</v>
      </c>
      <c r="H1195" s="3" t="s">
        <v>56</v>
      </c>
      <c r="M1195" s="151" t="str">
        <f t="shared" si="58"/>
        <v/>
      </c>
      <c r="N1195" s="151" t="str">
        <f t="shared" si="59"/>
        <v>/</v>
      </c>
      <c r="Q1195" s="239" t="str">
        <f t="shared" ref="Q1195:Q1258" ca="1" si="60">IF(D1195=TODAY(),1,"")</f>
        <v/>
      </c>
    </row>
    <row r="1196" spans="3:17" ht="15.75" hidden="1" customHeight="1" outlineLevel="1" x14ac:dyDescent="0.25">
      <c r="C1196" s="208"/>
      <c r="D1196" s="196">
        <v>42727</v>
      </c>
      <c r="E1196" s="101" t="s">
        <v>8</v>
      </c>
      <c r="F1196" s="216" t="s">
        <v>50</v>
      </c>
      <c r="G1196" s="3" t="s">
        <v>56</v>
      </c>
      <c r="H1196" s="3" t="s">
        <v>56</v>
      </c>
      <c r="M1196" s="151" t="str">
        <f t="shared" si="58"/>
        <v/>
      </c>
      <c r="N1196" s="151" t="str">
        <f t="shared" si="59"/>
        <v>/</v>
      </c>
      <c r="Q1196" s="239" t="str">
        <f t="shared" ca="1" si="60"/>
        <v/>
      </c>
    </row>
    <row r="1197" spans="3:17" ht="15.75" hidden="1" customHeight="1" outlineLevel="1" x14ac:dyDescent="0.25">
      <c r="C1197" s="208"/>
      <c r="D1197" s="196">
        <v>42730</v>
      </c>
      <c r="E1197" s="101" t="s">
        <v>8</v>
      </c>
      <c r="F1197" s="216" t="s">
        <v>49</v>
      </c>
      <c r="G1197" s="3" t="s">
        <v>56</v>
      </c>
      <c r="H1197" s="3" t="s">
        <v>56</v>
      </c>
      <c r="M1197" s="151" t="str">
        <f t="shared" si="58"/>
        <v>/</v>
      </c>
      <c r="N1197" s="151" t="str">
        <f t="shared" si="59"/>
        <v/>
      </c>
      <c r="Q1197" s="239" t="str">
        <f t="shared" ca="1" si="60"/>
        <v/>
      </c>
    </row>
    <row r="1198" spans="3:17" ht="15.75" hidden="1" customHeight="1" outlineLevel="1" x14ac:dyDescent="0.25">
      <c r="C1198" s="208"/>
      <c r="D1198" s="196">
        <v>42732</v>
      </c>
      <c r="E1198" s="101" t="s">
        <v>7</v>
      </c>
      <c r="F1198" s="216" t="s">
        <v>49</v>
      </c>
      <c r="G1198" s="3" t="s">
        <v>56</v>
      </c>
      <c r="H1198" s="3" t="s">
        <v>56</v>
      </c>
      <c r="M1198" s="151" t="str">
        <f t="shared" si="58"/>
        <v>/</v>
      </c>
      <c r="N1198" s="151" t="str">
        <f t="shared" si="59"/>
        <v/>
      </c>
      <c r="Q1198" s="239" t="str">
        <f t="shared" ca="1" si="60"/>
        <v/>
      </c>
    </row>
    <row r="1199" spans="3:17" ht="15.75" hidden="1" customHeight="1" outlineLevel="1" x14ac:dyDescent="0.25">
      <c r="C1199" s="208"/>
      <c r="D1199" s="196">
        <v>42734</v>
      </c>
      <c r="E1199" s="101" t="s">
        <v>45</v>
      </c>
      <c r="F1199" s="216" t="s">
        <v>49</v>
      </c>
      <c r="G1199" s="3" t="s">
        <v>56</v>
      </c>
      <c r="H1199" s="3" t="s">
        <v>56</v>
      </c>
      <c r="M1199" s="151" t="str">
        <f t="shared" si="58"/>
        <v>/</v>
      </c>
      <c r="N1199" s="151" t="str">
        <f t="shared" si="59"/>
        <v/>
      </c>
      <c r="Q1199" s="239" t="str">
        <f t="shared" ca="1" si="60"/>
        <v/>
      </c>
    </row>
    <row r="1200" spans="3:17" ht="15.75" hidden="1" customHeight="1" outlineLevel="1" x14ac:dyDescent="0.25">
      <c r="C1200" s="207"/>
      <c r="D1200" s="196">
        <v>42371</v>
      </c>
      <c r="E1200" s="101" t="s">
        <v>17</v>
      </c>
      <c r="F1200" s="216" t="s">
        <v>50</v>
      </c>
      <c r="G1200" s="3" t="s">
        <v>56</v>
      </c>
      <c r="H1200" s="3" t="s">
        <v>56</v>
      </c>
      <c r="M1200" s="151" t="str">
        <f t="shared" si="58"/>
        <v/>
      </c>
      <c r="N1200" s="151" t="str">
        <f t="shared" si="59"/>
        <v>/</v>
      </c>
      <c r="Q1200" s="239" t="str">
        <f t="shared" ca="1" si="60"/>
        <v/>
      </c>
    </row>
    <row r="1201" spans="3:17" ht="15.75" hidden="1" customHeight="1" outlineLevel="1" x14ac:dyDescent="0.25">
      <c r="C1201" s="207"/>
      <c r="D1201" s="196">
        <v>42372</v>
      </c>
      <c r="E1201" s="101" t="s">
        <v>645</v>
      </c>
      <c r="F1201" s="216" t="s">
        <v>50</v>
      </c>
      <c r="G1201" s="3" t="s">
        <v>56</v>
      </c>
      <c r="H1201" s="3" t="s">
        <v>56</v>
      </c>
      <c r="M1201" s="151" t="str">
        <f t="shared" si="58"/>
        <v/>
      </c>
      <c r="N1201" s="151" t="str">
        <f t="shared" si="59"/>
        <v>/</v>
      </c>
      <c r="Q1201" s="239" t="str">
        <f t="shared" ca="1" si="60"/>
        <v/>
      </c>
    </row>
    <row r="1202" spans="3:17" ht="15.75" hidden="1" customHeight="1" outlineLevel="1" x14ac:dyDescent="0.25">
      <c r="C1202" s="207"/>
      <c r="D1202" s="196">
        <v>42375</v>
      </c>
      <c r="E1202" s="101" t="s">
        <v>21</v>
      </c>
      <c r="F1202" s="216" t="s">
        <v>49</v>
      </c>
      <c r="G1202" s="3" t="s">
        <v>56</v>
      </c>
      <c r="H1202" s="3" t="s">
        <v>56</v>
      </c>
      <c r="M1202" s="151" t="str">
        <f t="shared" si="58"/>
        <v>/</v>
      </c>
      <c r="N1202" s="151" t="str">
        <f t="shared" si="59"/>
        <v/>
      </c>
      <c r="Q1202" s="239" t="str">
        <f t="shared" ca="1" si="60"/>
        <v/>
      </c>
    </row>
    <row r="1203" spans="3:17" ht="15.75" hidden="1" customHeight="1" outlineLevel="1" x14ac:dyDescent="0.25">
      <c r="C1203" s="207"/>
      <c r="D1203" s="196">
        <v>42377</v>
      </c>
      <c r="E1203" s="101" t="s">
        <v>8</v>
      </c>
      <c r="F1203" s="216" t="s">
        <v>50</v>
      </c>
      <c r="G1203" s="3" t="s">
        <v>56</v>
      </c>
      <c r="H1203" s="3" t="s">
        <v>56</v>
      </c>
      <c r="M1203" s="151" t="str">
        <f t="shared" si="58"/>
        <v/>
      </c>
      <c r="N1203" s="151" t="str">
        <f t="shared" si="59"/>
        <v>/</v>
      </c>
      <c r="Q1203" s="239" t="str">
        <f t="shared" ca="1" si="60"/>
        <v/>
      </c>
    </row>
    <row r="1204" spans="3:17" ht="15.75" hidden="1" customHeight="1" outlineLevel="1" x14ac:dyDescent="0.25">
      <c r="C1204" s="207"/>
      <c r="D1204" s="196">
        <v>42379</v>
      </c>
      <c r="E1204" s="101" t="s">
        <v>2</v>
      </c>
      <c r="F1204" s="216" t="s">
        <v>49</v>
      </c>
      <c r="G1204" s="3" t="s">
        <v>56</v>
      </c>
      <c r="H1204" s="3" t="s">
        <v>56</v>
      </c>
      <c r="M1204" s="151" t="str">
        <f t="shared" si="58"/>
        <v>/</v>
      </c>
      <c r="N1204" s="151" t="str">
        <f t="shared" si="59"/>
        <v/>
      </c>
      <c r="Q1204" s="239" t="str">
        <f t="shared" ca="1" si="60"/>
        <v/>
      </c>
    </row>
    <row r="1205" spans="3:17" ht="15.75" hidden="1" customHeight="1" outlineLevel="1" x14ac:dyDescent="0.25">
      <c r="C1205" s="207"/>
      <c r="D1205" s="196">
        <v>42380</v>
      </c>
      <c r="E1205" s="101" t="s">
        <v>1</v>
      </c>
      <c r="F1205" s="216" t="s">
        <v>50</v>
      </c>
      <c r="G1205" s="3" t="s">
        <v>56</v>
      </c>
      <c r="H1205" s="3" t="s">
        <v>56</v>
      </c>
      <c r="M1205" s="151" t="str">
        <f t="shared" si="58"/>
        <v/>
      </c>
      <c r="N1205" s="151" t="str">
        <f t="shared" si="59"/>
        <v>/</v>
      </c>
      <c r="Q1205" s="239" t="str">
        <f t="shared" ca="1" si="60"/>
        <v/>
      </c>
    </row>
    <row r="1206" spans="3:17" ht="15.75" hidden="1" customHeight="1" outlineLevel="1" x14ac:dyDescent="0.25">
      <c r="C1206" s="207"/>
      <c r="D1206" s="196">
        <v>42383</v>
      </c>
      <c r="E1206" s="101" t="s">
        <v>11</v>
      </c>
      <c r="F1206" s="216" t="s">
        <v>49</v>
      </c>
      <c r="G1206" s="3" t="s">
        <v>56</v>
      </c>
      <c r="H1206" s="3" t="s">
        <v>56</v>
      </c>
      <c r="M1206" s="151" t="str">
        <f t="shared" si="58"/>
        <v>/</v>
      </c>
      <c r="N1206" s="151" t="str">
        <f t="shared" si="59"/>
        <v/>
      </c>
      <c r="Q1206" s="239" t="str">
        <f t="shared" ca="1" si="60"/>
        <v/>
      </c>
    </row>
    <row r="1207" spans="3:17" ht="15.75" hidden="1" customHeight="1" outlineLevel="1" x14ac:dyDescent="0.25">
      <c r="C1207" s="207"/>
      <c r="D1207" s="196">
        <v>42385</v>
      </c>
      <c r="E1207" s="101" t="s">
        <v>24</v>
      </c>
      <c r="F1207" s="216" t="s">
        <v>49</v>
      </c>
      <c r="G1207" s="3" t="s">
        <v>56</v>
      </c>
      <c r="H1207" s="3" t="s">
        <v>56</v>
      </c>
      <c r="M1207" s="151" t="str">
        <f t="shared" si="58"/>
        <v>/</v>
      </c>
      <c r="N1207" s="151" t="str">
        <f t="shared" si="59"/>
        <v/>
      </c>
      <c r="Q1207" s="239" t="str">
        <f t="shared" ca="1" si="60"/>
        <v/>
      </c>
    </row>
    <row r="1208" spans="3:17" ht="15.75" hidden="1" customHeight="1" outlineLevel="1" x14ac:dyDescent="0.25">
      <c r="C1208" s="207"/>
      <c r="D1208" s="196">
        <v>42387</v>
      </c>
      <c r="E1208" s="101" t="s">
        <v>20</v>
      </c>
      <c r="F1208" s="216" t="s">
        <v>49</v>
      </c>
      <c r="G1208" s="3" t="s">
        <v>56</v>
      </c>
      <c r="H1208" s="3" t="s">
        <v>56</v>
      </c>
      <c r="M1208" s="151" t="str">
        <f t="shared" si="58"/>
        <v>/</v>
      </c>
      <c r="N1208" s="151" t="str">
        <f t="shared" si="59"/>
        <v/>
      </c>
      <c r="Q1208" s="239" t="str">
        <f t="shared" ca="1" si="60"/>
        <v/>
      </c>
    </row>
    <row r="1209" spans="3:17" ht="15.75" hidden="1" customHeight="1" outlineLevel="1" x14ac:dyDescent="0.25">
      <c r="C1209" s="207"/>
      <c r="D1209" s="196">
        <v>42388</v>
      </c>
      <c r="E1209" s="101" t="s">
        <v>9</v>
      </c>
      <c r="F1209" s="216" t="s">
        <v>50</v>
      </c>
      <c r="G1209" s="3" t="s">
        <v>56</v>
      </c>
      <c r="H1209" s="3" t="s">
        <v>56</v>
      </c>
      <c r="M1209" s="151" t="str">
        <f t="shared" si="58"/>
        <v/>
      </c>
      <c r="N1209" s="151" t="str">
        <f t="shared" si="59"/>
        <v>/</v>
      </c>
      <c r="Q1209" s="239" t="str">
        <f t="shared" ca="1" si="60"/>
        <v/>
      </c>
    </row>
    <row r="1210" spans="3:17" ht="15.75" hidden="1" customHeight="1" outlineLevel="1" x14ac:dyDescent="0.25">
      <c r="C1210" s="207"/>
      <c r="D1210" s="196">
        <v>42390</v>
      </c>
      <c r="E1210" s="101" t="s">
        <v>5</v>
      </c>
      <c r="F1210" s="216" t="s">
        <v>50</v>
      </c>
      <c r="G1210" s="3" t="s">
        <v>56</v>
      </c>
      <c r="H1210" s="3" t="s">
        <v>56</v>
      </c>
      <c r="M1210" s="151" t="str">
        <f t="shared" si="58"/>
        <v/>
      </c>
      <c r="N1210" s="151" t="str">
        <f t="shared" si="59"/>
        <v>/</v>
      </c>
      <c r="Q1210" s="239" t="str">
        <f t="shared" ca="1" si="60"/>
        <v/>
      </c>
    </row>
    <row r="1211" spans="3:17" ht="15.75" hidden="1" customHeight="1" outlineLevel="1" x14ac:dyDescent="0.25">
      <c r="C1211" s="207"/>
      <c r="D1211" s="196">
        <v>42392</v>
      </c>
      <c r="E1211" s="101" t="s">
        <v>3</v>
      </c>
      <c r="F1211" s="216" t="s">
        <v>50</v>
      </c>
      <c r="G1211" s="3" t="s">
        <v>56</v>
      </c>
      <c r="H1211" s="3" t="s">
        <v>56</v>
      </c>
      <c r="M1211" s="151" t="str">
        <f t="shared" si="58"/>
        <v/>
      </c>
      <c r="N1211" s="151" t="str">
        <f t="shared" si="59"/>
        <v>/</v>
      </c>
      <c r="Q1211" s="239" t="str">
        <f t="shared" ca="1" si="60"/>
        <v/>
      </c>
    </row>
    <row r="1212" spans="3:17" ht="15.75" hidden="1" customHeight="1" outlineLevel="1" x14ac:dyDescent="0.25">
      <c r="C1212" s="207"/>
      <c r="D1212" s="196">
        <v>42393</v>
      </c>
      <c r="E1212" s="101" t="s">
        <v>1</v>
      </c>
      <c r="F1212" s="216" t="s">
        <v>49</v>
      </c>
      <c r="G1212" s="3" t="s">
        <v>56</v>
      </c>
      <c r="H1212" s="3" t="s">
        <v>56</v>
      </c>
      <c r="M1212" s="151" t="str">
        <f t="shared" si="58"/>
        <v>/</v>
      </c>
      <c r="N1212" s="151" t="str">
        <f t="shared" si="59"/>
        <v/>
      </c>
      <c r="Q1212" s="239" t="str">
        <f t="shared" ca="1" si="60"/>
        <v/>
      </c>
    </row>
    <row r="1213" spans="3:17" ht="15.75" hidden="1" customHeight="1" outlineLevel="1" x14ac:dyDescent="0.25">
      <c r="C1213" s="207"/>
      <c r="D1213" s="196">
        <v>42396</v>
      </c>
      <c r="E1213" s="101" t="s">
        <v>0</v>
      </c>
      <c r="F1213" s="216" t="s">
        <v>50</v>
      </c>
      <c r="G1213" s="3" t="s">
        <v>56</v>
      </c>
      <c r="H1213" s="3" t="s">
        <v>56</v>
      </c>
      <c r="M1213" s="151" t="str">
        <f t="shared" si="58"/>
        <v/>
      </c>
      <c r="N1213" s="151" t="str">
        <f t="shared" si="59"/>
        <v>/</v>
      </c>
      <c r="Q1213" s="239" t="str">
        <f t="shared" ca="1" si="60"/>
        <v/>
      </c>
    </row>
    <row r="1214" spans="3:17" ht="15.75" hidden="1" customHeight="1" outlineLevel="1" x14ac:dyDescent="0.25">
      <c r="C1214" s="207"/>
      <c r="D1214" s="196">
        <v>42398</v>
      </c>
      <c r="E1214" s="101" t="s">
        <v>22</v>
      </c>
      <c r="F1214" s="216" t="s">
        <v>50</v>
      </c>
      <c r="G1214" s="3" t="s">
        <v>56</v>
      </c>
      <c r="H1214" s="3" t="s">
        <v>56</v>
      </c>
      <c r="M1214" s="151" t="str">
        <f t="shared" si="58"/>
        <v/>
      </c>
      <c r="N1214" s="151" t="str">
        <f t="shared" si="59"/>
        <v>/</v>
      </c>
      <c r="Q1214" s="239" t="str">
        <f t="shared" ca="1" si="60"/>
        <v/>
      </c>
    </row>
    <row r="1215" spans="3:17" ht="15.75" hidden="1" customHeight="1" outlineLevel="1" x14ac:dyDescent="0.25">
      <c r="C1215" s="207"/>
      <c r="D1215" s="196">
        <v>42400</v>
      </c>
      <c r="E1215" s="101" t="s">
        <v>9</v>
      </c>
      <c r="F1215" s="216" t="s">
        <v>49</v>
      </c>
      <c r="G1215" s="3" t="s">
        <v>56</v>
      </c>
      <c r="H1215" s="3" t="s">
        <v>56</v>
      </c>
      <c r="M1215" s="151" t="str">
        <f t="shared" si="58"/>
        <v>/</v>
      </c>
      <c r="N1215" s="151" t="str">
        <f t="shared" si="59"/>
        <v/>
      </c>
      <c r="Q1215" s="239" t="str">
        <f t="shared" ca="1" si="60"/>
        <v/>
      </c>
    </row>
    <row r="1216" spans="3:17" ht="15.75" hidden="1" customHeight="1" outlineLevel="1" x14ac:dyDescent="0.25">
      <c r="C1216" s="208"/>
      <c r="D1216" s="196">
        <v>42402</v>
      </c>
      <c r="E1216" s="101" t="s">
        <v>644</v>
      </c>
      <c r="F1216" s="216" t="s">
        <v>49</v>
      </c>
      <c r="G1216" s="3" t="s">
        <v>56</v>
      </c>
      <c r="H1216" s="3" t="s">
        <v>56</v>
      </c>
      <c r="M1216" s="151" t="str">
        <f t="shared" si="58"/>
        <v>/</v>
      </c>
      <c r="N1216" s="151" t="str">
        <f t="shared" si="59"/>
        <v/>
      </c>
      <c r="Q1216" s="239" t="str">
        <f t="shared" ca="1" si="60"/>
        <v/>
      </c>
    </row>
    <row r="1217" spans="3:17" ht="15.75" hidden="1" customHeight="1" outlineLevel="1" x14ac:dyDescent="0.25">
      <c r="C1217" s="208"/>
      <c r="D1217" s="196">
        <v>42404</v>
      </c>
      <c r="E1217" s="101" t="s">
        <v>22</v>
      </c>
      <c r="F1217" s="216" t="s">
        <v>49</v>
      </c>
      <c r="G1217" s="3" t="s">
        <v>56</v>
      </c>
      <c r="H1217" s="3" t="s">
        <v>56</v>
      </c>
      <c r="M1217" s="151" t="str">
        <f t="shared" si="58"/>
        <v>/</v>
      </c>
      <c r="N1217" s="151" t="str">
        <f t="shared" si="59"/>
        <v/>
      </c>
      <c r="Q1217" s="239" t="str">
        <f t="shared" ca="1" si="60"/>
        <v/>
      </c>
    </row>
    <row r="1218" spans="3:17" ht="15.75" hidden="1" customHeight="1" outlineLevel="1" x14ac:dyDescent="0.25">
      <c r="C1218" s="208"/>
      <c r="D1218" s="196">
        <v>42406</v>
      </c>
      <c r="E1218" s="101" t="s">
        <v>4</v>
      </c>
      <c r="F1218" s="216" t="s">
        <v>49</v>
      </c>
      <c r="G1218" s="3" t="s">
        <v>56</v>
      </c>
      <c r="H1218" s="3" t="s">
        <v>56</v>
      </c>
      <c r="M1218" s="151" t="str">
        <f t="shared" si="58"/>
        <v>/</v>
      </c>
      <c r="N1218" s="151" t="str">
        <f t="shared" si="59"/>
        <v/>
      </c>
      <c r="Q1218" s="239" t="str">
        <f t="shared" ca="1" si="60"/>
        <v/>
      </c>
    </row>
    <row r="1219" spans="3:17" ht="15.75" hidden="1" customHeight="1" outlineLevel="1" x14ac:dyDescent="0.25">
      <c r="C1219" s="208"/>
      <c r="D1219" s="196">
        <v>42408</v>
      </c>
      <c r="E1219" s="101" t="s">
        <v>45</v>
      </c>
      <c r="F1219" s="216" t="s">
        <v>50</v>
      </c>
      <c r="G1219" s="3" t="s">
        <v>56</v>
      </c>
      <c r="H1219" s="3" t="s">
        <v>56</v>
      </c>
      <c r="M1219" s="151" t="str">
        <f t="shared" si="58"/>
        <v/>
      </c>
      <c r="N1219" s="151" t="str">
        <f t="shared" si="59"/>
        <v>/</v>
      </c>
      <c r="Q1219" s="239" t="str">
        <f t="shared" ca="1" si="60"/>
        <v/>
      </c>
    </row>
    <row r="1220" spans="3:17" ht="15.75" hidden="1" customHeight="1" outlineLevel="1" x14ac:dyDescent="0.25">
      <c r="C1220" s="208"/>
      <c r="D1220" s="196">
        <v>42410</v>
      </c>
      <c r="E1220" s="101" t="s">
        <v>7</v>
      </c>
      <c r="F1220" s="216" t="s">
        <v>49</v>
      </c>
      <c r="G1220" s="3" t="s">
        <v>56</v>
      </c>
      <c r="H1220" s="3" t="s">
        <v>56</v>
      </c>
      <c r="M1220" s="151" t="str">
        <f t="shared" si="58"/>
        <v>/</v>
      </c>
      <c r="N1220" s="151" t="str">
        <f t="shared" si="59"/>
        <v/>
      </c>
      <c r="Q1220" s="239" t="str">
        <f t="shared" ca="1" si="60"/>
        <v/>
      </c>
    </row>
    <row r="1221" spans="3:17" ht="15.75" hidden="1" customHeight="1" outlineLevel="1" x14ac:dyDescent="0.25">
      <c r="C1221" s="208"/>
      <c r="D1221" s="196">
        <v>42413</v>
      </c>
      <c r="E1221" s="101" t="s">
        <v>23</v>
      </c>
      <c r="F1221" s="216" t="s">
        <v>49</v>
      </c>
      <c r="G1221" s="3" t="s">
        <v>56</v>
      </c>
      <c r="H1221" s="3" t="s">
        <v>56</v>
      </c>
      <c r="M1221" s="151" t="str">
        <f t="shared" si="58"/>
        <v>/</v>
      </c>
      <c r="N1221" s="151" t="str">
        <f t="shared" si="59"/>
        <v/>
      </c>
      <c r="Q1221" s="239" t="str">
        <f t="shared" ca="1" si="60"/>
        <v/>
      </c>
    </row>
    <row r="1222" spans="3:17" ht="15.75" hidden="1" customHeight="1" outlineLevel="1" x14ac:dyDescent="0.25">
      <c r="C1222" s="208"/>
      <c r="D1222" s="196">
        <v>42416</v>
      </c>
      <c r="E1222" s="101" t="s">
        <v>7</v>
      </c>
      <c r="F1222" s="216" t="s">
        <v>50</v>
      </c>
      <c r="G1222" s="3" t="s">
        <v>56</v>
      </c>
      <c r="H1222" s="3" t="s">
        <v>56</v>
      </c>
      <c r="M1222" s="151" t="str">
        <f t="shared" si="58"/>
        <v/>
      </c>
      <c r="N1222" s="151" t="str">
        <f t="shared" si="59"/>
        <v>/</v>
      </c>
      <c r="Q1222" s="239" t="str">
        <f t="shared" ca="1" si="60"/>
        <v/>
      </c>
    </row>
    <row r="1223" spans="3:17" ht="15.75" hidden="1" customHeight="1" outlineLevel="1" x14ac:dyDescent="0.25">
      <c r="C1223" s="208"/>
      <c r="D1223" s="196">
        <v>42424</v>
      </c>
      <c r="E1223" s="101" t="s">
        <v>11</v>
      </c>
      <c r="F1223" s="216" t="s">
        <v>50</v>
      </c>
      <c r="G1223" s="3" t="s">
        <v>56</v>
      </c>
      <c r="H1223" s="3" t="s">
        <v>56</v>
      </c>
      <c r="M1223" s="151" t="str">
        <f t="shared" ref="M1223:M1286" si="61">IF(F1223="D",H1223,"")</f>
        <v/>
      </c>
      <c r="N1223" s="151" t="str">
        <f t="shared" ref="N1223:N1286" si="62">IF(F1223="E",H1223,"")</f>
        <v>/</v>
      </c>
      <c r="Q1223" s="239" t="str">
        <f t="shared" ca="1" si="60"/>
        <v/>
      </c>
    </row>
    <row r="1224" spans="3:17" ht="15.75" hidden="1" customHeight="1" outlineLevel="1" x14ac:dyDescent="0.25">
      <c r="C1224" s="208"/>
      <c r="D1224" s="196">
        <v>42426</v>
      </c>
      <c r="E1224" s="101" t="s">
        <v>28</v>
      </c>
      <c r="F1224" s="216" t="s">
        <v>49</v>
      </c>
      <c r="G1224" s="3" t="s">
        <v>56</v>
      </c>
      <c r="H1224" s="3" t="s">
        <v>56</v>
      </c>
      <c r="M1224" s="151" t="str">
        <f t="shared" si="61"/>
        <v>/</v>
      </c>
      <c r="N1224" s="151" t="str">
        <f t="shared" si="62"/>
        <v/>
      </c>
      <c r="Q1224" s="239" t="str">
        <f t="shared" ca="1" si="60"/>
        <v/>
      </c>
    </row>
    <row r="1225" spans="3:17" ht="15.75" hidden="1" customHeight="1" outlineLevel="1" x14ac:dyDescent="0.25">
      <c r="C1225" s="208"/>
      <c r="D1225" s="196">
        <v>42428</v>
      </c>
      <c r="E1225" s="101" t="s">
        <v>16</v>
      </c>
      <c r="F1225" s="216" t="s">
        <v>49</v>
      </c>
      <c r="G1225" s="3" t="s">
        <v>56</v>
      </c>
      <c r="H1225" s="3" t="s">
        <v>56</v>
      </c>
      <c r="M1225" s="151" t="str">
        <f t="shared" si="61"/>
        <v>/</v>
      </c>
      <c r="N1225" s="151" t="str">
        <f t="shared" si="62"/>
        <v/>
      </c>
      <c r="Q1225" s="239" t="str">
        <f t="shared" ca="1" si="60"/>
        <v/>
      </c>
    </row>
    <row r="1226" spans="3:17" ht="15.75" hidden="1" customHeight="1" outlineLevel="1" x14ac:dyDescent="0.25">
      <c r="C1226" s="207"/>
      <c r="D1226" s="196">
        <v>42430</v>
      </c>
      <c r="E1226" s="101" t="s">
        <v>12</v>
      </c>
      <c r="F1226" s="216" t="s">
        <v>50</v>
      </c>
      <c r="G1226" s="3" t="s">
        <v>56</v>
      </c>
      <c r="H1226" s="3" t="s">
        <v>56</v>
      </c>
      <c r="M1226" s="151" t="str">
        <f t="shared" si="61"/>
        <v/>
      </c>
      <c r="N1226" s="151" t="str">
        <f t="shared" si="62"/>
        <v>/</v>
      </c>
      <c r="Q1226" s="239" t="str">
        <f t="shared" ca="1" si="60"/>
        <v/>
      </c>
    </row>
    <row r="1227" spans="3:17" ht="15.75" hidden="1" customHeight="1" outlineLevel="1" x14ac:dyDescent="0.25">
      <c r="C1227" s="207"/>
      <c r="D1227" s="196">
        <v>42432</v>
      </c>
      <c r="E1227" s="101" t="s">
        <v>12</v>
      </c>
      <c r="F1227" s="216" t="s">
        <v>49</v>
      </c>
      <c r="G1227" s="3" t="s">
        <v>56</v>
      </c>
      <c r="H1227" s="3" t="s">
        <v>56</v>
      </c>
      <c r="M1227" s="151" t="str">
        <f t="shared" si="61"/>
        <v>/</v>
      </c>
      <c r="N1227" s="151" t="str">
        <f t="shared" si="62"/>
        <v/>
      </c>
      <c r="Q1227" s="239" t="str">
        <f t="shared" ca="1" si="60"/>
        <v/>
      </c>
    </row>
    <row r="1228" spans="3:17" ht="15.75" hidden="1" customHeight="1" outlineLevel="1" x14ac:dyDescent="0.25">
      <c r="C1228" s="207"/>
      <c r="D1228" s="196">
        <v>42434</v>
      </c>
      <c r="E1228" s="101" t="s">
        <v>10</v>
      </c>
      <c r="F1228" s="216" t="s">
        <v>49</v>
      </c>
      <c r="G1228" s="3" t="s">
        <v>56</v>
      </c>
      <c r="H1228" s="3" t="s">
        <v>56</v>
      </c>
      <c r="M1228" s="151" t="str">
        <f t="shared" si="61"/>
        <v>/</v>
      </c>
      <c r="N1228" s="151" t="str">
        <f t="shared" si="62"/>
        <v/>
      </c>
      <c r="Q1228" s="239" t="str">
        <f t="shared" ca="1" si="60"/>
        <v/>
      </c>
    </row>
    <row r="1229" spans="3:17" ht="15.75" hidden="1" customHeight="1" outlineLevel="1" x14ac:dyDescent="0.25">
      <c r="C1229" s="207"/>
      <c r="D1229" s="196">
        <v>42436</v>
      </c>
      <c r="E1229" s="101" t="s">
        <v>25</v>
      </c>
      <c r="F1229" s="216" t="s">
        <v>50</v>
      </c>
      <c r="G1229" s="3" t="s">
        <v>56</v>
      </c>
      <c r="H1229" s="3" t="s">
        <v>56</v>
      </c>
      <c r="M1229" s="151" t="str">
        <f t="shared" si="61"/>
        <v/>
      </c>
      <c r="N1229" s="151" t="str">
        <f t="shared" si="62"/>
        <v>/</v>
      </c>
      <c r="Q1229" s="239" t="str">
        <f t="shared" ca="1" si="60"/>
        <v/>
      </c>
    </row>
    <row r="1230" spans="3:17" ht="15.75" hidden="1" customHeight="1" outlineLevel="1" x14ac:dyDescent="0.25">
      <c r="C1230" s="207"/>
      <c r="D1230" s="196">
        <v>42437</v>
      </c>
      <c r="E1230" s="101" t="s">
        <v>15</v>
      </c>
      <c r="F1230" s="216" t="s">
        <v>50</v>
      </c>
      <c r="G1230" s="3" t="s">
        <v>56</v>
      </c>
      <c r="H1230" s="3" t="s">
        <v>56</v>
      </c>
      <c r="M1230" s="151" t="str">
        <f t="shared" si="61"/>
        <v/>
      </c>
      <c r="N1230" s="151" t="str">
        <f t="shared" si="62"/>
        <v>/</v>
      </c>
      <c r="Q1230" s="239" t="str">
        <f t="shared" ca="1" si="60"/>
        <v/>
      </c>
    </row>
    <row r="1231" spans="3:17" ht="15.75" hidden="1" customHeight="1" outlineLevel="1" x14ac:dyDescent="0.25">
      <c r="C1231" s="207"/>
      <c r="D1231" s="196">
        <v>42439</v>
      </c>
      <c r="E1231" s="101" t="s">
        <v>26</v>
      </c>
      <c r="F1231" s="216" t="s">
        <v>50</v>
      </c>
      <c r="G1231" s="3" t="s">
        <v>56</v>
      </c>
      <c r="H1231" s="3" t="s">
        <v>56</v>
      </c>
      <c r="M1231" s="151" t="str">
        <f t="shared" si="61"/>
        <v/>
      </c>
      <c r="N1231" s="151" t="str">
        <f t="shared" si="62"/>
        <v>/</v>
      </c>
      <c r="Q1231" s="239" t="str">
        <f t="shared" ca="1" si="60"/>
        <v/>
      </c>
    </row>
    <row r="1232" spans="3:17" ht="15.75" hidden="1" customHeight="1" outlineLevel="1" x14ac:dyDescent="0.25">
      <c r="C1232" s="207"/>
      <c r="D1232" s="196">
        <v>42440</v>
      </c>
      <c r="E1232" s="101" t="s">
        <v>24</v>
      </c>
      <c r="F1232" s="216" t="s">
        <v>50</v>
      </c>
      <c r="G1232" s="3" t="s">
        <v>56</v>
      </c>
      <c r="H1232" s="3" t="s">
        <v>56</v>
      </c>
      <c r="M1232" s="151" t="str">
        <f t="shared" si="61"/>
        <v/>
      </c>
      <c r="N1232" s="151" t="str">
        <f t="shared" si="62"/>
        <v>/</v>
      </c>
      <c r="Q1232" s="239" t="str">
        <f t="shared" ca="1" si="60"/>
        <v/>
      </c>
    </row>
    <row r="1233" spans="3:17" ht="15.75" hidden="1" customHeight="1" outlineLevel="1" x14ac:dyDescent="0.25">
      <c r="C1233" s="207"/>
      <c r="D1233" s="196">
        <v>42442</v>
      </c>
      <c r="E1233" s="101" t="s">
        <v>21</v>
      </c>
      <c r="F1233" s="216" t="s">
        <v>50</v>
      </c>
      <c r="G1233" s="3" t="s">
        <v>56</v>
      </c>
      <c r="H1233" s="3" t="s">
        <v>56</v>
      </c>
      <c r="M1233" s="151" t="str">
        <f t="shared" si="61"/>
        <v/>
      </c>
      <c r="N1233" s="151" t="str">
        <f t="shared" si="62"/>
        <v>/</v>
      </c>
      <c r="Q1233" s="239" t="str">
        <f t="shared" ca="1" si="60"/>
        <v/>
      </c>
    </row>
    <row r="1234" spans="3:17" ht="15.75" hidden="1" customHeight="1" outlineLevel="1" x14ac:dyDescent="0.25">
      <c r="C1234" s="207"/>
      <c r="D1234" s="196">
        <v>42444</v>
      </c>
      <c r="E1234" s="101" t="s">
        <v>645</v>
      </c>
      <c r="F1234" s="216" t="s">
        <v>49</v>
      </c>
      <c r="G1234" s="3" t="s">
        <v>56</v>
      </c>
      <c r="H1234" s="3" t="s">
        <v>56</v>
      </c>
      <c r="M1234" s="151" t="str">
        <f t="shared" si="61"/>
        <v>/</v>
      </c>
      <c r="N1234" s="151" t="str">
        <f t="shared" si="62"/>
        <v/>
      </c>
      <c r="Q1234" s="239" t="str">
        <f t="shared" ca="1" si="60"/>
        <v/>
      </c>
    </row>
    <row r="1235" spans="3:17" ht="15.75" hidden="1" customHeight="1" outlineLevel="1" x14ac:dyDescent="0.25">
      <c r="C1235" s="207"/>
      <c r="D1235" s="196">
        <v>42446</v>
      </c>
      <c r="E1235" s="101" t="s">
        <v>2</v>
      </c>
      <c r="F1235" s="216" t="s">
        <v>49</v>
      </c>
      <c r="G1235" s="3" t="s">
        <v>56</v>
      </c>
      <c r="H1235" s="3" t="s">
        <v>56</v>
      </c>
      <c r="M1235" s="151" t="str">
        <f t="shared" si="61"/>
        <v>/</v>
      </c>
      <c r="N1235" s="151" t="str">
        <f t="shared" si="62"/>
        <v/>
      </c>
      <c r="Q1235" s="239" t="str">
        <f t="shared" ca="1" si="60"/>
        <v/>
      </c>
    </row>
    <row r="1236" spans="3:17" ht="15.75" hidden="1" customHeight="1" outlineLevel="1" x14ac:dyDescent="0.25">
      <c r="C1236" s="207"/>
      <c r="D1236" s="196">
        <v>42447</v>
      </c>
      <c r="E1236" s="101" t="s">
        <v>3</v>
      </c>
      <c r="F1236" s="216" t="s">
        <v>50</v>
      </c>
      <c r="G1236" s="3" t="s">
        <v>56</v>
      </c>
      <c r="H1236" s="3" t="s">
        <v>56</v>
      </c>
      <c r="M1236" s="151" t="str">
        <f t="shared" si="61"/>
        <v/>
      </c>
      <c r="N1236" s="151" t="str">
        <f t="shared" si="62"/>
        <v>/</v>
      </c>
      <c r="Q1236" s="239" t="str">
        <f t="shared" ca="1" si="60"/>
        <v/>
      </c>
    </row>
    <row r="1237" spans="3:17" ht="15.75" hidden="1" customHeight="1" outlineLevel="1" x14ac:dyDescent="0.25">
      <c r="C1237" s="207"/>
      <c r="D1237" s="196">
        <v>42449</v>
      </c>
      <c r="E1237" s="101" t="s">
        <v>1</v>
      </c>
      <c r="F1237" s="216" t="s">
        <v>50</v>
      </c>
      <c r="G1237" s="3" t="s">
        <v>56</v>
      </c>
      <c r="H1237" s="3" t="s">
        <v>56</v>
      </c>
      <c r="M1237" s="151" t="str">
        <f t="shared" si="61"/>
        <v/>
      </c>
      <c r="N1237" s="151" t="str">
        <f t="shared" si="62"/>
        <v>/</v>
      </c>
      <c r="Q1237" s="239" t="str">
        <f t="shared" ca="1" si="60"/>
        <v/>
      </c>
    </row>
    <row r="1238" spans="3:17" ht="15.75" hidden="1" customHeight="1" outlineLevel="1" x14ac:dyDescent="0.25">
      <c r="C1238" s="207"/>
      <c r="D1238" s="196">
        <v>42451</v>
      </c>
      <c r="E1238" s="101" t="s">
        <v>0</v>
      </c>
      <c r="F1238" s="216" t="s">
        <v>49</v>
      </c>
      <c r="G1238" s="3" t="s">
        <v>56</v>
      </c>
      <c r="H1238" s="3" t="s">
        <v>56</v>
      </c>
      <c r="M1238" s="151" t="str">
        <f t="shared" si="61"/>
        <v>/</v>
      </c>
      <c r="N1238" s="151" t="str">
        <f t="shared" si="62"/>
        <v/>
      </c>
      <c r="Q1238" s="239" t="str">
        <f t="shared" ca="1" si="60"/>
        <v/>
      </c>
    </row>
    <row r="1239" spans="3:17" ht="15.75" hidden="1" customHeight="1" outlineLevel="1" x14ac:dyDescent="0.25">
      <c r="C1239" s="207"/>
      <c r="D1239" s="196">
        <v>42453</v>
      </c>
      <c r="E1239" s="101" t="s">
        <v>45</v>
      </c>
      <c r="F1239" s="216" t="s">
        <v>49</v>
      </c>
      <c r="G1239" s="3" t="s">
        <v>56</v>
      </c>
      <c r="H1239" s="3" t="s">
        <v>56</v>
      </c>
      <c r="M1239" s="151" t="str">
        <f t="shared" si="61"/>
        <v>/</v>
      </c>
      <c r="N1239" s="151" t="str">
        <f t="shared" si="62"/>
        <v/>
      </c>
      <c r="Q1239" s="239" t="str">
        <f t="shared" ca="1" si="60"/>
        <v/>
      </c>
    </row>
    <row r="1240" spans="3:17" ht="15.75" hidden="1" customHeight="1" outlineLevel="1" x14ac:dyDescent="0.25">
      <c r="C1240" s="207"/>
      <c r="D1240" s="196">
        <v>42454</v>
      </c>
      <c r="E1240" s="101" t="s">
        <v>4</v>
      </c>
      <c r="F1240" s="216" t="s">
        <v>50</v>
      </c>
      <c r="G1240" s="3" t="s">
        <v>56</v>
      </c>
      <c r="H1240" s="3" t="s">
        <v>56</v>
      </c>
      <c r="M1240" s="151" t="str">
        <f t="shared" si="61"/>
        <v/>
      </c>
      <c r="N1240" s="151" t="str">
        <f t="shared" si="62"/>
        <v>/</v>
      </c>
      <c r="Q1240" s="239" t="str">
        <f t="shared" ca="1" si="60"/>
        <v/>
      </c>
    </row>
    <row r="1241" spans="3:17" ht="15.75" hidden="1" customHeight="1" outlineLevel="1" x14ac:dyDescent="0.25">
      <c r="C1241" s="207"/>
      <c r="D1241" s="196">
        <v>42457</v>
      </c>
      <c r="E1241" s="101" t="s">
        <v>644</v>
      </c>
      <c r="F1241" s="216" t="s">
        <v>50</v>
      </c>
      <c r="G1241" s="3" t="s">
        <v>56</v>
      </c>
      <c r="H1241" s="3" t="s">
        <v>56</v>
      </c>
      <c r="M1241" s="151" t="str">
        <f t="shared" si="61"/>
        <v/>
      </c>
      <c r="N1241" s="151" t="str">
        <f t="shared" si="62"/>
        <v>/</v>
      </c>
      <c r="Q1241" s="239" t="str">
        <f t="shared" ca="1" si="60"/>
        <v/>
      </c>
    </row>
    <row r="1242" spans="3:17" ht="15.75" hidden="1" customHeight="1" outlineLevel="1" x14ac:dyDescent="0.25">
      <c r="C1242" s="207"/>
      <c r="D1242" s="196">
        <v>42458</v>
      </c>
      <c r="E1242" s="101" t="s">
        <v>18</v>
      </c>
      <c r="F1242" s="216" t="s">
        <v>50</v>
      </c>
      <c r="G1242" s="3" t="s">
        <v>56</v>
      </c>
      <c r="H1242" s="3" t="s">
        <v>56</v>
      </c>
      <c r="M1242" s="151" t="str">
        <f t="shared" si="61"/>
        <v/>
      </c>
      <c r="N1242" s="151" t="str">
        <f t="shared" si="62"/>
        <v>/</v>
      </c>
      <c r="Q1242" s="239" t="str">
        <f t="shared" ca="1" si="60"/>
        <v/>
      </c>
    </row>
    <row r="1243" spans="3:17" ht="15.75" hidden="1" customHeight="1" outlineLevel="1" x14ac:dyDescent="0.25">
      <c r="C1243" s="207"/>
      <c r="D1243" s="196">
        <v>42460</v>
      </c>
      <c r="E1243" s="101" t="s">
        <v>28</v>
      </c>
      <c r="F1243" s="216" t="s">
        <v>50</v>
      </c>
      <c r="G1243" s="3" t="s">
        <v>56</v>
      </c>
      <c r="H1243" s="3" t="s">
        <v>56</v>
      </c>
      <c r="M1243" s="151" t="str">
        <f t="shared" si="61"/>
        <v/>
      </c>
      <c r="N1243" s="151" t="str">
        <f t="shared" si="62"/>
        <v>/</v>
      </c>
      <c r="Q1243" s="239" t="str">
        <f t="shared" ca="1" si="60"/>
        <v/>
      </c>
    </row>
    <row r="1244" spans="3:17" ht="15.75" hidden="1" customHeight="1" outlineLevel="1" x14ac:dyDescent="0.25">
      <c r="C1244" s="208"/>
      <c r="D1244" s="196">
        <v>42462</v>
      </c>
      <c r="E1244" s="101" t="s">
        <v>16</v>
      </c>
      <c r="F1244" s="216" t="s">
        <v>50</v>
      </c>
      <c r="G1244" s="3" t="s">
        <v>56</v>
      </c>
      <c r="H1244" s="3" t="s">
        <v>56</v>
      </c>
      <c r="M1244" s="151" t="str">
        <f t="shared" si="61"/>
        <v/>
      </c>
      <c r="N1244" s="151" t="str">
        <f t="shared" si="62"/>
        <v>/</v>
      </c>
      <c r="Q1244" s="239" t="str">
        <f t="shared" ca="1" si="60"/>
        <v/>
      </c>
    </row>
    <row r="1245" spans="3:17" ht="15.75" hidden="1" customHeight="1" outlineLevel="1" x14ac:dyDescent="0.25">
      <c r="C1245" s="208"/>
      <c r="D1245" s="196">
        <v>42464</v>
      </c>
      <c r="E1245" s="101" t="s">
        <v>3</v>
      </c>
      <c r="F1245" s="216" t="s">
        <v>49</v>
      </c>
      <c r="G1245" s="3" t="s">
        <v>56</v>
      </c>
      <c r="H1245" s="3" t="s">
        <v>56</v>
      </c>
      <c r="M1245" s="151" t="str">
        <f t="shared" si="61"/>
        <v>/</v>
      </c>
      <c r="N1245" s="151" t="str">
        <f t="shared" si="62"/>
        <v/>
      </c>
      <c r="Q1245" s="239" t="str">
        <f t="shared" ca="1" si="60"/>
        <v/>
      </c>
    </row>
    <row r="1246" spans="3:17" ht="15.75" hidden="1" customHeight="1" outlineLevel="1" x14ac:dyDescent="0.25">
      <c r="C1246" s="208"/>
      <c r="D1246" s="196">
        <v>42466</v>
      </c>
      <c r="E1246" s="101" t="s">
        <v>9</v>
      </c>
      <c r="F1246" s="216" t="s">
        <v>50</v>
      </c>
      <c r="G1246" s="3" t="s">
        <v>56</v>
      </c>
      <c r="H1246" s="3" t="s">
        <v>56</v>
      </c>
      <c r="M1246" s="151" t="str">
        <f t="shared" si="61"/>
        <v/>
      </c>
      <c r="N1246" s="151" t="str">
        <f t="shared" si="62"/>
        <v>/</v>
      </c>
      <c r="Q1246" s="239" t="str">
        <f t="shared" ca="1" si="60"/>
        <v/>
      </c>
    </row>
    <row r="1247" spans="3:17" ht="15.75" hidden="1" customHeight="1" outlineLevel="1" x14ac:dyDescent="0.25">
      <c r="C1247" s="208"/>
      <c r="D1247" s="196">
        <v>42468</v>
      </c>
      <c r="E1247" s="101" t="s">
        <v>6</v>
      </c>
      <c r="F1247" s="216" t="s">
        <v>49</v>
      </c>
      <c r="G1247" s="3" t="s">
        <v>56</v>
      </c>
      <c r="H1247" s="3" t="s">
        <v>56</v>
      </c>
      <c r="M1247" s="151" t="str">
        <f t="shared" si="61"/>
        <v>/</v>
      </c>
      <c r="N1247" s="151" t="str">
        <f t="shared" si="62"/>
        <v/>
      </c>
      <c r="Q1247" s="239" t="str">
        <f t="shared" ca="1" si="60"/>
        <v/>
      </c>
    </row>
    <row r="1248" spans="3:17" ht="15.75" hidden="1" customHeight="1" outlineLevel="1" x14ac:dyDescent="0.25">
      <c r="C1248" s="208"/>
      <c r="D1248" s="196">
        <v>42470</v>
      </c>
      <c r="E1248" s="101" t="s">
        <v>5</v>
      </c>
      <c r="F1248" s="216" t="s">
        <v>50</v>
      </c>
      <c r="G1248" s="3" t="s">
        <v>56</v>
      </c>
      <c r="H1248" s="3" t="s">
        <v>56</v>
      </c>
      <c r="M1248" s="151" t="str">
        <f t="shared" si="61"/>
        <v/>
      </c>
      <c r="N1248" s="151" t="str">
        <f t="shared" si="62"/>
        <v>/</v>
      </c>
      <c r="Q1248" s="239" t="str">
        <f t="shared" ca="1" si="60"/>
        <v/>
      </c>
    </row>
    <row r="1249" spans="2:17" ht="15.75" hidden="1" customHeight="1" outlineLevel="1" x14ac:dyDescent="0.25">
      <c r="C1249" s="208"/>
      <c r="D1249" s="196">
        <v>42472</v>
      </c>
      <c r="E1249" s="102" t="s">
        <v>6</v>
      </c>
      <c r="F1249" s="217" t="s">
        <v>50</v>
      </c>
      <c r="G1249" s="3" t="s">
        <v>56</v>
      </c>
      <c r="H1249" s="3" t="s">
        <v>56</v>
      </c>
      <c r="M1249" s="151" t="str">
        <f t="shared" si="61"/>
        <v/>
      </c>
      <c r="N1249" s="151" t="str">
        <f t="shared" si="62"/>
        <v>/</v>
      </c>
      <c r="Q1249" s="239" t="str">
        <f t="shared" ca="1" si="60"/>
        <v/>
      </c>
    </row>
    <row r="1250" spans="2:17" collapsed="1" x14ac:dyDescent="0.25">
      <c r="B1250" s="404" t="str">
        <f ca="1">"- "&amp;INDEX(E1251:E1332,MATCH(TODAY(),D1251:D1332,0))</f>
        <v>- Houston</v>
      </c>
      <c r="C1250" s="404"/>
      <c r="D1250" s="406" t="s">
        <v>14</v>
      </c>
      <c r="E1250" s="407"/>
      <c r="F1250" s="408"/>
      <c r="H1250" s="3"/>
      <c r="Q1250" s="239" t="str">
        <f t="shared" ca="1" si="60"/>
        <v/>
      </c>
    </row>
    <row r="1251" spans="2:17" ht="16.5" hidden="1" customHeight="1" outlineLevel="1" x14ac:dyDescent="0.25">
      <c r="C1251" s="207"/>
      <c r="D1251" s="196">
        <v>42669</v>
      </c>
      <c r="E1251" s="103" t="s">
        <v>7</v>
      </c>
      <c r="F1251" s="215" t="s">
        <v>50</v>
      </c>
      <c r="G1251" s="3">
        <v>0</v>
      </c>
      <c r="H1251" s="3">
        <v>121</v>
      </c>
      <c r="I1251" s="151">
        <v>38</v>
      </c>
      <c r="J1251" s="151">
        <v>48</v>
      </c>
      <c r="K1251" s="151">
        <v>72</v>
      </c>
      <c r="L1251" s="151">
        <v>43</v>
      </c>
      <c r="M1251" s="151" t="str">
        <f t="shared" si="61"/>
        <v/>
      </c>
      <c r="N1251" s="151">
        <f t="shared" si="62"/>
        <v>121</v>
      </c>
      <c r="P1251" s="151">
        <v>130</v>
      </c>
      <c r="Q1251" s="239" t="str">
        <f t="shared" ca="1" si="60"/>
        <v/>
      </c>
    </row>
    <row r="1252" spans="2:17" ht="15.75" hidden="1" customHeight="1" outlineLevel="1" x14ac:dyDescent="0.25">
      <c r="C1252" s="207"/>
      <c r="D1252" s="196">
        <v>42671</v>
      </c>
      <c r="E1252" s="101" t="s">
        <v>17</v>
      </c>
      <c r="F1252" s="216" t="s">
        <v>49</v>
      </c>
      <c r="G1252" s="3" t="s">
        <v>56</v>
      </c>
      <c r="H1252" s="3" t="s">
        <v>56</v>
      </c>
      <c r="M1252" s="151" t="str">
        <f t="shared" si="61"/>
        <v>/</v>
      </c>
      <c r="N1252" s="151" t="str">
        <f t="shared" si="62"/>
        <v/>
      </c>
      <c r="Q1252" s="239">
        <f t="shared" ca="1" si="60"/>
        <v>1</v>
      </c>
    </row>
    <row r="1253" spans="2:17" ht="15.75" hidden="1" customHeight="1" outlineLevel="1" x14ac:dyDescent="0.25">
      <c r="C1253" s="207"/>
      <c r="D1253" s="196">
        <v>42673</v>
      </c>
      <c r="E1253" s="101" t="s">
        <v>17</v>
      </c>
      <c r="F1253" s="216" t="s">
        <v>50</v>
      </c>
      <c r="G1253" s="3" t="s">
        <v>56</v>
      </c>
      <c r="H1253" s="3" t="s">
        <v>56</v>
      </c>
      <c r="M1253" s="151" t="str">
        <f t="shared" si="61"/>
        <v/>
      </c>
      <c r="N1253" s="151" t="str">
        <f t="shared" si="62"/>
        <v>/</v>
      </c>
      <c r="Q1253" s="239" t="str">
        <f t="shared" ca="1" si="60"/>
        <v/>
      </c>
    </row>
    <row r="1254" spans="2:17" ht="15.75" hidden="1" customHeight="1" outlineLevel="1" x14ac:dyDescent="0.25">
      <c r="C1254" s="207"/>
      <c r="D1254" s="196">
        <v>42676</v>
      </c>
      <c r="E1254" s="101" t="s">
        <v>28</v>
      </c>
      <c r="F1254" s="216" t="s">
        <v>50</v>
      </c>
      <c r="G1254" s="3" t="s">
        <v>56</v>
      </c>
      <c r="H1254" s="3" t="s">
        <v>56</v>
      </c>
      <c r="M1254" s="151" t="str">
        <f t="shared" si="61"/>
        <v/>
      </c>
      <c r="N1254" s="151" t="str">
        <f t="shared" si="62"/>
        <v>/</v>
      </c>
      <c r="Q1254" s="239" t="str">
        <f t="shared" ca="1" si="60"/>
        <v/>
      </c>
    </row>
    <row r="1255" spans="2:17" ht="15.75" hidden="1" customHeight="1" outlineLevel="1" x14ac:dyDescent="0.25">
      <c r="C1255" s="207"/>
      <c r="D1255" s="196">
        <v>42678</v>
      </c>
      <c r="E1255" s="101" t="s">
        <v>24</v>
      </c>
      <c r="F1255" s="216" t="s">
        <v>49</v>
      </c>
      <c r="G1255" s="3" t="s">
        <v>56</v>
      </c>
      <c r="H1255" s="3" t="s">
        <v>56</v>
      </c>
      <c r="M1255" s="151" t="str">
        <f t="shared" si="61"/>
        <v>/</v>
      </c>
      <c r="N1255" s="151" t="str">
        <f t="shared" si="62"/>
        <v/>
      </c>
      <c r="Q1255" s="239" t="str">
        <f t="shared" ca="1" si="60"/>
        <v/>
      </c>
    </row>
    <row r="1256" spans="2:17" ht="15.75" hidden="1" customHeight="1" outlineLevel="1" x14ac:dyDescent="0.25">
      <c r="C1256" s="207"/>
      <c r="D1256" s="196">
        <v>42680</v>
      </c>
      <c r="E1256" s="101" t="s">
        <v>8</v>
      </c>
      <c r="F1256" s="216" t="s">
        <v>49</v>
      </c>
      <c r="G1256" s="3" t="s">
        <v>56</v>
      </c>
      <c r="H1256" s="3" t="s">
        <v>56</v>
      </c>
      <c r="M1256" s="151" t="str">
        <f t="shared" si="61"/>
        <v>/</v>
      </c>
      <c r="N1256" s="151" t="str">
        <f t="shared" si="62"/>
        <v/>
      </c>
      <c r="Q1256" s="239" t="str">
        <f t="shared" ca="1" si="60"/>
        <v/>
      </c>
    </row>
    <row r="1257" spans="2:17" ht="15.75" hidden="1" customHeight="1" outlineLevel="1" x14ac:dyDescent="0.25">
      <c r="C1257" s="207"/>
      <c r="D1257" s="196">
        <v>42682</v>
      </c>
      <c r="E1257" s="101" t="s">
        <v>644</v>
      </c>
      <c r="F1257" s="216" t="s">
        <v>50</v>
      </c>
      <c r="G1257" s="3" t="s">
        <v>56</v>
      </c>
      <c r="H1257" s="3" t="s">
        <v>56</v>
      </c>
      <c r="M1257" s="151" t="str">
        <f t="shared" si="61"/>
        <v/>
      </c>
      <c r="N1257" s="151" t="str">
        <f t="shared" si="62"/>
        <v>/</v>
      </c>
      <c r="Q1257" s="239" t="str">
        <f t="shared" ca="1" si="60"/>
        <v/>
      </c>
    </row>
    <row r="1258" spans="2:17" ht="15.75" hidden="1" customHeight="1" outlineLevel="1" x14ac:dyDescent="0.25">
      <c r="C1258" s="207"/>
      <c r="D1258" s="196">
        <v>42683</v>
      </c>
      <c r="E1258" s="101" t="s">
        <v>16</v>
      </c>
      <c r="F1258" s="216" t="s">
        <v>50</v>
      </c>
      <c r="G1258" s="3" t="s">
        <v>56</v>
      </c>
      <c r="H1258" s="3" t="s">
        <v>56</v>
      </c>
      <c r="M1258" s="151" t="str">
        <f t="shared" si="61"/>
        <v/>
      </c>
      <c r="N1258" s="151" t="str">
        <f t="shared" si="62"/>
        <v>/</v>
      </c>
      <c r="Q1258" s="239" t="str">
        <f t="shared" ca="1" si="60"/>
        <v/>
      </c>
    </row>
    <row r="1259" spans="2:17" ht="15.75" hidden="1" customHeight="1" outlineLevel="1" x14ac:dyDescent="0.25">
      <c r="C1259" s="207"/>
      <c r="D1259" s="196">
        <v>42688</v>
      </c>
      <c r="E1259" s="101" t="s">
        <v>9</v>
      </c>
      <c r="F1259" s="216" t="s">
        <v>50</v>
      </c>
      <c r="G1259" s="3" t="s">
        <v>56</v>
      </c>
      <c r="H1259" s="3" t="s">
        <v>56</v>
      </c>
      <c r="M1259" s="151" t="str">
        <f t="shared" si="61"/>
        <v/>
      </c>
      <c r="N1259" s="151" t="str">
        <f t="shared" si="62"/>
        <v>/</v>
      </c>
      <c r="Q1259" s="239" t="str">
        <f t="shared" ref="Q1259:Q1322" ca="1" si="63">IF(D1259=TODAY(),1,"")</f>
        <v/>
      </c>
    </row>
    <row r="1260" spans="2:17" ht="15.75" hidden="1" customHeight="1" outlineLevel="1" x14ac:dyDescent="0.25">
      <c r="C1260" s="207"/>
      <c r="D1260" s="196">
        <v>42690</v>
      </c>
      <c r="E1260" s="101" t="s">
        <v>1</v>
      </c>
      <c r="F1260" s="216" t="s">
        <v>50</v>
      </c>
      <c r="G1260" s="3" t="s">
        <v>56</v>
      </c>
      <c r="H1260" s="3" t="s">
        <v>56</v>
      </c>
      <c r="M1260" s="151" t="str">
        <f t="shared" si="61"/>
        <v/>
      </c>
      <c r="N1260" s="151" t="str">
        <f t="shared" si="62"/>
        <v>/</v>
      </c>
      <c r="Q1260" s="239" t="str">
        <f t="shared" ca="1" si="63"/>
        <v/>
      </c>
    </row>
    <row r="1261" spans="2:17" ht="15.75" hidden="1" customHeight="1" outlineLevel="1" x14ac:dyDescent="0.25">
      <c r="C1261" s="207"/>
      <c r="D1261" s="196">
        <v>42692</v>
      </c>
      <c r="E1261" s="101" t="s">
        <v>20</v>
      </c>
      <c r="F1261" s="216" t="s">
        <v>49</v>
      </c>
      <c r="G1261" s="3" t="s">
        <v>56</v>
      </c>
      <c r="H1261" s="3" t="s">
        <v>56</v>
      </c>
      <c r="M1261" s="151" t="str">
        <f t="shared" si="61"/>
        <v>/</v>
      </c>
      <c r="N1261" s="151" t="str">
        <f t="shared" si="62"/>
        <v/>
      </c>
      <c r="Q1261" s="239" t="str">
        <f t="shared" ca="1" si="63"/>
        <v/>
      </c>
    </row>
    <row r="1262" spans="2:17" ht="15.75" hidden="1" customHeight="1" outlineLevel="1" x14ac:dyDescent="0.25">
      <c r="C1262" s="207"/>
      <c r="D1262" s="196">
        <v>42693</v>
      </c>
      <c r="E1262" s="101" t="s">
        <v>10</v>
      </c>
      <c r="F1262" s="216" t="s">
        <v>50</v>
      </c>
      <c r="G1262" s="3" t="s">
        <v>56</v>
      </c>
      <c r="H1262" s="3" t="s">
        <v>56</v>
      </c>
      <c r="M1262" s="151" t="str">
        <f t="shared" si="61"/>
        <v/>
      </c>
      <c r="N1262" s="151" t="str">
        <f t="shared" si="62"/>
        <v>/</v>
      </c>
      <c r="Q1262" s="239" t="str">
        <f t="shared" ca="1" si="63"/>
        <v/>
      </c>
    </row>
    <row r="1263" spans="2:17" ht="15.75" hidden="1" customHeight="1" outlineLevel="1" x14ac:dyDescent="0.25">
      <c r="C1263" s="207"/>
      <c r="D1263" s="196">
        <v>42695</v>
      </c>
      <c r="E1263" s="101" t="s">
        <v>46</v>
      </c>
      <c r="F1263" s="216" t="s">
        <v>50</v>
      </c>
      <c r="G1263" s="3" t="s">
        <v>56</v>
      </c>
      <c r="H1263" s="3" t="s">
        <v>56</v>
      </c>
      <c r="M1263" s="151" t="str">
        <f t="shared" si="61"/>
        <v/>
      </c>
      <c r="N1263" s="151" t="str">
        <f t="shared" si="62"/>
        <v>/</v>
      </c>
      <c r="Q1263" s="239" t="str">
        <f t="shared" ca="1" si="63"/>
        <v/>
      </c>
    </row>
    <row r="1264" spans="2:17" ht="15.75" hidden="1" customHeight="1" outlineLevel="1" x14ac:dyDescent="0.25">
      <c r="C1264" s="207"/>
      <c r="D1264" s="196">
        <v>42697</v>
      </c>
      <c r="E1264" s="101" t="s">
        <v>18</v>
      </c>
      <c r="F1264" s="216" t="s">
        <v>49</v>
      </c>
      <c r="G1264" s="3" t="s">
        <v>56</v>
      </c>
      <c r="H1264" s="3" t="s">
        <v>56</v>
      </c>
      <c r="M1264" s="151" t="str">
        <f t="shared" si="61"/>
        <v>/</v>
      </c>
      <c r="N1264" s="151" t="str">
        <f t="shared" si="62"/>
        <v/>
      </c>
      <c r="Q1264" s="239" t="str">
        <f t="shared" ca="1" si="63"/>
        <v/>
      </c>
    </row>
    <row r="1265" spans="3:17" ht="15.75" hidden="1" customHeight="1" outlineLevel="1" x14ac:dyDescent="0.25">
      <c r="C1265" s="207"/>
      <c r="D1265" s="196">
        <v>42699</v>
      </c>
      <c r="E1265" s="101" t="s">
        <v>4</v>
      </c>
      <c r="F1265" s="216" t="s">
        <v>50</v>
      </c>
      <c r="G1265" s="3" t="s">
        <v>56</v>
      </c>
      <c r="H1265" s="3" t="s">
        <v>56</v>
      </c>
      <c r="M1265" s="151" t="str">
        <f t="shared" si="61"/>
        <v/>
      </c>
      <c r="N1265" s="151" t="str">
        <f t="shared" si="62"/>
        <v>/</v>
      </c>
      <c r="Q1265" s="239" t="str">
        <f t="shared" ca="1" si="63"/>
        <v/>
      </c>
    </row>
    <row r="1266" spans="3:17" ht="15.75" hidden="1" customHeight="1" outlineLevel="1" x14ac:dyDescent="0.25">
      <c r="C1266" s="207"/>
      <c r="D1266" s="196">
        <v>42701</v>
      </c>
      <c r="E1266" s="101" t="s">
        <v>22</v>
      </c>
      <c r="F1266" s="216" t="s">
        <v>49</v>
      </c>
      <c r="G1266" s="3" t="s">
        <v>56</v>
      </c>
      <c r="H1266" s="3" t="s">
        <v>56</v>
      </c>
      <c r="M1266" s="151" t="str">
        <f t="shared" si="61"/>
        <v>/</v>
      </c>
      <c r="N1266" s="151" t="str">
        <f t="shared" si="62"/>
        <v/>
      </c>
      <c r="Q1266" s="239" t="str">
        <f t="shared" ca="1" si="63"/>
        <v/>
      </c>
    </row>
    <row r="1267" spans="3:17" ht="15.75" hidden="1" customHeight="1" outlineLevel="1" x14ac:dyDescent="0.25">
      <c r="C1267" s="207"/>
      <c r="D1267" s="196">
        <v>42704</v>
      </c>
      <c r="E1267" s="101" t="s">
        <v>46</v>
      </c>
      <c r="F1267" s="216" t="s">
        <v>49</v>
      </c>
      <c r="G1267" s="3" t="s">
        <v>56</v>
      </c>
      <c r="H1267" s="3" t="s">
        <v>56</v>
      </c>
      <c r="M1267" s="151" t="str">
        <f t="shared" si="61"/>
        <v>/</v>
      </c>
      <c r="N1267" s="151" t="str">
        <f t="shared" si="62"/>
        <v/>
      </c>
      <c r="Q1267" s="239" t="str">
        <f t="shared" ca="1" si="63"/>
        <v/>
      </c>
    </row>
    <row r="1268" spans="3:17" ht="15.75" hidden="1" customHeight="1" outlineLevel="1" x14ac:dyDescent="0.25">
      <c r="C1268" s="208"/>
      <c r="D1268" s="196">
        <v>42705</v>
      </c>
      <c r="E1268" s="101" t="s">
        <v>3</v>
      </c>
      <c r="F1268" s="216" t="s">
        <v>50</v>
      </c>
      <c r="G1268" s="3" t="s">
        <v>56</v>
      </c>
      <c r="H1268" s="3" t="s">
        <v>56</v>
      </c>
      <c r="M1268" s="151" t="str">
        <f t="shared" si="61"/>
        <v/>
      </c>
      <c r="N1268" s="151" t="str">
        <f t="shared" si="62"/>
        <v>/</v>
      </c>
      <c r="Q1268" s="239" t="str">
        <f t="shared" ca="1" si="63"/>
        <v/>
      </c>
    </row>
    <row r="1269" spans="3:17" ht="15.75" hidden="1" customHeight="1" outlineLevel="1" x14ac:dyDescent="0.25">
      <c r="C1269" s="208"/>
      <c r="D1269" s="196">
        <v>42707</v>
      </c>
      <c r="E1269" s="101" t="s">
        <v>2</v>
      </c>
      <c r="F1269" s="216" t="s">
        <v>49</v>
      </c>
      <c r="G1269" s="3" t="s">
        <v>56</v>
      </c>
      <c r="H1269" s="3" t="s">
        <v>56</v>
      </c>
      <c r="M1269" s="151" t="str">
        <f t="shared" si="61"/>
        <v>/</v>
      </c>
      <c r="N1269" s="151" t="str">
        <f t="shared" si="62"/>
        <v/>
      </c>
      <c r="Q1269" s="239" t="str">
        <f t="shared" ca="1" si="63"/>
        <v/>
      </c>
    </row>
    <row r="1270" spans="3:17" ht="15.75" hidden="1" customHeight="1" outlineLevel="1" x14ac:dyDescent="0.25">
      <c r="C1270" s="208"/>
      <c r="D1270" s="196">
        <v>42709</v>
      </c>
      <c r="E1270" s="101" t="s">
        <v>3</v>
      </c>
      <c r="F1270" s="216" t="s">
        <v>49</v>
      </c>
      <c r="G1270" s="3" t="s">
        <v>56</v>
      </c>
      <c r="H1270" s="3" t="s">
        <v>56</v>
      </c>
      <c r="M1270" s="151" t="str">
        <f t="shared" si="61"/>
        <v>/</v>
      </c>
      <c r="N1270" s="151" t="str">
        <f t="shared" si="62"/>
        <v/>
      </c>
      <c r="Q1270" s="239" t="str">
        <f t="shared" ca="1" si="63"/>
        <v/>
      </c>
    </row>
    <row r="1271" spans="3:17" ht="15.75" hidden="1" customHeight="1" outlineLevel="1" x14ac:dyDescent="0.25">
      <c r="C1271" s="208"/>
      <c r="D1271" s="196">
        <v>42711</v>
      </c>
      <c r="E1271" s="101" t="s">
        <v>26</v>
      </c>
      <c r="F1271" s="216" t="s">
        <v>49</v>
      </c>
      <c r="G1271" s="3" t="s">
        <v>56</v>
      </c>
      <c r="H1271" s="3" t="s">
        <v>56</v>
      </c>
      <c r="M1271" s="151" t="str">
        <f t="shared" si="61"/>
        <v>/</v>
      </c>
      <c r="N1271" s="151" t="str">
        <f t="shared" si="62"/>
        <v/>
      </c>
      <c r="Q1271" s="239" t="str">
        <f t="shared" ca="1" si="63"/>
        <v/>
      </c>
    </row>
    <row r="1272" spans="3:17" ht="15.75" hidden="1" customHeight="1" outlineLevel="1" x14ac:dyDescent="0.25">
      <c r="C1272" s="208"/>
      <c r="D1272" s="196">
        <v>42713</v>
      </c>
      <c r="E1272" s="101" t="s">
        <v>7</v>
      </c>
      <c r="F1272" s="216" t="s">
        <v>49</v>
      </c>
      <c r="G1272" s="3" t="s">
        <v>56</v>
      </c>
      <c r="H1272" s="3" t="s">
        <v>56</v>
      </c>
      <c r="M1272" s="151" t="str">
        <f t="shared" si="61"/>
        <v>/</v>
      </c>
      <c r="N1272" s="151" t="str">
        <f t="shared" si="62"/>
        <v/>
      </c>
      <c r="Q1272" s="239" t="str">
        <f t="shared" ca="1" si="63"/>
        <v/>
      </c>
    </row>
    <row r="1273" spans="3:17" ht="15.75" hidden="1" customHeight="1" outlineLevel="1" x14ac:dyDescent="0.25">
      <c r="C1273" s="208"/>
      <c r="D1273" s="196">
        <v>42714</v>
      </c>
      <c r="E1273" s="101" t="s">
        <v>17</v>
      </c>
      <c r="F1273" s="216" t="s">
        <v>50</v>
      </c>
      <c r="G1273" s="3" t="s">
        <v>56</v>
      </c>
      <c r="H1273" s="3" t="s">
        <v>56</v>
      </c>
      <c r="M1273" s="151" t="str">
        <f t="shared" si="61"/>
        <v/>
      </c>
      <c r="N1273" s="151" t="str">
        <f t="shared" si="62"/>
        <v>/</v>
      </c>
      <c r="Q1273" s="239" t="str">
        <f t="shared" ca="1" si="63"/>
        <v/>
      </c>
    </row>
    <row r="1274" spans="3:17" ht="15.75" hidden="1" customHeight="1" outlineLevel="1" x14ac:dyDescent="0.25">
      <c r="C1274" s="208"/>
      <c r="D1274" s="196">
        <v>42716</v>
      </c>
      <c r="E1274" s="101" t="s">
        <v>15</v>
      </c>
      <c r="F1274" s="216" t="s">
        <v>49</v>
      </c>
      <c r="G1274" s="3" t="s">
        <v>56</v>
      </c>
      <c r="H1274" s="3" t="s">
        <v>56</v>
      </c>
      <c r="M1274" s="151" t="str">
        <f t="shared" si="61"/>
        <v>/</v>
      </c>
      <c r="N1274" s="151" t="str">
        <f t="shared" si="62"/>
        <v/>
      </c>
      <c r="Q1274" s="239" t="str">
        <f t="shared" ca="1" si="63"/>
        <v/>
      </c>
    </row>
    <row r="1275" spans="3:17" ht="15.75" hidden="1" customHeight="1" outlineLevel="1" x14ac:dyDescent="0.25">
      <c r="C1275" s="208"/>
      <c r="D1275" s="196">
        <v>42718</v>
      </c>
      <c r="E1275" s="101" t="s">
        <v>5</v>
      </c>
      <c r="F1275" s="216" t="s">
        <v>49</v>
      </c>
      <c r="G1275" s="3" t="s">
        <v>56</v>
      </c>
      <c r="H1275" s="3" t="s">
        <v>56</v>
      </c>
      <c r="M1275" s="151" t="str">
        <f t="shared" si="61"/>
        <v>/</v>
      </c>
      <c r="N1275" s="151" t="str">
        <f t="shared" si="62"/>
        <v/>
      </c>
      <c r="Q1275" s="239" t="str">
        <f t="shared" ca="1" si="63"/>
        <v/>
      </c>
    </row>
    <row r="1276" spans="3:17" ht="15.75" hidden="1" customHeight="1" outlineLevel="1" x14ac:dyDescent="0.25">
      <c r="C1276" s="208"/>
      <c r="D1276" s="196">
        <v>42720</v>
      </c>
      <c r="E1276" s="101" t="s">
        <v>28</v>
      </c>
      <c r="F1276" s="216" t="s">
        <v>50</v>
      </c>
      <c r="G1276" s="3" t="s">
        <v>56</v>
      </c>
      <c r="H1276" s="3" t="s">
        <v>56</v>
      </c>
      <c r="M1276" s="151" t="str">
        <f t="shared" si="61"/>
        <v/>
      </c>
      <c r="N1276" s="151" t="str">
        <f t="shared" si="62"/>
        <v>/</v>
      </c>
      <c r="Q1276" s="239" t="str">
        <f t="shared" ca="1" si="63"/>
        <v/>
      </c>
    </row>
    <row r="1277" spans="3:17" ht="15.75" hidden="1" customHeight="1" outlineLevel="1" x14ac:dyDescent="0.25">
      <c r="C1277" s="208"/>
      <c r="D1277" s="196">
        <v>42722</v>
      </c>
      <c r="E1277" s="101" t="s">
        <v>26</v>
      </c>
      <c r="F1277" s="216" t="s">
        <v>49</v>
      </c>
      <c r="G1277" s="3" t="s">
        <v>56</v>
      </c>
      <c r="H1277" s="3" t="s">
        <v>56</v>
      </c>
      <c r="M1277" s="151" t="str">
        <f t="shared" si="61"/>
        <v>/</v>
      </c>
      <c r="N1277" s="151" t="str">
        <f t="shared" si="62"/>
        <v/>
      </c>
      <c r="Q1277" s="239" t="str">
        <f t="shared" ca="1" si="63"/>
        <v/>
      </c>
    </row>
    <row r="1278" spans="3:17" ht="15.75" hidden="1" customHeight="1" outlineLevel="1" x14ac:dyDescent="0.25">
      <c r="C1278" s="208"/>
      <c r="D1278" s="196">
        <v>42723</v>
      </c>
      <c r="E1278" s="101" t="s">
        <v>15</v>
      </c>
      <c r="F1278" s="216" t="s">
        <v>50</v>
      </c>
      <c r="G1278" s="3" t="s">
        <v>56</v>
      </c>
      <c r="H1278" s="3" t="s">
        <v>56</v>
      </c>
      <c r="M1278" s="151" t="str">
        <f t="shared" si="61"/>
        <v/>
      </c>
      <c r="N1278" s="151" t="str">
        <f t="shared" si="62"/>
        <v>/</v>
      </c>
      <c r="Q1278" s="239" t="str">
        <f t="shared" ca="1" si="63"/>
        <v/>
      </c>
    </row>
    <row r="1279" spans="3:17" ht="15.75" hidden="1" customHeight="1" outlineLevel="1" x14ac:dyDescent="0.25">
      <c r="C1279" s="208"/>
      <c r="D1279" s="196">
        <v>42725</v>
      </c>
      <c r="E1279" s="101" t="s">
        <v>24</v>
      </c>
      <c r="F1279" s="216" t="s">
        <v>50</v>
      </c>
      <c r="G1279" s="3" t="s">
        <v>56</v>
      </c>
      <c r="H1279" s="3" t="s">
        <v>56</v>
      </c>
      <c r="M1279" s="151" t="str">
        <f t="shared" si="61"/>
        <v/>
      </c>
      <c r="N1279" s="151" t="str">
        <f t="shared" si="62"/>
        <v>/</v>
      </c>
      <c r="Q1279" s="239" t="str">
        <f t="shared" ca="1" si="63"/>
        <v/>
      </c>
    </row>
    <row r="1280" spans="3:17" ht="15.75" hidden="1" customHeight="1" outlineLevel="1" x14ac:dyDescent="0.25">
      <c r="C1280" s="208"/>
      <c r="D1280" s="196">
        <v>42727</v>
      </c>
      <c r="E1280" s="101" t="s">
        <v>18</v>
      </c>
      <c r="F1280" s="216" t="s">
        <v>50</v>
      </c>
      <c r="G1280" s="3" t="s">
        <v>56</v>
      </c>
      <c r="H1280" s="3" t="s">
        <v>56</v>
      </c>
      <c r="M1280" s="151" t="str">
        <f t="shared" si="61"/>
        <v/>
      </c>
      <c r="N1280" s="151" t="str">
        <f t="shared" si="62"/>
        <v>/</v>
      </c>
      <c r="Q1280" s="239" t="str">
        <f t="shared" ca="1" si="63"/>
        <v/>
      </c>
    </row>
    <row r="1281" spans="3:17" ht="15.75" hidden="1" customHeight="1" outlineLevel="1" x14ac:dyDescent="0.25">
      <c r="C1281" s="208"/>
      <c r="D1281" s="196">
        <v>42730</v>
      </c>
      <c r="E1281" s="101" t="s">
        <v>22</v>
      </c>
      <c r="F1281" s="216" t="s">
        <v>50</v>
      </c>
      <c r="G1281" s="3" t="s">
        <v>56</v>
      </c>
      <c r="H1281" s="3" t="s">
        <v>56</v>
      </c>
      <c r="M1281" s="151" t="str">
        <f t="shared" si="61"/>
        <v/>
      </c>
      <c r="N1281" s="151" t="str">
        <f t="shared" si="62"/>
        <v>/</v>
      </c>
      <c r="Q1281" s="239" t="str">
        <f t="shared" ca="1" si="63"/>
        <v/>
      </c>
    </row>
    <row r="1282" spans="3:17" ht="15.75" hidden="1" customHeight="1" outlineLevel="1" x14ac:dyDescent="0.25">
      <c r="C1282" s="208"/>
      <c r="D1282" s="196">
        <v>42731</v>
      </c>
      <c r="E1282" s="101" t="s">
        <v>17</v>
      </c>
      <c r="F1282" s="216" t="s">
        <v>49</v>
      </c>
      <c r="G1282" s="3" t="s">
        <v>56</v>
      </c>
      <c r="H1282" s="3" t="s">
        <v>56</v>
      </c>
      <c r="M1282" s="151" t="str">
        <f t="shared" si="61"/>
        <v>/</v>
      </c>
      <c r="N1282" s="151" t="str">
        <f t="shared" si="62"/>
        <v/>
      </c>
      <c r="Q1282" s="239" t="str">
        <f t="shared" ca="1" si="63"/>
        <v/>
      </c>
    </row>
    <row r="1283" spans="3:17" ht="15.75" hidden="1" customHeight="1" outlineLevel="1" x14ac:dyDescent="0.25">
      <c r="C1283" s="208"/>
      <c r="D1283" s="196">
        <v>42733</v>
      </c>
      <c r="E1283" s="101" t="s">
        <v>644</v>
      </c>
      <c r="F1283" s="216" t="s">
        <v>50</v>
      </c>
      <c r="G1283" s="3" t="s">
        <v>56</v>
      </c>
      <c r="H1283" s="3" t="s">
        <v>56</v>
      </c>
      <c r="M1283" s="151" t="str">
        <f t="shared" si="61"/>
        <v/>
      </c>
      <c r="N1283" s="151" t="str">
        <f t="shared" si="62"/>
        <v>/</v>
      </c>
      <c r="Q1283" s="239" t="str">
        <f t="shared" ca="1" si="63"/>
        <v/>
      </c>
    </row>
    <row r="1284" spans="3:17" ht="15.75" hidden="1" customHeight="1" outlineLevel="1" x14ac:dyDescent="0.25">
      <c r="C1284" s="208"/>
      <c r="D1284" s="196">
        <v>42734</v>
      </c>
      <c r="E1284" s="101" t="s">
        <v>16</v>
      </c>
      <c r="F1284" s="216" t="s">
        <v>50</v>
      </c>
      <c r="G1284" s="3" t="s">
        <v>56</v>
      </c>
      <c r="H1284" s="3" t="s">
        <v>56</v>
      </c>
      <c r="M1284" s="151" t="str">
        <f t="shared" si="61"/>
        <v/>
      </c>
      <c r="N1284" s="151" t="str">
        <f t="shared" si="62"/>
        <v>/</v>
      </c>
      <c r="Q1284" s="239" t="str">
        <f t="shared" ca="1" si="63"/>
        <v/>
      </c>
    </row>
    <row r="1285" spans="3:17" ht="15.75" hidden="1" customHeight="1" outlineLevel="1" x14ac:dyDescent="0.25">
      <c r="C1285" s="207"/>
      <c r="D1285" s="196">
        <v>42372</v>
      </c>
      <c r="E1285" s="101" t="s">
        <v>13</v>
      </c>
      <c r="F1285" s="216" t="s">
        <v>49</v>
      </c>
      <c r="G1285" s="3" t="s">
        <v>56</v>
      </c>
      <c r="H1285" s="3" t="s">
        <v>56</v>
      </c>
      <c r="M1285" s="151" t="str">
        <f t="shared" si="61"/>
        <v>/</v>
      </c>
      <c r="N1285" s="151" t="str">
        <f t="shared" si="62"/>
        <v/>
      </c>
      <c r="Q1285" s="239" t="str">
        <f t="shared" ca="1" si="63"/>
        <v/>
      </c>
    </row>
    <row r="1286" spans="3:17" ht="15.75" hidden="1" customHeight="1" outlineLevel="1" x14ac:dyDescent="0.25">
      <c r="C1286" s="207"/>
      <c r="D1286" s="196">
        <v>42374</v>
      </c>
      <c r="E1286" s="101" t="s">
        <v>25</v>
      </c>
      <c r="F1286" s="216" t="s">
        <v>49</v>
      </c>
      <c r="G1286" s="3" t="s">
        <v>56</v>
      </c>
      <c r="H1286" s="3" t="s">
        <v>56</v>
      </c>
      <c r="M1286" s="151" t="str">
        <f t="shared" si="61"/>
        <v>/</v>
      </c>
      <c r="N1286" s="151" t="str">
        <f t="shared" si="62"/>
        <v/>
      </c>
      <c r="Q1286" s="239" t="str">
        <f t="shared" ca="1" si="63"/>
        <v/>
      </c>
    </row>
    <row r="1287" spans="3:17" ht="15.75" hidden="1" customHeight="1" outlineLevel="1" x14ac:dyDescent="0.25">
      <c r="C1287" s="207"/>
      <c r="D1287" s="196">
        <v>42376</v>
      </c>
      <c r="E1287" s="101" t="s">
        <v>0</v>
      </c>
      <c r="F1287" s="216" t="s">
        <v>49</v>
      </c>
      <c r="G1287" s="3" t="s">
        <v>56</v>
      </c>
      <c r="H1287" s="3" t="s">
        <v>56</v>
      </c>
      <c r="M1287" s="151" t="str">
        <f t="shared" ref="M1287:M1350" si="64">IF(F1287="D",H1287,"")</f>
        <v>/</v>
      </c>
      <c r="N1287" s="151" t="str">
        <f t="shared" ref="N1287:N1350" si="65">IF(F1287="E",H1287,"")</f>
        <v/>
      </c>
      <c r="Q1287" s="239" t="str">
        <f t="shared" ca="1" si="63"/>
        <v/>
      </c>
    </row>
    <row r="1288" spans="3:17" ht="15.75" hidden="1" customHeight="1" outlineLevel="1" x14ac:dyDescent="0.25">
      <c r="C1288" s="207"/>
      <c r="D1288" s="196">
        <v>42378</v>
      </c>
      <c r="E1288" s="101" t="s">
        <v>21</v>
      </c>
      <c r="F1288" s="216" t="s">
        <v>50</v>
      </c>
      <c r="G1288" s="3" t="s">
        <v>56</v>
      </c>
      <c r="H1288" s="3" t="s">
        <v>56</v>
      </c>
      <c r="M1288" s="151" t="str">
        <f t="shared" si="64"/>
        <v/>
      </c>
      <c r="N1288" s="151" t="str">
        <f t="shared" si="65"/>
        <v>/</v>
      </c>
      <c r="Q1288" s="239" t="str">
        <f t="shared" ca="1" si="63"/>
        <v/>
      </c>
    </row>
    <row r="1289" spans="3:17" ht="15.75" hidden="1" customHeight="1" outlineLevel="1" x14ac:dyDescent="0.25">
      <c r="C1289" s="207"/>
      <c r="D1289" s="196">
        <v>42381</v>
      </c>
      <c r="E1289" s="101" t="s">
        <v>25</v>
      </c>
      <c r="F1289" s="216" t="s">
        <v>50</v>
      </c>
      <c r="G1289" s="3" t="s">
        <v>56</v>
      </c>
      <c r="H1289" s="3" t="s">
        <v>56</v>
      </c>
      <c r="M1289" s="151" t="str">
        <f t="shared" si="64"/>
        <v/>
      </c>
      <c r="N1289" s="151" t="str">
        <f t="shared" si="65"/>
        <v>/</v>
      </c>
      <c r="Q1289" s="239" t="str">
        <f t="shared" ca="1" si="63"/>
        <v/>
      </c>
    </row>
    <row r="1290" spans="3:17" ht="15.75" hidden="1" customHeight="1" outlineLevel="1" x14ac:dyDescent="0.25">
      <c r="C1290" s="207"/>
      <c r="D1290" s="196">
        <v>42384</v>
      </c>
      <c r="E1290" s="101" t="s">
        <v>21</v>
      </c>
      <c r="F1290" s="216" t="s">
        <v>49</v>
      </c>
      <c r="G1290" s="3" t="s">
        <v>56</v>
      </c>
      <c r="H1290" s="3" t="s">
        <v>56</v>
      </c>
      <c r="M1290" s="151" t="str">
        <f t="shared" si="64"/>
        <v>/</v>
      </c>
      <c r="N1290" s="151" t="str">
        <f t="shared" si="65"/>
        <v/>
      </c>
      <c r="Q1290" s="239" t="str">
        <f t="shared" ca="1" si="63"/>
        <v/>
      </c>
    </row>
    <row r="1291" spans="3:17" ht="15.75" hidden="1" customHeight="1" outlineLevel="1" x14ac:dyDescent="0.25">
      <c r="C1291" s="207"/>
      <c r="D1291" s="196">
        <v>42386</v>
      </c>
      <c r="E1291" s="101" t="s">
        <v>2</v>
      </c>
      <c r="F1291" s="216" t="s">
        <v>50</v>
      </c>
      <c r="G1291" s="3" t="s">
        <v>56</v>
      </c>
      <c r="H1291" s="3" t="s">
        <v>56</v>
      </c>
      <c r="M1291" s="151" t="str">
        <f t="shared" si="64"/>
        <v/>
      </c>
      <c r="N1291" s="151" t="str">
        <f t="shared" si="65"/>
        <v>/</v>
      </c>
      <c r="Q1291" s="239" t="str">
        <f t="shared" ca="1" si="63"/>
        <v/>
      </c>
    </row>
    <row r="1292" spans="3:17" ht="15.75" hidden="1" customHeight="1" outlineLevel="1" x14ac:dyDescent="0.25">
      <c r="C1292" s="207"/>
      <c r="D1292" s="196">
        <v>42388</v>
      </c>
      <c r="E1292" s="101" t="s">
        <v>6</v>
      </c>
      <c r="F1292" s="216" t="s">
        <v>50</v>
      </c>
      <c r="G1292" s="3" t="s">
        <v>56</v>
      </c>
      <c r="H1292" s="3" t="s">
        <v>56</v>
      </c>
      <c r="M1292" s="151" t="str">
        <f t="shared" si="64"/>
        <v/>
      </c>
      <c r="N1292" s="151" t="str">
        <f t="shared" si="65"/>
        <v>/</v>
      </c>
      <c r="Q1292" s="239" t="str">
        <f t="shared" ca="1" si="63"/>
        <v/>
      </c>
    </row>
    <row r="1293" spans="3:17" ht="15.75" hidden="1" customHeight="1" outlineLevel="1" x14ac:dyDescent="0.25">
      <c r="C1293" s="207"/>
      <c r="D1293" s="196">
        <v>42389</v>
      </c>
      <c r="E1293" s="101" t="s">
        <v>28</v>
      </c>
      <c r="F1293" s="216" t="s">
        <v>49</v>
      </c>
      <c r="G1293" s="3" t="s">
        <v>56</v>
      </c>
      <c r="H1293" s="3" t="s">
        <v>56</v>
      </c>
      <c r="M1293" s="151" t="str">
        <f t="shared" si="64"/>
        <v>/</v>
      </c>
      <c r="N1293" s="151" t="str">
        <f t="shared" si="65"/>
        <v/>
      </c>
      <c r="Q1293" s="239" t="str">
        <f t="shared" ca="1" si="63"/>
        <v/>
      </c>
    </row>
    <row r="1294" spans="3:17" ht="15.75" hidden="1" customHeight="1" outlineLevel="1" x14ac:dyDescent="0.25">
      <c r="C1294" s="207"/>
      <c r="D1294" s="196">
        <v>42391</v>
      </c>
      <c r="E1294" s="101" t="s">
        <v>644</v>
      </c>
      <c r="F1294" s="216" t="s">
        <v>49</v>
      </c>
      <c r="G1294" s="3" t="s">
        <v>56</v>
      </c>
      <c r="H1294" s="3" t="s">
        <v>56</v>
      </c>
      <c r="M1294" s="151" t="str">
        <f t="shared" si="64"/>
        <v>/</v>
      </c>
      <c r="N1294" s="151" t="str">
        <f t="shared" si="65"/>
        <v/>
      </c>
      <c r="Q1294" s="239" t="str">
        <f t="shared" ca="1" si="63"/>
        <v/>
      </c>
    </row>
    <row r="1295" spans="3:17" ht="15.75" hidden="1" customHeight="1" outlineLevel="1" x14ac:dyDescent="0.25">
      <c r="C1295" s="207"/>
      <c r="D1295" s="196">
        <v>42394</v>
      </c>
      <c r="E1295" s="101" t="s">
        <v>9</v>
      </c>
      <c r="F1295" s="216" t="s">
        <v>49</v>
      </c>
      <c r="G1295" s="3" t="s">
        <v>56</v>
      </c>
      <c r="H1295" s="3" t="s">
        <v>56</v>
      </c>
      <c r="M1295" s="151" t="str">
        <f t="shared" si="64"/>
        <v>/</v>
      </c>
      <c r="N1295" s="151" t="str">
        <f t="shared" si="65"/>
        <v/>
      </c>
      <c r="Q1295" s="239" t="str">
        <f t="shared" ca="1" si="63"/>
        <v/>
      </c>
    </row>
    <row r="1296" spans="3:17" ht="15.75" hidden="1" customHeight="1" outlineLevel="1" x14ac:dyDescent="0.25">
      <c r="C1296" s="207"/>
      <c r="D1296" s="196">
        <v>42395</v>
      </c>
      <c r="E1296" s="101" t="s">
        <v>23</v>
      </c>
      <c r="F1296" s="216" t="s">
        <v>50</v>
      </c>
      <c r="G1296" s="3" t="s">
        <v>56</v>
      </c>
      <c r="H1296" s="3" t="s">
        <v>56</v>
      </c>
      <c r="M1296" s="151" t="str">
        <f t="shared" si="64"/>
        <v/>
      </c>
      <c r="N1296" s="151" t="str">
        <f t="shared" si="65"/>
        <v>/</v>
      </c>
      <c r="Q1296" s="239" t="str">
        <f t="shared" ca="1" si="63"/>
        <v/>
      </c>
    </row>
    <row r="1297" spans="3:17" ht="15.75" hidden="1" customHeight="1" outlineLevel="1" x14ac:dyDescent="0.25">
      <c r="C1297" s="207"/>
      <c r="D1297" s="196">
        <v>42398</v>
      </c>
      <c r="E1297" s="101" t="s">
        <v>46</v>
      </c>
      <c r="F1297" s="216" t="s">
        <v>50</v>
      </c>
      <c r="G1297" s="3" t="s">
        <v>56</v>
      </c>
      <c r="H1297" s="3" t="s">
        <v>56</v>
      </c>
      <c r="M1297" s="151" t="str">
        <f t="shared" si="64"/>
        <v/>
      </c>
      <c r="N1297" s="151" t="str">
        <f t="shared" si="65"/>
        <v>/</v>
      </c>
      <c r="Q1297" s="239" t="str">
        <f t="shared" ca="1" si="63"/>
        <v/>
      </c>
    </row>
    <row r="1298" spans="3:17" ht="15.75" hidden="1" customHeight="1" outlineLevel="1" x14ac:dyDescent="0.25">
      <c r="C1298" s="207"/>
      <c r="D1298" s="196">
        <v>42399</v>
      </c>
      <c r="E1298" s="101" t="s">
        <v>4</v>
      </c>
      <c r="F1298" s="216" t="s">
        <v>49</v>
      </c>
      <c r="G1298" s="3" t="s">
        <v>56</v>
      </c>
      <c r="H1298" s="3" t="s">
        <v>56</v>
      </c>
      <c r="M1298" s="151" t="str">
        <f t="shared" si="64"/>
        <v>/</v>
      </c>
      <c r="N1298" s="151" t="str">
        <f t="shared" si="65"/>
        <v/>
      </c>
      <c r="Q1298" s="239" t="str">
        <f t="shared" ca="1" si="63"/>
        <v/>
      </c>
    </row>
    <row r="1299" spans="3:17" ht="15.75" hidden="1" customHeight="1" outlineLevel="1" x14ac:dyDescent="0.25">
      <c r="C1299" s="208"/>
      <c r="D1299" s="196">
        <v>42401</v>
      </c>
      <c r="E1299" s="101" t="s">
        <v>11</v>
      </c>
      <c r="F1299" s="216" t="s">
        <v>49</v>
      </c>
      <c r="G1299" s="3" t="s">
        <v>56</v>
      </c>
      <c r="H1299" s="3" t="s">
        <v>56</v>
      </c>
      <c r="M1299" s="151" t="str">
        <f t="shared" si="64"/>
        <v>/</v>
      </c>
      <c r="N1299" s="151" t="str">
        <f t="shared" si="65"/>
        <v/>
      </c>
      <c r="Q1299" s="239" t="str">
        <f t="shared" ca="1" si="63"/>
        <v/>
      </c>
    </row>
    <row r="1300" spans="3:17" ht="15.75" hidden="1" customHeight="1" outlineLevel="1" x14ac:dyDescent="0.25">
      <c r="C1300" s="208"/>
      <c r="D1300" s="196">
        <v>42403</v>
      </c>
      <c r="E1300" s="101" t="s">
        <v>24</v>
      </c>
      <c r="F1300" s="216" t="s">
        <v>50</v>
      </c>
      <c r="G1300" s="3" t="s">
        <v>56</v>
      </c>
      <c r="H1300" s="3" t="s">
        <v>56</v>
      </c>
      <c r="M1300" s="151" t="str">
        <f t="shared" si="64"/>
        <v/>
      </c>
      <c r="N1300" s="151" t="str">
        <f t="shared" si="65"/>
        <v>/</v>
      </c>
      <c r="Q1300" s="239" t="str">
        <f t="shared" ca="1" si="63"/>
        <v/>
      </c>
    </row>
    <row r="1301" spans="3:17" ht="15.75" hidden="1" customHeight="1" outlineLevel="1" x14ac:dyDescent="0.25">
      <c r="C1301" s="208"/>
      <c r="D1301" s="196">
        <v>42406</v>
      </c>
      <c r="E1301" s="101" t="s">
        <v>15</v>
      </c>
      <c r="F1301" s="216" t="s">
        <v>50</v>
      </c>
      <c r="G1301" s="3" t="s">
        <v>56</v>
      </c>
      <c r="H1301" s="3" t="s">
        <v>56</v>
      </c>
      <c r="M1301" s="151" t="str">
        <f t="shared" si="64"/>
        <v/>
      </c>
      <c r="N1301" s="151" t="str">
        <f t="shared" si="65"/>
        <v>/</v>
      </c>
      <c r="Q1301" s="239" t="str">
        <f t="shared" ca="1" si="63"/>
        <v/>
      </c>
    </row>
    <row r="1302" spans="3:17" ht="15.75" hidden="1" customHeight="1" outlineLevel="1" x14ac:dyDescent="0.25">
      <c r="C1302" s="208"/>
      <c r="D1302" s="196">
        <v>42407</v>
      </c>
      <c r="E1302" s="101" t="s">
        <v>24</v>
      </c>
      <c r="F1302" s="216" t="s">
        <v>49</v>
      </c>
      <c r="G1302" s="3" t="s">
        <v>56</v>
      </c>
      <c r="H1302" s="3" t="s">
        <v>56</v>
      </c>
      <c r="M1302" s="151" t="str">
        <f t="shared" si="64"/>
        <v>/</v>
      </c>
      <c r="N1302" s="151" t="str">
        <f t="shared" si="65"/>
        <v/>
      </c>
      <c r="Q1302" s="239" t="str">
        <f t="shared" ca="1" si="63"/>
        <v/>
      </c>
    </row>
    <row r="1303" spans="3:17" ht="15.75" hidden="1" customHeight="1" outlineLevel="1" x14ac:dyDescent="0.25">
      <c r="C1303" s="208"/>
      <c r="D1303" s="196">
        <v>42409</v>
      </c>
      <c r="E1303" s="101" t="s">
        <v>28</v>
      </c>
      <c r="F1303" s="216" t="s">
        <v>49</v>
      </c>
      <c r="G1303" s="3" t="s">
        <v>56</v>
      </c>
      <c r="H1303" s="3" t="s">
        <v>56</v>
      </c>
      <c r="M1303" s="151" t="str">
        <f t="shared" si="64"/>
        <v>/</v>
      </c>
      <c r="N1303" s="151" t="str">
        <f t="shared" si="65"/>
        <v/>
      </c>
      <c r="Q1303" s="239" t="str">
        <f t="shared" ca="1" si="63"/>
        <v/>
      </c>
    </row>
    <row r="1304" spans="3:17" ht="15.75" hidden="1" customHeight="1" outlineLevel="1" x14ac:dyDescent="0.25">
      <c r="C1304" s="208"/>
      <c r="D1304" s="196">
        <v>42411</v>
      </c>
      <c r="E1304" s="101" t="s">
        <v>10</v>
      </c>
      <c r="F1304" s="216" t="s">
        <v>49</v>
      </c>
      <c r="G1304" s="3" t="s">
        <v>56</v>
      </c>
      <c r="H1304" s="3" t="s">
        <v>56</v>
      </c>
      <c r="M1304" s="151" t="str">
        <f t="shared" si="64"/>
        <v>/</v>
      </c>
      <c r="N1304" s="151" t="str">
        <f t="shared" si="65"/>
        <v/>
      </c>
      <c r="Q1304" s="239" t="str">
        <f t="shared" ca="1" si="63"/>
        <v/>
      </c>
    </row>
    <row r="1305" spans="3:17" ht="15.75" hidden="1" customHeight="1" outlineLevel="1" x14ac:dyDescent="0.25">
      <c r="C1305" s="208"/>
      <c r="D1305" s="196">
        <v>42413</v>
      </c>
      <c r="E1305" s="101" t="s">
        <v>1</v>
      </c>
      <c r="F1305" s="216" t="s">
        <v>49</v>
      </c>
      <c r="G1305" s="3" t="s">
        <v>56</v>
      </c>
      <c r="H1305" s="3" t="s">
        <v>56</v>
      </c>
      <c r="M1305" s="151" t="str">
        <f t="shared" si="64"/>
        <v>/</v>
      </c>
      <c r="N1305" s="151" t="str">
        <f t="shared" si="65"/>
        <v/>
      </c>
      <c r="Q1305" s="239" t="str">
        <f t="shared" ca="1" si="63"/>
        <v/>
      </c>
    </row>
    <row r="1306" spans="3:17" ht="15.75" hidden="1" customHeight="1" outlineLevel="1" x14ac:dyDescent="0.25">
      <c r="C1306" s="208"/>
      <c r="D1306" s="196">
        <v>42415</v>
      </c>
      <c r="E1306" s="101" t="s">
        <v>5</v>
      </c>
      <c r="F1306" s="216" t="s">
        <v>50</v>
      </c>
      <c r="G1306" s="3" t="s">
        <v>56</v>
      </c>
      <c r="H1306" s="3" t="s">
        <v>56</v>
      </c>
      <c r="M1306" s="151" t="str">
        <f t="shared" si="64"/>
        <v/>
      </c>
      <c r="N1306" s="151" t="str">
        <f t="shared" si="65"/>
        <v>/</v>
      </c>
      <c r="Q1306" s="239" t="str">
        <f t="shared" ca="1" si="63"/>
        <v/>
      </c>
    </row>
    <row r="1307" spans="3:17" ht="15.75" hidden="1" customHeight="1" outlineLevel="1" x14ac:dyDescent="0.25">
      <c r="C1307" s="208"/>
      <c r="D1307" s="196">
        <v>42424</v>
      </c>
      <c r="E1307" s="101" t="s">
        <v>21</v>
      </c>
      <c r="F1307" s="216" t="s">
        <v>50</v>
      </c>
      <c r="G1307" s="3" t="s">
        <v>56</v>
      </c>
      <c r="H1307" s="3" t="s">
        <v>56</v>
      </c>
      <c r="M1307" s="151" t="str">
        <f t="shared" si="64"/>
        <v/>
      </c>
      <c r="N1307" s="151" t="str">
        <f t="shared" si="65"/>
        <v>/</v>
      </c>
      <c r="Q1307" s="239" t="str">
        <f t="shared" ca="1" si="63"/>
        <v/>
      </c>
    </row>
    <row r="1308" spans="3:17" ht="15.75" hidden="1" customHeight="1" outlineLevel="1" x14ac:dyDescent="0.25">
      <c r="C1308" s="208"/>
      <c r="D1308" s="196">
        <v>42425</v>
      </c>
      <c r="E1308" s="101" t="s">
        <v>22</v>
      </c>
      <c r="F1308" s="216" t="s">
        <v>49</v>
      </c>
      <c r="G1308" s="3" t="s">
        <v>56</v>
      </c>
      <c r="H1308" s="3" t="s">
        <v>56</v>
      </c>
      <c r="M1308" s="151" t="str">
        <f t="shared" si="64"/>
        <v>/</v>
      </c>
      <c r="N1308" s="151" t="str">
        <f t="shared" si="65"/>
        <v/>
      </c>
      <c r="Q1308" s="239" t="str">
        <f t="shared" ca="1" si="63"/>
        <v/>
      </c>
    </row>
    <row r="1309" spans="3:17" ht="15.75" hidden="1" customHeight="1" outlineLevel="1" x14ac:dyDescent="0.25">
      <c r="C1309" s="208"/>
      <c r="D1309" s="196">
        <v>42427</v>
      </c>
      <c r="E1309" s="101" t="s">
        <v>6</v>
      </c>
      <c r="F1309" s="216" t="s">
        <v>49</v>
      </c>
      <c r="G1309" s="3" t="s">
        <v>56</v>
      </c>
      <c r="H1309" s="3" t="s">
        <v>56</v>
      </c>
      <c r="M1309" s="151" t="str">
        <f t="shared" si="64"/>
        <v>/</v>
      </c>
      <c r="N1309" s="151" t="str">
        <f t="shared" si="65"/>
        <v/>
      </c>
      <c r="Q1309" s="239" t="str">
        <f t="shared" ca="1" si="63"/>
        <v/>
      </c>
    </row>
    <row r="1310" spans="3:17" ht="15.75" hidden="1" customHeight="1" outlineLevel="1" x14ac:dyDescent="0.25">
      <c r="C1310" s="207"/>
      <c r="D1310" s="196">
        <v>42430</v>
      </c>
      <c r="E1310" s="101" t="s">
        <v>0</v>
      </c>
      <c r="F1310" s="216" t="s">
        <v>50</v>
      </c>
      <c r="G1310" s="3" t="s">
        <v>56</v>
      </c>
      <c r="H1310" s="3" t="s">
        <v>56</v>
      </c>
      <c r="M1310" s="151" t="str">
        <f t="shared" si="64"/>
        <v/>
      </c>
      <c r="N1310" s="151" t="str">
        <f t="shared" si="65"/>
        <v>/</v>
      </c>
      <c r="Q1310" s="239" t="str">
        <f t="shared" ca="1" si="63"/>
        <v/>
      </c>
    </row>
    <row r="1311" spans="3:17" ht="15.75" hidden="1" customHeight="1" outlineLevel="1" x14ac:dyDescent="0.25">
      <c r="C1311" s="207"/>
      <c r="D1311" s="196">
        <v>42432</v>
      </c>
      <c r="E1311" s="101" t="s">
        <v>20</v>
      </c>
      <c r="F1311" s="216" t="s">
        <v>49</v>
      </c>
      <c r="G1311" s="3" t="s">
        <v>56</v>
      </c>
      <c r="H1311" s="3" t="s">
        <v>56</v>
      </c>
      <c r="M1311" s="151" t="str">
        <f t="shared" si="64"/>
        <v>/</v>
      </c>
      <c r="N1311" s="151" t="str">
        <f t="shared" si="65"/>
        <v/>
      </c>
      <c r="Q1311" s="239" t="str">
        <f t="shared" ca="1" si="63"/>
        <v/>
      </c>
    </row>
    <row r="1312" spans="3:17" ht="15.75" hidden="1" customHeight="1" outlineLevel="1" x14ac:dyDescent="0.25">
      <c r="C1312" s="207"/>
      <c r="D1312" s="196">
        <v>42434</v>
      </c>
      <c r="E1312" s="101" t="s">
        <v>23</v>
      </c>
      <c r="F1312" s="216" t="s">
        <v>49</v>
      </c>
      <c r="G1312" s="3" t="s">
        <v>56</v>
      </c>
      <c r="H1312" s="3" t="s">
        <v>56</v>
      </c>
      <c r="M1312" s="151" t="str">
        <f t="shared" si="64"/>
        <v>/</v>
      </c>
      <c r="N1312" s="151" t="str">
        <f t="shared" si="65"/>
        <v/>
      </c>
      <c r="Q1312" s="239" t="str">
        <f t="shared" ca="1" si="63"/>
        <v/>
      </c>
    </row>
    <row r="1313" spans="3:17" ht="15.75" hidden="1" customHeight="1" outlineLevel="1" x14ac:dyDescent="0.25">
      <c r="C1313" s="207"/>
      <c r="D1313" s="196">
        <v>42436</v>
      </c>
      <c r="E1313" s="101" t="s">
        <v>644</v>
      </c>
      <c r="F1313" s="216" t="s">
        <v>49</v>
      </c>
      <c r="G1313" s="3" t="s">
        <v>56</v>
      </c>
      <c r="H1313" s="3" t="s">
        <v>56</v>
      </c>
      <c r="M1313" s="151" t="str">
        <f t="shared" si="64"/>
        <v>/</v>
      </c>
      <c r="N1313" s="151" t="str">
        <f t="shared" si="65"/>
        <v/>
      </c>
      <c r="Q1313" s="239" t="str">
        <f t="shared" ca="1" si="63"/>
        <v/>
      </c>
    </row>
    <row r="1314" spans="3:17" ht="15.75" hidden="1" customHeight="1" outlineLevel="1" x14ac:dyDescent="0.25">
      <c r="C1314" s="207"/>
      <c r="D1314" s="196">
        <v>42439</v>
      </c>
      <c r="E1314" s="101" t="s">
        <v>45</v>
      </c>
      <c r="F1314" s="216" t="s">
        <v>49</v>
      </c>
      <c r="G1314" s="3" t="s">
        <v>56</v>
      </c>
      <c r="H1314" s="3" t="s">
        <v>56</v>
      </c>
      <c r="M1314" s="151" t="str">
        <f t="shared" si="64"/>
        <v>/</v>
      </c>
      <c r="N1314" s="151" t="str">
        <f t="shared" si="65"/>
        <v/>
      </c>
      <c r="Q1314" s="239" t="str">
        <f t="shared" ca="1" si="63"/>
        <v/>
      </c>
    </row>
    <row r="1315" spans="3:17" ht="15.75" hidden="1" customHeight="1" outlineLevel="1" x14ac:dyDescent="0.25">
      <c r="C1315" s="207"/>
      <c r="D1315" s="196">
        <v>42440</v>
      </c>
      <c r="E1315" s="101" t="s">
        <v>25</v>
      </c>
      <c r="F1315" s="216" t="s">
        <v>49</v>
      </c>
      <c r="G1315" s="3" t="s">
        <v>56</v>
      </c>
      <c r="H1315" s="3" t="s">
        <v>56</v>
      </c>
      <c r="M1315" s="151" t="str">
        <f t="shared" si="64"/>
        <v>/</v>
      </c>
      <c r="N1315" s="151" t="str">
        <f t="shared" si="65"/>
        <v/>
      </c>
      <c r="Q1315" s="239" t="str">
        <f t="shared" ca="1" si="63"/>
        <v/>
      </c>
    </row>
    <row r="1316" spans="3:17" ht="15.75" hidden="1" customHeight="1" outlineLevel="1" x14ac:dyDescent="0.25">
      <c r="C1316" s="207"/>
      <c r="D1316" s="196">
        <v>42442</v>
      </c>
      <c r="E1316" s="101" t="s">
        <v>12</v>
      </c>
      <c r="F1316" s="216" t="s">
        <v>50</v>
      </c>
      <c r="G1316" s="3" t="s">
        <v>56</v>
      </c>
      <c r="H1316" s="3" t="s">
        <v>56</v>
      </c>
      <c r="M1316" s="151" t="str">
        <f t="shared" si="64"/>
        <v/>
      </c>
      <c r="N1316" s="151" t="str">
        <f t="shared" si="65"/>
        <v>/</v>
      </c>
      <c r="Q1316" s="239" t="str">
        <f t="shared" ca="1" si="63"/>
        <v/>
      </c>
    </row>
    <row r="1317" spans="3:17" ht="15.75" hidden="1" customHeight="1" outlineLevel="1" x14ac:dyDescent="0.25">
      <c r="C1317" s="207"/>
      <c r="D1317" s="196">
        <v>42444</v>
      </c>
      <c r="E1317" s="101" t="s">
        <v>13</v>
      </c>
      <c r="F1317" s="216" t="s">
        <v>50</v>
      </c>
      <c r="G1317" s="3" t="s">
        <v>56</v>
      </c>
      <c r="H1317" s="3" t="s">
        <v>56</v>
      </c>
      <c r="M1317" s="151" t="str">
        <f t="shared" si="64"/>
        <v/>
      </c>
      <c r="N1317" s="151" t="str">
        <f t="shared" si="65"/>
        <v>/</v>
      </c>
      <c r="Q1317" s="239" t="str">
        <f t="shared" ca="1" si="63"/>
        <v/>
      </c>
    </row>
    <row r="1318" spans="3:17" ht="15.75" hidden="1" customHeight="1" outlineLevel="1" x14ac:dyDescent="0.25">
      <c r="C1318" s="207"/>
      <c r="D1318" s="196">
        <v>42446</v>
      </c>
      <c r="E1318" s="101" t="s">
        <v>11</v>
      </c>
      <c r="F1318" s="216" t="s">
        <v>50</v>
      </c>
      <c r="G1318" s="3" t="s">
        <v>56</v>
      </c>
      <c r="H1318" s="3" t="s">
        <v>56</v>
      </c>
      <c r="M1318" s="151" t="str">
        <f t="shared" si="64"/>
        <v/>
      </c>
      <c r="N1318" s="151" t="str">
        <f t="shared" si="65"/>
        <v>/</v>
      </c>
      <c r="Q1318" s="239" t="str">
        <f t="shared" ca="1" si="63"/>
        <v/>
      </c>
    </row>
    <row r="1319" spans="3:17" ht="15.75" hidden="1" customHeight="1" outlineLevel="1" x14ac:dyDescent="0.25">
      <c r="C1319" s="207"/>
      <c r="D1319" s="196">
        <v>42448</v>
      </c>
      <c r="E1319" s="101" t="s">
        <v>45</v>
      </c>
      <c r="F1319" s="216" t="s">
        <v>50</v>
      </c>
      <c r="G1319" s="3" t="s">
        <v>56</v>
      </c>
      <c r="H1319" s="3" t="s">
        <v>56</v>
      </c>
      <c r="M1319" s="151" t="str">
        <f t="shared" si="64"/>
        <v/>
      </c>
      <c r="N1319" s="151" t="str">
        <f t="shared" si="65"/>
        <v>/</v>
      </c>
      <c r="Q1319" s="239" t="str">
        <f t="shared" ca="1" si="63"/>
        <v/>
      </c>
    </row>
    <row r="1320" spans="3:17" ht="15.75" hidden="1" customHeight="1" outlineLevel="1" x14ac:dyDescent="0.25">
      <c r="C1320" s="207"/>
      <c r="D1320" s="196">
        <v>42450</v>
      </c>
      <c r="E1320" s="101" t="s">
        <v>16</v>
      </c>
      <c r="F1320" s="216" t="s">
        <v>49</v>
      </c>
      <c r="G1320" s="3" t="s">
        <v>56</v>
      </c>
      <c r="H1320" s="3" t="s">
        <v>56</v>
      </c>
      <c r="M1320" s="151" t="str">
        <f t="shared" si="64"/>
        <v>/</v>
      </c>
      <c r="N1320" s="151" t="str">
        <f t="shared" si="65"/>
        <v/>
      </c>
      <c r="Q1320" s="239" t="str">
        <f t="shared" ca="1" si="63"/>
        <v/>
      </c>
    </row>
    <row r="1321" spans="3:17" ht="15.75" hidden="1" customHeight="1" outlineLevel="1" x14ac:dyDescent="0.25">
      <c r="C1321" s="207"/>
      <c r="D1321" s="196">
        <v>42452</v>
      </c>
      <c r="E1321" s="101" t="s">
        <v>18</v>
      </c>
      <c r="F1321" s="216" t="s">
        <v>49</v>
      </c>
      <c r="G1321" s="3" t="s">
        <v>56</v>
      </c>
      <c r="H1321" s="3" t="s">
        <v>56</v>
      </c>
      <c r="M1321" s="151" t="str">
        <f t="shared" si="64"/>
        <v>/</v>
      </c>
      <c r="N1321" s="151" t="str">
        <f t="shared" si="65"/>
        <v/>
      </c>
      <c r="Q1321" s="239" t="str">
        <f t="shared" ca="1" si="63"/>
        <v/>
      </c>
    </row>
    <row r="1322" spans="3:17" ht="15.75" hidden="1" customHeight="1" outlineLevel="1" x14ac:dyDescent="0.25">
      <c r="C1322" s="207"/>
      <c r="D1322" s="196">
        <v>42454</v>
      </c>
      <c r="E1322" s="101" t="s">
        <v>12</v>
      </c>
      <c r="F1322" s="213" t="s">
        <v>49</v>
      </c>
      <c r="G1322" s="3" t="s">
        <v>56</v>
      </c>
      <c r="H1322" s="3" t="s">
        <v>56</v>
      </c>
      <c r="M1322" s="151" t="str">
        <f t="shared" si="64"/>
        <v>/</v>
      </c>
      <c r="N1322" s="151" t="str">
        <f t="shared" si="65"/>
        <v/>
      </c>
      <c r="Q1322" s="239" t="str">
        <f t="shared" ca="1" si="63"/>
        <v/>
      </c>
    </row>
    <row r="1323" spans="3:17" ht="15.75" hidden="1" customHeight="1" outlineLevel="1" x14ac:dyDescent="0.25">
      <c r="C1323" s="207"/>
      <c r="D1323" s="196">
        <v>42456</v>
      </c>
      <c r="E1323" s="101" t="s">
        <v>23</v>
      </c>
      <c r="F1323" s="216" t="s">
        <v>49</v>
      </c>
      <c r="G1323" s="3" t="s">
        <v>56</v>
      </c>
      <c r="H1323" s="3" t="s">
        <v>56</v>
      </c>
      <c r="M1323" s="151" t="str">
        <f t="shared" si="64"/>
        <v>/</v>
      </c>
      <c r="N1323" s="151" t="str">
        <f t="shared" si="65"/>
        <v/>
      </c>
      <c r="Q1323" s="239" t="str">
        <f t="shared" ref="Q1323:Q1386" ca="1" si="66">IF(D1323=TODAY(),1,"")</f>
        <v/>
      </c>
    </row>
    <row r="1324" spans="3:17" ht="15.75" hidden="1" customHeight="1" outlineLevel="1" x14ac:dyDescent="0.25">
      <c r="C1324" s="207"/>
      <c r="D1324" s="196">
        <v>42458</v>
      </c>
      <c r="E1324" s="101" t="s">
        <v>22</v>
      </c>
      <c r="F1324" s="216" t="s">
        <v>50</v>
      </c>
      <c r="G1324" s="3" t="s">
        <v>56</v>
      </c>
      <c r="H1324" s="3" t="s">
        <v>56</v>
      </c>
      <c r="M1324" s="151" t="str">
        <f t="shared" si="64"/>
        <v/>
      </c>
      <c r="N1324" s="151" t="str">
        <f t="shared" si="65"/>
        <v>/</v>
      </c>
      <c r="Q1324" s="239" t="str">
        <f t="shared" ca="1" si="66"/>
        <v/>
      </c>
    </row>
    <row r="1325" spans="3:17" ht="15.75" hidden="1" customHeight="1" outlineLevel="1" x14ac:dyDescent="0.25">
      <c r="C1325" s="207"/>
      <c r="D1325" s="196">
        <v>42460</v>
      </c>
      <c r="E1325" s="101" t="s">
        <v>20</v>
      </c>
      <c r="F1325" s="216" t="s">
        <v>50</v>
      </c>
      <c r="G1325" s="3" t="s">
        <v>56</v>
      </c>
      <c r="H1325" s="3" t="s">
        <v>56</v>
      </c>
      <c r="M1325" s="151" t="str">
        <f t="shared" si="64"/>
        <v/>
      </c>
      <c r="N1325" s="151" t="str">
        <f t="shared" si="65"/>
        <v>/</v>
      </c>
      <c r="Q1325" s="239" t="str">
        <f t="shared" ca="1" si="66"/>
        <v/>
      </c>
    </row>
    <row r="1326" spans="3:17" ht="15.75" hidden="1" customHeight="1" outlineLevel="1" x14ac:dyDescent="0.25">
      <c r="C1326" s="208"/>
      <c r="D1326" s="196">
        <v>42462</v>
      </c>
      <c r="E1326" s="101" t="s">
        <v>8</v>
      </c>
      <c r="F1326" s="216" t="s">
        <v>50</v>
      </c>
      <c r="G1326" s="3" t="s">
        <v>56</v>
      </c>
      <c r="H1326" s="3" t="s">
        <v>56</v>
      </c>
      <c r="M1326" s="151" t="str">
        <f t="shared" si="64"/>
        <v/>
      </c>
      <c r="N1326" s="151" t="str">
        <f t="shared" si="65"/>
        <v>/</v>
      </c>
      <c r="Q1326" s="239" t="str">
        <f t="shared" ca="1" si="66"/>
        <v/>
      </c>
    </row>
    <row r="1327" spans="3:17" ht="15.75" hidden="1" customHeight="1" outlineLevel="1" x14ac:dyDescent="0.25">
      <c r="C1327" s="208"/>
      <c r="D1327" s="196">
        <v>42464</v>
      </c>
      <c r="E1327" s="101" t="s">
        <v>26</v>
      </c>
      <c r="F1327" s="216" t="s">
        <v>50</v>
      </c>
      <c r="G1327" s="3" t="s">
        <v>56</v>
      </c>
      <c r="H1327" s="3" t="s">
        <v>56</v>
      </c>
      <c r="M1327" s="151" t="str">
        <f t="shared" si="64"/>
        <v/>
      </c>
      <c r="N1327" s="151" t="str">
        <f t="shared" si="65"/>
        <v>/</v>
      </c>
      <c r="Q1327" s="239" t="str">
        <f t="shared" ca="1" si="66"/>
        <v/>
      </c>
    </row>
    <row r="1328" spans="3:17" ht="15.75" hidden="1" customHeight="1" outlineLevel="1" x14ac:dyDescent="0.25">
      <c r="C1328" s="208"/>
      <c r="D1328" s="196">
        <v>42465</v>
      </c>
      <c r="E1328" s="101" t="s">
        <v>18</v>
      </c>
      <c r="F1328" s="216" t="s">
        <v>50</v>
      </c>
      <c r="G1328" s="3" t="s">
        <v>56</v>
      </c>
      <c r="H1328" s="3" t="s">
        <v>56</v>
      </c>
      <c r="M1328" s="151" t="str">
        <f t="shared" si="64"/>
        <v/>
      </c>
      <c r="N1328" s="151" t="str">
        <f t="shared" si="65"/>
        <v>/</v>
      </c>
      <c r="Q1328" s="239" t="str">
        <f t="shared" ca="1" si="66"/>
        <v/>
      </c>
    </row>
    <row r="1329" spans="2:17" ht="15.75" hidden="1" customHeight="1" outlineLevel="1" x14ac:dyDescent="0.25">
      <c r="C1329" s="208"/>
      <c r="D1329" s="196">
        <v>42467</v>
      </c>
      <c r="E1329" s="101" t="s">
        <v>46</v>
      </c>
      <c r="F1329" s="216" t="s">
        <v>49</v>
      </c>
      <c r="G1329" s="3" t="s">
        <v>56</v>
      </c>
      <c r="H1329" s="3" t="s">
        <v>56</v>
      </c>
      <c r="M1329" s="151" t="str">
        <f t="shared" si="64"/>
        <v>/</v>
      </c>
      <c r="N1329" s="151" t="str">
        <f t="shared" si="65"/>
        <v/>
      </c>
      <c r="Q1329" s="239" t="str">
        <f t="shared" ca="1" si="66"/>
        <v/>
      </c>
    </row>
    <row r="1330" spans="2:17" ht="15.75" hidden="1" customHeight="1" outlineLevel="1" x14ac:dyDescent="0.25">
      <c r="C1330" s="208"/>
      <c r="D1330" s="196">
        <v>42469</v>
      </c>
      <c r="E1330" s="101" t="s">
        <v>25</v>
      </c>
      <c r="F1330" s="216" t="s">
        <v>50</v>
      </c>
      <c r="G1330" s="3" t="s">
        <v>56</v>
      </c>
      <c r="H1330" s="3" t="s">
        <v>56</v>
      </c>
      <c r="M1330" s="151" t="str">
        <f t="shared" si="64"/>
        <v/>
      </c>
      <c r="N1330" s="151" t="str">
        <f t="shared" si="65"/>
        <v>/</v>
      </c>
      <c r="Q1330" s="239" t="str">
        <f t="shared" ca="1" si="66"/>
        <v/>
      </c>
    </row>
    <row r="1331" spans="2:17" ht="15.75" hidden="1" customHeight="1" outlineLevel="1" x14ac:dyDescent="0.25">
      <c r="C1331" s="208"/>
      <c r="D1331" s="196">
        <v>42471</v>
      </c>
      <c r="E1331" s="101" t="s">
        <v>15</v>
      </c>
      <c r="F1331" s="216" t="s">
        <v>49</v>
      </c>
      <c r="G1331" s="3" t="s">
        <v>56</v>
      </c>
      <c r="H1331" s="3" t="s">
        <v>56</v>
      </c>
      <c r="M1331" s="151" t="str">
        <f t="shared" si="64"/>
        <v>/</v>
      </c>
      <c r="N1331" s="151" t="str">
        <f t="shared" si="65"/>
        <v/>
      </c>
      <c r="Q1331" s="239" t="str">
        <f t="shared" ca="1" si="66"/>
        <v/>
      </c>
    </row>
    <row r="1332" spans="2:17" ht="15.75" hidden="1" customHeight="1" outlineLevel="1" x14ac:dyDescent="0.25">
      <c r="C1332" s="208"/>
      <c r="D1332" s="196">
        <v>42472</v>
      </c>
      <c r="E1332" s="102" t="s">
        <v>20</v>
      </c>
      <c r="F1332" s="217" t="s">
        <v>50</v>
      </c>
      <c r="G1332" s="3" t="s">
        <v>56</v>
      </c>
      <c r="H1332" s="3" t="s">
        <v>56</v>
      </c>
      <c r="M1332" s="151" t="str">
        <f t="shared" si="64"/>
        <v/>
      </c>
      <c r="N1332" s="151" t="str">
        <f t="shared" si="65"/>
        <v>/</v>
      </c>
      <c r="Q1332" s="239" t="str">
        <f t="shared" ca="1" si="66"/>
        <v/>
      </c>
    </row>
    <row r="1333" spans="2:17" collapsed="1" x14ac:dyDescent="0.25">
      <c r="B1333" s="404" t="e">
        <f ca="1">"- "&amp;INDEX(E1334:E1415,MATCH(TODAY(),D1334:D1415,0))</f>
        <v>#N/A</v>
      </c>
      <c r="C1333" s="404"/>
      <c r="D1333" s="406" t="s">
        <v>15</v>
      </c>
      <c r="E1333" s="407"/>
      <c r="F1333" s="408"/>
      <c r="H1333" s="3"/>
      <c r="Q1333" s="239" t="str">
        <f t="shared" ca="1" si="66"/>
        <v/>
      </c>
    </row>
    <row r="1334" spans="2:17" ht="16.5" hidden="1" customHeight="1" outlineLevel="1" x14ac:dyDescent="0.25">
      <c r="C1334" s="207"/>
      <c r="D1334" s="196">
        <v>42669</v>
      </c>
      <c r="E1334" s="103" t="s">
        <v>22</v>
      </c>
      <c r="F1334" s="215" t="s">
        <v>50</v>
      </c>
      <c r="G1334" s="3">
        <v>1</v>
      </c>
      <c r="H1334" s="3">
        <v>107</v>
      </c>
      <c r="I1334" s="151">
        <v>33</v>
      </c>
      <c r="J1334" s="151">
        <v>49</v>
      </c>
      <c r="K1334" s="151">
        <v>76</v>
      </c>
      <c r="L1334" s="151">
        <v>45</v>
      </c>
      <c r="M1334" s="151" t="str">
        <f t="shared" si="64"/>
        <v/>
      </c>
      <c r="N1334" s="151">
        <f t="shared" si="65"/>
        <v>107</v>
      </c>
      <c r="P1334" s="151">
        <v>102</v>
      </c>
      <c r="Q1334" s="239" t="str">
        <f t="shared" ca="1" si="66"/>
        <v/>
      </c>
    </row>
    <row r="1335" spans="2:17" ht="15.75" hidden="1" customHeight="1" outlineLevel="1" x14ac:dyDescent="0.25">
      <c r="C1335" s="207"/>
      <c r="D1335" s="196">
        <v>42672</v>
      </c>
      <c r="E1335" s="101" t="s">
        <v>24</v>
      </c>
      <c r="F1335" s="216" t="s">
        <v>49</v>
      </c>
      <c r="G1335" s="3" t="s">
        <v>56</v>
      </c>
      <c r="H1335" s="3" t="s">
        <v>56</v>
      </c>
      <c r="M1335" s="151" t="str">
        <f t="shared" si="64"/>
        <v>/</v>
      </c>
      <c r="N1335" s="151" t="str">
        <f t="shared" si="65"/>
        <v/>
      </c>
      <c r="Q1335" s="239" t="str">
        <f t="shared" ca="1" si="66"/>
        <v/>
      </c>
    </row>
    <row r="1336" spans="2:17" ht="15.75" hidden="1" customHeight="1" outlineLevel="1" x14ac:dyDescent="0.25">
      <c r="C1336" s="207"/>
      <c r="D1336" s="196">
        <v>42674</v>
      </c>
      <c r="E1336" s="101" t="s">
        <v>12</v>
      </c>
      <c r="F1336" s="216" t="s">
        <v>50</v>
      </c>
      <c r="G1336" s="3" t="s">
        <v>56</v>
      </c>
      <c r="H1336" s="3" t="s">
        <v>56</v>
      </c>
      <c r="M1336" s="151" t="str">
        <f t="shared" si="64"/>
        <v/>
      </c>
      <c r="N1336" s="151" t="str">
        <f t="shared" si="65"/>
        <v>/</v>
      </c>
      <c r="Q1336" s="239" t="str">
        <f t="shared" ca="1" si="66"/>
        <v/>
      </c>
    </row>
    <row r="1337" spans="2:17" ht="15.75" hidden="1" customHeight="1" outlineLevel="1" x14ac:dyDescent="0.25">
      <c r="C1337" s="207"/>
      <c r="D1337" s="196">
        <v>42677</v>
      </c>
      <c r="E1337" s="101" t="s">
        <v>21</v>
      </c>
      <c r="F1337" s="216" t="s">
        <v>50</v>
      </c>
      <c r="G1337" s="3" t="s">
        <v>56</v>
      </c>
      <c r="H1337" s="3" t="s">
        <v>56</v>
      </c>
      <c r="M1337" s="151" t="str">
        <f t="shared" si="64"/>
        <v/>
      </c>
      <c r="N1337" s="151" t="str">
        <f t="shared" si="65"/>
        <v>/</v>
      </c>
      <c r="Q1337" s="239" t="str">
        <f t="shared" ca="1" si="66"/>
        <v/>
      </c>
    </row>
    <row r="1338" spans="2:17" ht="15.75" hidden="1" customHeight="1" outlineLevel="1" x14ac:dyDescent="0.25">
      <c r="C1338" s="207"/>
      <c r="D1338" s="196">
        <v>42679</v>
      </c>
      <c r="E1338" s="101" t="s">
        <v>5</v>
      </c>
      <c r="F1338" s="216" t="s">
        <v>50</v>
      </c>
      <c r="G1338" s="3" t="s">
        <v>56</v>
      </c>
      <c r="H1338" s="3" t="s">
        <v>56</v>
      </c>
      <c r="M1338" s="151" t="str">
        <f t="shared" si="64"/>
        <v/>
      </c>
      <c r="N1338" s="151" t="str">
        <f t="shared" si="65"/>
        <v>/</v>
      </c>
      <c r="Q1338" s="239" t="str">
        <f t="shared" ca="1" si="66"/>
        <v/>
      </c>
    </row>
    <row r="1339" spans="2:17" ht="15.75" hidden="1" customHeight="1" outlineLevel="1" x14ac:dyDescent="0.25">
      <c r="C1339" s="207"/>
      <c r="D1339" s="196">
        <v>42680</v>
      </c>
      <c r="E1339" s="101" t="s">
        <v>1</v>
      </c>
      <c r="F1339" s="216" t="s">
        <v>50</v>
      </c>
      <c r="G1339" s="3" t="s">
        <v>56</v>
      </c>
      <c r="H1339" s="3" t="s">
        <v>56</v>
      </c>
      <c r="M1339" s="151" t="str">
        <f t="shared" si="64"/>
        <v/>
      </c>
      <c r="N1339" s="151" t="str">
        <f t="shared" si="65"/>
        <v>/</v>
      </c>
      <c r="Q1339" s="239" t="str">
        <f t="shared" ca="1" si="66"/>
        <v/>
      </c>
    </row>
    <row r="1340" spans="2:17" ht="15.75" hidden="1" customHeight="1" outlineLevel="1" x14ac:dyDescent="0.25">
      <c r="C1340" s="207"/>
      <c r="D1340" s="196">
        <v>42682</v>
      </c>
      <c r="E1340" s="101" t="s">
        <v>20</v>
      </c>
      <c r="F1340" s="216" t="s">
        <v>50</v>
      </c>
      <c r="G1340" s="3" t="s">
        <v>56</v>
      </c>
      <c r="H1340" s="3" t="s">
        <v>56</v>
      </c>
      <c r="M1340" s="151" t="str">
        <f t="shared" si="64"/>
        <v/>
      </c>
      <c r="N1340" s="151" t="str">
        <f t="shared" si="65"/>
        <v>/</v>
      </c>
      <c r="Q1340" s="239" t="str">
        <f t="shared" ca="1" si="66"/>
        <v/>
      </c>
    </row>
    <row r="1341" spans="2:17" ht="15.75" hidden="1" customHeight="1" outlineLevel="1" x14ac:dyDescent="0.25">
      <c r="C1341" s="207"/>
      <c r="D1341" s="196">
        <v>42684</v>
      </c>
      <c r="E1341" s="101" t="s">
        <v>16</v>
      </c>
      <c r="F1341" s="216" t="s">
        <v>49</v>
      </c>
      <c r="G1341" s="3" t="s">
        <v>56</v>
      </c>
      <c r="H1341" s="3" t="s">
        <v>56</v>
      </c>
      <c r="M1341" s="151" t="str">
        <f t="shared" si="64"/>
        <v>/</v>
      </c>
      <c r="N1341" s="151" t="str">
        <f t="shared" si="65"/>
        <v/>
      </c>
      <c r="Q1341" s="239" t="str">
        <f t="shared" ca="1" si="66"/>
        <v/>
      </c>
    </row>
    <row r="1342" spans="2:17" ht="15.75" hidden="1" customHeight="1" outlineLevel="1" x14ac:dyDescent="0.25">
      <c r="C1342" s="207"/>
      <c r="D1342" s="196">
        <v>42686</v>
      </c>
      <c r="E1342" s="101" t="s">
        <v>5</v>
      </c>
      <c r="F1342" s="216" t="s">
        <v>49</v>
      </c>
      <c r="G1342" s="3" t="s">
        <v>56</v>
      </c>
      <c r="H1342" s="3" t="s">
        <v>56</v>
      </c>
      <c r="M1342" s="151" t="str">
        <f t="shared" si="64"/>
        <v>/</v>
      </c>
      <c r="N1342" s="151" t="str">
        <f t="shared" si="65"/>
        <v/>
      </c>
      <c r="Q1342" s="239" t="str">
        <f t="shared" ca="1" si="66"/>
        <v/>
      </c>
    </row>
    <row r="1343" spans="2:17" ht="15.75" hidden="1" customHeight="1" outlineLevel="1" x14ac:dyDescent="0.25">
      <c r="C1343" s="207"/>
      <c r="D1343" s="196">
        <v>42687</v>
      </c>
      <c r="E1343" s="101" t="s">
        <v>24</v>
      </c>
      <c r="F1343" s="216" t="s">
        <v>50</v>
      </c>
      <c r="G1343" s="3" t="s">
        <v>56</v>
      </c>
      <c r="H1343" s="3" t="s">
        <v>56</v>
      </c>
      <c r="M1343" s="151" t="str">
        <f t="shared" si="64"/>
        <v/>
      </c>
      <c r="N1343" s="151" t="str">
        <f t="shared" si="65"/>
        <v>/</v>
      </c>
      <c r="Q1343" s="239" t="str">
        <f t="shared" ca="1" si="66"/>
        <v/>
      </c>
    </row>
    <row r="1344" spans="2:17" ht="15.75" hidden="1" customHeight="1" outlineLevel="1" x14ac:dyDescent="0.25">
      <c r="C1344" s="207"/>
      <c r="D1344" s="196">
        <v>42690</v>
      </c>
      <c r="E1344" s="101" t="s">
        <v>25</v>
      </c>
      <c r="F1344" s="216" t="s">
        <v>49</v>
      </c>
      <c r="G1344" s="3" t="s">
        <v>56</v>
      </c>
      <c r="H1344" s="3" t="s">
        <v>56</v>
      </c>
      <c r="M1344" s="151" t="str">
        <f t="shared" si="64"/>
        <v>/</v>
      </c>
      <c r="N1344" s="151" t="str">
        <f t="shared" si="65"/>
        <v/>
      </c>
      <c r="Q1344" s="239" t="str">
        <f t="shared" ca="1" si="66"/>
        <v/>
      </c>
    </row>
    <row r="1345" spans="3:17" ht="15.75" hidden="1" customHeight="1" outlineLevel="1" x14ac:dyDescent="0.25">
      <c r="C1345" s="207"/>
      <c r="D1345" s="196">
        <v>42692</v>
      </c>
      <c r="E1345" s="101" t="s">
        <v>12</v>
      </c>
      <c r="F1345" s="216" t="s">
        <v>49</v>
      </c>
      <c r="G1345" s="3" t="s">
        <v>56</v>
      </c>
      <c r="H1345" s="3" t="s">
        <v>56</v>
      </c>
      <c r="M1345" s="151" t="str">
        <f t="shared" si="64"/>
        <v>/</v>
      </c>
      <c r="N1345" s="151" t="str">
        <f t="shared" si="65"/>
        <v/>
      </c>
      <c r="Q1345" s="239" t="str">
        <f t="shared" ca="1" si="66"/>
        <v/>
      </c>
    </row>
    <row r="1346" spans="3:17" ht="15.75" hidden="1" customHeight="1" outlineLevel="1" x14ac:dyDescent="0.25">
      <c r="C1346" s="207"/>
      <c r="D1346" s="196">
        <v>42694</v>
      </c>
      <c r="E1346" s="101" t="s">
        <v>28</v>
      </c>
      <c r="F1346" s="216" t="s">
        <v>49</v>
      </c>
      <c r="G1346" s="3" t="s">
        <v>56</v>
      </c>
      <c r="H1346" s="3" t="s">
        <v>56</v>
      </c>
      <c r="M1346" s="151" t="str">
        <f t="shared" si="64"/>
        <v>/</v>
      </c>
      <c r="N1346" s="151" t="str">
        <f t="shared" si="65"/>
        <v/>
      </c>
      <c r="Q1346" s="239" t="str">
        <f t="shared" ca="1" si="66"/>
        <v/>
      </c>
    </row>
    <row r="1347" spans="3:17" ht="15.75" hidden="1" customHeight="1" outlineLevel="1" x14ac:dyDescent="0.25">
      <c r="C1347" s="207"/>
      <c r="D1347" s="196">
        <v>42696</v>
      </c>
      <c r="E1347" s="101" t="s">
        <v>2</v>
      </c>
      <c r="F1347" s="216" t="s">
        <v>49</v>
      </c>
      <c r="G1347" s="3" t="s">
        <v>56</v>
      </c>
      <c r="H1347" s="3" t="s">
        <v>56</v>
      </c>
      <c r="M1347" s="151" t="str">
        <f t="shared" si="64"/>
        <v>/</v>
      </c>
      <c r="N1347" s="151" t="str">
        <f t="shared" si="65"/>
        <v/>
      </c>
      <c r="Q1347" s="239" t="str">
        <f t="shared" ca="1" si="66"/>
        <v/>
      </c>
    </row>
    <row r="1348" spans="3:17" ht="15.75" hidden="1" customHeight="1" outlineLevel="1" x14ac:dyDescent="0.25">
      <c r="C1348" s="207"/>
      <c r="D1348" s="196">
        <v>42697</v>
      </c>
      <c r="E1348" s="101" t="s">
        <v>28</v>
      </c>
      <c r="F1348" s="216" t="s">
        <v>50</v>
      </c>
      <c r="G1348" s="3" t="s">
        <v>56</v>
      </c>
      <c r="H1348" s="3" t="s">
        <v>56</v>
      </c>
      <c r="M1348" s="151" t="str">
        <f t="shared" si="64"/>
        <v/>
      </c>
      <c r="N1348" s="151" t="str">
        <f t="shared" si="65"/>
        <v>/</v>
      </c>
      <c r="Q1348" s="239" t="str">
        <f t="shared" ca="1" si="66"/>
        <v/>
      </c>
    </row>
    <row r="1349" spans="3:17" ht="15.75" hidden="1" customHeight="1" outlineLevel="1" x14ac:dyDescent="0.25">
      <c r="C1349" s="207"/>
      <c r="D1349" s="196">
        <v>42699</v>
      </c>
      <c r="E1349" s="101" t="s">
        <v>23</v>
      </c>
      <c r="F1349" s="216" t="s">
        <v>49</v>
      </c>
      <c r="G1349" s="3" t="s">
        <v>56</v>
      </c>
      <c r="H1349" s="3" t="s">
        <v>56</v>
      </c>
      <c r="M1349" s="151" t="str">
        <f t="shared" si="64"/>
        <v>/</v>
      </c>
      <c r="N1349" s="151" t="str">
        <f t="shared" si="65"/>
        <v/>
      </c>
      <c r="Q1349" s="239" t="str">
        <f t="shared" ca="1" si="66"/>
        <v/>
      </c>
    </row>
    <row r="1350" spans="3:17" ht="15.75" hidden="1" customHeight="1" outlineLevel="1" x14ac:dyDescent="0.25">
      <c r="C1350" s="207"/>
      <c r="D1350" s="196">
        <v>42701</v>
      </c>
      <c r="E1350" s="101" t="s">
        <v>25</v>
      </c>
      <c r="F1350" s="216" t="s">
        <v>50</v>
      </c>
      <c r="G1350" s="3" t="s">
        <v>56</v>
      </c>
      <c r="H1350" s="3" t="s">
        <v>56</v>
      </c>
      <c r="M1350" s="151" t="str">
        <f t="shared" si="64"/>
        <v/>
      </c>
      <c r="N1350" s="151" t="str">
        <f t="shared" si="65"/>
        <v>/</v>
      </c>
      <c r="Q1350" s="239" t="str">
        <f t="shared" ca="1" si="66"/>
        <v/>
      </c>
    </row>
    <row r="1351" spans="3:17" ht="15.75" hidden="1" customHeight="1" outlineLevel="1" x14ac:dyDescent="0.25">
      <c r="C1351" s="207"/>
      <c r="D1351" s="196">
        <v>42704</v>
      </c>
      <c r="E1351" s="101" t="s">
        <v>6</v>
      </c>
      <c r="F1351" s="216" t="s">
        <v>49</v>
      </c>
      <c r="G1351" s="3" t="s">
        <v>56</v>
      </c>
      <c r="H1351" s="3" t="s">
        <v>56</v>
      </c>
      <c r="M1351" s="151" t="str">
        <f t="shared" ref="M1351:M1414" si="67">IF(F1351="D",H1351,"")</f>
        <v>/</v>
      </c>
      <c r="N1351" s="151" t="str">
        <f t="shared" ref="N1351:N1414" si="68">IF(F1351="E",H1351,"")</f>
        <v/>
      </c>
      <c r="Q1351" s="239" t="str">
        <f t="shared" ca="1" si="66"/>
        <v/>
      </c>
    </row>
    <row r="1352" spans="3:17" ht="15.75" hidden="1" customHeight="1" outlineLevel="1" x14ac:dyDescent="0.25">
      <c r="C1352" s="208"/>
      <c r="D1352" s="196">
        <v>42706</v>
      </c>
      <c r="E1352" s="101" t="s">
        <v>17</v>
      </c>
      <c r="F1352" s="216" t="s">
        <v>49</v>
      </c>
      <c r="G1352" s="3" t="s">
        <v>56</v>
      </c>
      <c r="H1352" s="3" t="s">
        <v>56</v>
      </c>
      <c r="M1352" s="151" t="str">
        <f t="shared" si="67"/>
        <v>/</v>
      </c>
      <c r="N1352" s="151" t="str">
        <f t="shared" si="68"/>
        <v/>
      </c>
      <c r="Q1352" s="239" t="str">
        <f t="shared" ca="1" si="66"/>
        <v/>
      </c>
    </row>
    <row r="1353" spans="3:17" ht="15.75" hidden="1" customHeight="1" outlineLevel="1" x14ac:dyDescent="0.25">
      <c r="C1353" s="208"/>
      <c r="D1353" s="196">
        <v>42707</v>
      </c>
      <c r="E1353" s="101" t="s">
        <v>28</v>
      </c>
      <c r="F1353" s="216" t="s">
        <v>50</v>
      </c>
      <c r="G1353" s="3" t="s">
        <v>56</v>
      </c>
      <c r="H1353" s="3" t="s">
        <v>56</v>
      </c>
      <c r="M1353" s="151" t="str">
        <f t="shared" si="67"/>
        <v/>
      </c>
      <c r="N1353" s="151" t="str">
        <f t="shared" si="68"/>
        <v>/</v>
      </c>
      <c r="Q1353" s="239" t="str">
        <f t="shared" ca="1" si="66"/>
        <v/>
      </c>
    </row>
    <row r="1354" spans="3:17" ht="15.75" hidden="1" customHeight="1" outlineLevel="1" x14ac:dyDescent="0.25">
      <c r="C1354" s="208"/>
      <c r="D1354" s="196">
        <v>42709</v>
      </c>
      <c r="E1354" s="101" t="s">
        <v>11</v>
      </c>
      <c r="F1354" s="216" t="s">
        <v>50</v>
      </c>
      <c r="G1354" s="3" t="s">
        <v>56</v>
      </c>
      <c r="H1354" s="3" t="s">
        <v>56</v>
      </c>
      <c r="M1354" s="151" t="str">
        <f t="shared" si="67"/>
        <v/>
      </c>
      <c r="N1354" s="151" t="str">
        <f t="shared" si="68"/>
        <v>/</v>
      </c>
      <c r="Q1354" s="239" t="str">
        <f t="shared" ca="1" si="66"/>
        <v/>
      </c>
    </row>
    <row r="1355" spans="3:17" ht="15.75" hidden="1" customHeight="1" outlineLevel="1" x14ac:dyDescent="0.25">
      <c r="C1355" s="208"/>
      <c r="D1355" s="196">
        <v>42711</v>
      </c>
      <c r="E1355" s="101" t="s">
        <v>45</v>
      </c>
      <c r="F1355" s="216" t="s">
        <v>50</v>
      </c>
      <c r="G1355" s="3" t="s">
        <v>56</v>
      </c>
      <c r="H1355" s="3" t="s">
        <v>56</v>
      </c>
      <c r="M1355" s="151" t="str">
        <f t="shared" si="67"/>
        <v/>
      </c>
      <c r="N1355" s="151" t="str">
        <f t="shared" si="68"/>
        <v>/</v>
      </c>
      <c r="Q1355" s="239" t="str">
        <f t="shared" ca="1" si="66"/>
        <v/>
      </c>
    </row>
    <row r="1356" spans="3:17" ht="15.75" hidden="1" customHeight="1" outlineLevel="1" x14ac:dyDescent="0.25">
      <c r="C1356" s="208"/>
      <c r="D1356" s="196">
        <v>42712</v>
      </c>
      <c r="E1356" s="101" t="s">
        <v>13</v>
      </c>
      <c r="F1356" s="216" t="s">
        <v>50</v>
      </c>
      <c r="G1356" s="3" t="s">
        <v>56</v>
      </c>
      <c r="H1356" s="3" t="s">
        <v>56</v>
      </c>
      <c r="M1356" s="151" t="str">
        <f t="shared" si="67"/>
        <v/>
      </c>
      <c r="N1356" s="151" t="str">
        <f t="shared" si="68"/>
        <v>/</v>
      </c>
      <c r="Q1356" s="239" t="str">
        <f t="shared" ca="1" si="66"/>
        <v/>
      </c>
    </row>
    <row r="1357" spans="3:17" ht="15.75" hidden="1" customHeight="1" outlineLevel="1" x14ac:dyDescent="0.25">
      <c r="C1357" s="208"/>
      <c r="D1357" s="196">
        <v>42714</v>
      </c>
      <c r="E1357" s="101" t="s">
        <v>10</v>
      </c>
      <c r="F1357" s="216" t="s">
        <v>50</v>
      </c>
      <c r="G1357" s="3" t="s">
        <v>56</v>
      </c>
      <c r="H1357" s="3" t="s">
        <v>56</v>
      </c>
      <c r="M1357" s="151" t="str">
        <f t="shared" si="67"/>
        <v/>
      </c>
      <c r="N1357" s="151" t="str">
        <f t="shared" si="68"/>
        <v>/</v>
      </c>
      <c r="Q1357" s="239" t="str">
        <f t="shared" ca="1" si="66"/>
        <v/>
      </c>
    </row>
    <row r="1358" spans="3:17" ht="15.75" hidden="1" customHeight="1" outlineLevel="1" x14ac:dyDescent="0.25">
      <c r="C1358" s="208"/>
      <c r="D1358" s="196">
        <v>42716</v>
      </c>
      <c r="E1358" s="101" t="s">
        <v>645</v>
      </c>
      <c r="F1358" s="216" t="s">
        <v>50</v>
      </c>
      <c r="G1358" s="3" t="s">
        <v>56</v>
      </c>
      <c r="H1358" s="3" t="s">
        <v>56</v>
      </c>
      <c r="M1358" s="151" t="str">
        <f t="shared" si="67"/>
        <v/>
      </c>
      <c r="N1358" s="151" t="str">
        <f t="shared" si="68"/>
        <v>/</v>
      </c>
      <c r="Q1358" s="239" t="str">
        <f t="shared" ca="1" si="66"/>
        <v/>
      </c>
    </row>
    <row r="1359" spans="3:17" ht="15.75" hidden="1" customHeight="1" outlineLevel="1" x14ac:dyDescent="0.25">
      <c r="C1359" s="208"/>
      <c r="D1359" s="196">
        <v>42719</v>
      </c>
      <c r="E1359" s="101" t="s">
        <v>24</v>
      </c>
      <c r="F1359" s="216" t="s">
        <v>49</v>
      </c>
      <c r="G1359" s="3" t="s">
        <v>56</v>
      </c>
      <c r="H1359" s="3" t="s">
        <v>56</v>
      </c>
      <c r="M1359" s="151" t="str">
        <f t="shared" si="67"/>
        <v>/</v>
      </c>
      <c r="N1359" s="151" t="str">
        <f t="shared" si="68"/>
        <v/>
      </c>
      <c r="Q1359" s="239" t="str">
        <f t="shared" ca="1" si="66"/>
        <v/>
      </c>
    </row>
    <row r="1360" spans="3:17" ht="15.75" hidden="1" customHeight="1" outlineLevel="1" x14ac:dyDescent="0.25">
      <c r="C1360" s="208"/>
      <c r="D1360" s="196">
        <v>42721</v>
      </c>
      <c r="E1360" s="101" t="s">
        <v>9</v>
      </c>
      <c r="F1360" s="216" t="s">
        <v>49</v>
      </c>
      <c r="G1360" s="3" t="s">
        <v>56</v>
      </c>
      <c r="H1360" s="3" t="s">
        <v>56</v>
      </c>
      <c r="M1360" s="151" t="str">
        <f t="shared" si="67"/>
        <v>/</v>
      </c>
      <c r="N1360" s="151" t="str">
        <f t="shared" si="68"/>
        <v/>
      </c>
      <c r="Q1360" s="239" t="str">
        <f t="shared" ca="1" si="66"/>
        <v/>
      </c>
    </row>
    <row r="1361" spans="3:17" ht="15.75" hidden="1" customHeight="1" outlineLevel="1" x14ac:dyDescent="0.25">
      <c r="C1361" s="208"/>
      <c r="D1361" s="196">
        <v>42723</v>
      </c>
      <c r="E1361" s="101" t="s">
        <v>645</v>
      </c>
      <c r="F1361" s="216" t="s">
        <v>49</v>
      </c>
      <c r="G1361" s="3" t="s">
        <v>56</v>
      </c>
      <c r="H1361" s="3" t="s">
        <v>56</v>
      </c>
      <c r="M1361" s="151" t="str">
        <f t="shared" si="67"/>
        <v>/</v>
      </c>
      <c r="N1361" s="151" t="str">
        <f t="shared" si="68"/>
        <v/>
      </c>
      <c r="Q1361" s="239" t="str">
        <f t="shared" ca="1" si="66"/>
        <v/>
      </c>
    </row>
    <row r="1362" spans="3:17" ht="15.75" hidden="1" customHeight="1" outlineLevel="1" x14ac:dyDescent="0.25">
      <c r="C1362" s="208"/>
      <c r="D1362" s="196">
        <v>42724</v>
      </c>
      <c r="E1362" s="101" t="s">
        <v>18</v>
      </c>
      <c r="F1362" s="216" t="s">
        <v>50</v>
      </c>
      <c r="G1362" s="3" t="s">
        <v>56</v>
      </c>
      <c r="H1362" s="3" t="s">
        <v>56</v>
      </c>
      <c r="M1362" s="151" t="str">
        <f t="shared" si="67"/>
        <v/>
      </c>
      <c r="N1362" s="151" t="str">
        <f t="shared" si="68"/>
        <v>/</v>
      </c>
      <c r="Q1362" s="239" t="str">
        <f t="shared" ca="1" si="66"/>
        <v/>
      </c>
    </row>
    <row r="1363" spans="3:17" ht="15.75" hidden="1" customHeight="1" outlineLevel="1" x14ac:dyDescent="0.25">
      <c r="C1363" s="208"/>
      <c r="D1363" s="196">
        <v>42727</v>
      </c>
      <c r="E1363" s="101" t="s">
        <v>0</v>
      </c>
      <c r="F1363" s="216" t="s">
        <v>49</v>
      </c>
      <c r="G1363" s="3" t="s">
        <v>56</v>
      </c>
      <c r="H1363" s="3" t="s">
        <v>56</v>
      </c>
      <c r="M1363" s="151" t="str">
        <f t="shared" si="67"/>
        <v>/</v>
      </c>
      <c r="N1363" s="151" t="str">
        <f t="shared" si="68"/>
        <v/>
      </c>
      <c r="Q1363" s="239" t="str">
        <f t="shared" ca="1" si="66"/>
        <v/>
      </c>
    </row>
    <row r="1364" spans="3:17" ht="15.75" hidden="1" customHeight="1" outlineLevel="1" x14ac:dyDescent="0.25">
      <c r="C1364" s="208"/>
      <c r="D1364" s="196">
        <v>42730</v>
      </c>
      <c r="E1364" s="101" t="s">
        <v>18</v>
      </c>
      <c r="F1364" s="216" t="s">
        <v>50</v>
      </c>
      <c r="G1364" s="3" t="s">
        <v>56</v>
      </c>
      <c r="H1364" s="3" t="s">
        <v>56</v>
      </c>
      <c r="M1364" s="151" t="str">
        <f t="shared" si="67"/>
        <v/>
      </c>
      <c r="N1364" s="151" t="str">
        <f t="shared" si="68"/>
        <v>/</v>
      </c>
      <c r="Q1364" s="239" t="str">
        <f t="shared" ca="1" si="66"/>
        <v/>
      </c>
    </row>
    <row r="1365" spans="3:17" ht="15.75" hidden="1" customHeight="1" outlineLevel="1" x14ac:dyDescent="0.25">
      <c r="C1365" s="208"/>
      <c r="D1365" s="196">
        <v>42732</v>
      </c>
      <c r="E1365" s="101" t="s">
        <v>21</v>
      </c>
      <c r="F1365" s="216" t="s">
        <v>49</v>
      </c>
      <c r="G1365" s="3" t="s">
        <v>56</v>
      </c>
      <c r="H1365" s="3" t="s">
        <v>56</v>
      </c>
      <c r="M1365" s="151" t="str">
        <f t="shared" si="67"/>
        <v>/</v>
      </c>
      <c r="N1365" s="151" t="str">
        <f t="shared" si="68"/>
        <v/>
      </c>
      <c r="Q1365" s="239" t="str">
        <f t="shared" ca="1" si="66"/>
        <v/>
      </c>
    </row>
    <row r="1366" spans="3:17" ht="15.75" hidden="1" customHeight="1" outlineLevel="1" x14ac:dyDescent="0.25">
      <c r="C1366" s="208"/>
      <c r="D1366" s="196">
        <v>42734</v>
      </c>
      <c r="E1366" s="101" t="s">
        <v>11</v>
      </c>
      <c r="F1366" s="216" t="s">
        <v>49</v>
      </c>
      <c r="G1366" s="3" t="s">
        <v>56</v>
      </c>
      <c r="H1366" s="3" t="s">
        <v>56</v>
      </c>
      <c r="M1366" s="151" t="str">
        <f t="shared" si="67"/>
        <v>/</v>
      </c>
      <c r="N1366" s="151" t="str">
        <f t="shared" si="68"/>
        <v/>
      </c>
      <c r="Q1366" s="239" t="str">
        <f t="shared" ca="1" si="66"/>
        <v/>
      </c>
    </row>
    <row r="1367" spans="3:17" ht="15.75" hidden="1" customHeight="1" outlineLevel="1" x14ac:dyDescent="0.25">
      <c r="C1367" s="207"/>
      <c r="D1367" s="196">
        <v>42371</v>
      </c>
      <c r="E1367" s="101" t="s">
        <v>16</v>
      </c>
      <c r="F1367" s="216" t="s">
        <v>50</v>
      </c>
      <c r="G1367" s="3" t="s">
        <v>56</v>
      </c>
      <c r="H1367" s="3" t="s">
        <v>56</v>
      </c>
      <c r="M1367" s="151" t="str">
        <f t="shared" si="67"/>
        <v/>
      </c>
      <c r="N1367" s="151" t="str">
        <f t="shared" si="68"/>
        <v>/</v>
      </c>
      <c r="Q1367" s="239" t="str">
        <f t="shared" ca="1" si="66"/>
        <v/>
      </c>
    </row>
    <row r="1368" spans="3:17" ht="15.75" hidden="1" customHeight="1" outlineLevel="1" x14ac:dyDescent="0.25">
      <c r="C1368" s="207"/>
      <c r="D1368" s="196">
        <v>42372</v>
      </c>
      <c r="E1368" s="101" t="s">
        <v>26</v>
      </c>
      <c r="F1368" s="216" t="s">
        <v>49</v>
      </c>
      <c r="G1368" s="3" t="s">
        <v>56</v>
      </c>
      <c r="H1368" s="3" t="s">
        <v>56</v>
      </c>
      <c r="M1368" s="151" t="str">
        <f t="shared" si="67"/>
        <v>/</v>
      </c>
      <c r="N1368" s="151" t="str">
        <f t="shared" si="68"/>
        <v/>
      </c>
      <c r="Q1368" s="239" t="str">
        <f t="shared" ca="1" si="66"/>
        <v/>
      </c>
    </row>
    <row r="1369" spans="3:17" ht="15.75" hidden="1" customHeight="1" outlineLevel="1" x14ac:dyDescent="0.25">
      <c r="C1369" s="207"/>
      <c r="D1369" s="196">
        <v>42374</v>
      </c>
      <c r="E1369" s="101" t="s">
        <v>46</v>
      </c>
      <c r="F1369" s="216" t="s">
        <v>49</v>
      </c>
      <c r="G1369" s="3" t="s">
        <v>56</v>
      </c>
      <c r="H1369" s="3" t="s">
        <v>56</v>
      </c>
      <c r="M1369" s="151" t="str">
        <f t="shared" si="67"/>
        <v>/</v>
      </c>
      <c r="N1369" s="151" t="str">
        <f t="shared" si="68"/>
        <v/>
      </c>
      <c r="Q1369" s="239" t="str">
        <f t="shared" ca="1" si="66"/>
        <v/>
      </c>
    </row>
    <row r="1370" spans="3:17" ht="15.75" hidden="1" customHeight="1" outlineLevel="1" x14ac:dyDescent="0.25">
      <c r="C1370" s="207"/>
      <c r="D1370" s="196">
        <v>42376</v>
      </c>
      <c r="E1370" s="101" t="s">
        <v>23</v>
      </c>
      <c r="F1370" s="216" t="s">
        <v>50</v>
      </c>
      <c r="G1370" s="3" t="s">
        <v>56</v>
      </c>
      <c r="H1370" s="3" t="s">
        <v>56</v>
      </c>
      <c r="M1370" s="151" t="str">
        <f t="shared" si="67"/>
        <v/>
      </c>
      <c r="N1370" s="151" t="str">
        <f t="shared" si="68"/>
        <v>/</v>
      </c>
      <c r="Q1370" s="239" t="str">
        <f t="shared" ca="1" si="66"/>
        <v/>
      </c>
    </row>
    <row r="1371" spans="3:17" ht="15.75" hidden="1" customHeight="1" outlineLevel="1" x14ac:dyDescent="0.25">
      <c r="C1371" s="207"/>
      <c r="D1371" s="196">
        <v>42381</v>
      </c>
      <c r="E1371" s="101" t="s">
        <v>7</v>
      </c>
      <c r="F1371" s="216" t="s">
        <v>49</v>
      </c>
      <c r="G1371" s="3" t="s">
        <v>56</v>
      </c>
      <c r="H1371" s="3" t="s">
        <v>56</v>
      </c>
      <c r="M1371" s="151" t="str">
        <f t="shared" si="67"/>
        <v>/</v>
      </c>
      <c r="N1371" s="151" t="str">
        <f t="shared" si="68"/>
        <v/>
      </c>
      <c r="Q1371" s="239" t="str">
        <f t="shared" ca="1" si="66"/>
        <v/>
      </c>
    </row>
    <row r="1372" spans="3:17" ht="15.75" hidden="1" customHeight="1" outlineLevel="1" x14ac:dyDescent="0.25">
      <c r="C1372" s="207"/>
      <c r="D1372" s="196">
        <v>42385</v>
      </c>
      <c r="E1372" s="101" t="s">
        <v>10</v>
      </c>
      <c r="F1372" s="216" t="s">
        <v>49</v>
      </c>
      <c r="G1372" s="3" t="s">
        <v>56</v>
      </c>
      <c r="H1372" s="3" t="s">
        <v>56</v>
      </c>
      <c r="M1372" s="151" t="str">
        <f t="shared" si="67"/>
        <v>/</v>
      </c>
      <c r="N1372" s="151" t="str">
        <f t="shared" si="68"/>
        <v/>
      </c>
      <c r="Q1372" s="239" t="str">
        <f t="shared" ca="1" si="66"/>
        <v/>
      </c>
    </row>
    <row r="1373" spans="3:17" ht="15.75" hidden="1" customHeight="1" outlineLevel="1" x14ac:dyDescent="0.25">
      <c r="C1373" s="207"/>
      <c r="D1373" s="196">
        <v>42386</v>
      </c>
      <c r="E1373" s="101" t="s">
        <v>644</v>
      </c>
      <c r="F1373" s="216" t="s">
        <v>50</v>
      </c>
      <c r="G1373" s="3" t="s">
        <v>56</v>
      </c>
      <c r="H1373" s="3" t="s">
        <v>56</v>
      </c>
      <c r="M1373" s="151" t="str">
        <f t="shared" si="67"/>
        <v/>
      </c>
      <c r="N1373" s="151" t="str">
        <f t="shared" si="68"/>
        <v>/</v>
      </c>
      <c r="Q1373" s="239" t="str">
        <f t="shared" ca="1" si="66"/>
        <v/>
      </c>
    </row>
    <row r="1374" spans="3:17" ht="15.75" hidden="1" customHeight="1" outlineLevel="1" x14ac:dyDescent="0.25">
      <c r="C1374" s="207"/>
      <c r="D1374" s="196">
        <v>42388</v>
      </c>
      <c r="E1374" s="101" t="s">
        <v>46</v>
      </c>
      <c r="F1374" s="216" t="s">
        <v>50</v>
      </c>
      <c r="G1374" s="3" t="s">
        <v>56</v>
      </c>
      <c r="H1374" s="3" t="s">
        <v>56</v>
      </c>
      <c r="M1374" s="151" t="str">
        <f t="shared" si="67"/>
        <v/>
      </c>
      <c r="N1374" s="151" t="str">
        <f t="shared" si="68"/>
        <v>/</v>
      </c>
      <c r="Q1374" s="239" t="str">
        <f t="shared" ca="1" si="66"/>
        <v/>
      </c>
    </row>
    <row r="1375" spans="3:17" ht="15.75" hidden="1" customHeight="1" outlineLevel="1" x14ac:dyDescent="0.25">
      <c r="C1375" s="207"/>
      <c r="D1375" s="196">
        <v>42390</v>
      </c>
      <c r="E1375" s="101" t="s">
        <v>18</v>
      </c>
      <c r="F1375" s="216" t="s">
        <v>49</v>
      </c>
      <c r="G1375" s="3" t="s">
        <v>56</v>
      </c>
      <c r="H1375" s="3" t="s">
        <v>56</v>
      </c>
      <c r="M1375" s="151" t="str">
        <f t="shared" si="67"/>
        <v>/</v>
      </c>
      <c r="N1375" s="151" t="str">
        <f t="shared" si="68"/>
        <v/>
      </c>
      <c r="Q1375" s="239" t="str">
        <f t="shared" ca="1" si="66"/>
        <v/>
      </c>
    </row>
    <row r="1376" spans="3:17" ht="15.75" hidden="1" customHeight="1" outlineLevel="1" x14ac:dyDescent="0.25">
      <c r="C1376" s="207"/>
      <c r="D1376" s="196">
        <v>42391</v>
      </c>
      <c r="E1376" s="101" t="s">
        <v>21</v>
      </c>
      <c r="F1376" s="216" t="s">
        <v>50</v>
      </c>
      <c r="G1376" s="3" t="s">
        <v>56</v>
      </c>
      <c r="H1376" s="3" t="s">
        <v>56</v>
      </c>
      <c r="M1376" s="151" t="str">
        <f t="shared" si="67"/>
        <v/>
      </c>
      <c r="N1376" s="151" t="str">
        <f t="shared" si="68"/>
        <v>/</v>
      </c>
      <c r="Q1376" s="239" t="str">
        <f t="shared" ca="1" si="66"/>
        <v/>
      </c>
    </row>
    <row r="1377" spans="3:17" ht="15.75" hidden="1" customHeight="1" outlineLevel="1" x14ac:dyDescent="0.25">
      <c r="C1377" s="207"/>
      <c r="D1377" s="196">
        <v>42393</v>
      </c>
      <c r="E1377" s="101" t="s">
        <v>28</v>
      </c>
      <c r="F1377" s="216" t="s">
        <v>49</v>
      </c>
      <c r="G1377" s="3" t="s">
        <v>56</v>
      </c>
      <c r="H1377" s="3" t="s">
        <v>56</v>
      </c>
      <c r="M1377" s="151" t="str">
        <f t="shared" si="67"/>
        <v>/</v>
      </c>
      <c r="N1377" s="151" t="str">
        <f t="shared" si="68"/>
        <v/>
      </c>
      <c r="Q1377" s="239" t="str">
        <f t="shared" ca="1" si="66"/>
        <v/>
      </c>
    </row>
    <row r="1378" spans="3:17" ht="15.75" hidden="1" customHeight="1" outlineLevel="1" x14ac:dyDescent="0.25">
      <c r="C1378" s="207"/>
      <c r="D1378" s="196">
        <v>42395</v>
      </c>
      <c r="E1378" s="101" t="s">
        <v>25</v>
      </c>
      <c r="F1378" s="216" t="s">
        <v>49</v>
      </c>
      <c r="G1378" s="3" t="s">
        <v>56</v>
      </c>
      <c r="H1378" s="3" t="s">
        <v>56</v>
      </c>
      <c r="M1378" s="151" t="str">
        <f t="shared" si="67"/>
        <v>/</v>
      </c>
      <c r="N1378" s="151" t="str">
        <f t="shared" si="68"/>
        <v/>
      </c>
      <c r="Q1378" s="239" t="str">
        <f t="shared" ca="1" si="66"/>
        <v/>
      </c>
    </row>
    <row r="1379" spans="3:17" ht="15.75" hidden="1" customHeight="1" outlineLevel="1" x14ac:dyDescent="0.25">
      <c r="C1379" s="207"/>
      <c r="D1379" s="196">
        <v>42397</v>
      </c>
      <c r="E1379" s="101" t="s">
        <v>25</v>
      </c>
      <c r="F1379" s="216" t="s">
        <v>50</v>
      </c>
      <c r="G1379" s="3" t="s">
        <v>56</v>
      </c>
      <c r="H1379" s="3" t="s">
        <v>56</v>
      </c>
      <c r="M1379" s="151" t="str">
        <f t="shared" si="67"/>
        <v/>
      </c>
      <c r="N1379" s="151" t="str">
        <f t="shared" si="68"/>
        <v>/</v>
      </c>
      <c r="Q1379" s="239" t="str">
        <f t="shared" ca="1" si="66"/>
        <v/>
      </c>
    </row>
    <row r="1380" spans="3:17" ht="15.75" hidden="1" customHeight="1" outlineLevel="1" x14ac:dyDescent="0.25">
      <c r="C1380" s="207"/>
      <c r="D1380" s="196">
        <v>42400</v>
      </c>
      <c r="E1380" s="101" t="s">
        <v>644</v>
      </c>
      <c r="F1380" s="216" t="s">
        <v>50</v>
      </c>
      <c r="G1380" s="3" t="s">
        <v>56</v>
      </c>
      <c r="H1380" s="3" t="s">
        <v>56</v>
      </c>
      <c r="M1380" s="151" t="str">
        <f t="shared" si="67"/>
        <v/>
      </c>
      <c r="N1380" s="151" t="str">
        <f t="shared" si="68"/>
        <v>/</v>
      </c>
      <c r="Q1380" s="239" t="str">
        <f t="shared" ca="1" si="66"/>
        <v/>
      </c>
    </row>
    <row r="1381" spans="3:17" ht="15.75" hidden="1" customHeight="1" outlineLevel="1" x14ac:dyDescent="0.25">
      <c r="C1381" s="208"/>
      <c r="D1381" s="196">
        <v>42401</v>
      </c>
      <c r="E1381" s="101" t="s">
        <v>20</v>
      </c>
      <c r="F1381" s="216" t="s">
        <v>49</v>
      </c>
      <c r="G1381" s="3" t="s">
        <v>56</v>
      </c>
      <c r="H1381" s="3" t="s">
        <v>56</v>
      </c>
      <c r="M1381" s="151" t="str">
        <f t="shared" si="67"/>
        <v>/</v>
      </c>
      <c r="N1381" s="151" t="str">
        <f t="shared" si="68"/>
        <v/>
      </c>
      <c r="Q1381" s="239" t="str">
        <f t="shared" ca="1" si="66"/>
        <v/>
      </c>
    </row>
    <row r="1382" spans="3:17" ht="15.75" hidden="1" customHeight="1" outlineLevel="1" x14ac:dyDescent="0.25">
      <c r="C1382" s="208"/>
      <c r="D1382" s="196">
        <v>42403</v>
      </c>
      <c r="E1382" s="101" t="s">
        <v>8</v>
      </c>
      <c r="F1382" s="216" t="s">
        <v>49</v>
      </c>
      <c r="G1382" s="3" t="s">
        <v>56</v>
      </c>
      <c r="H1382" s="3" t="s">
        <v>56</v>
      </c>
      <c r="M1382" s="151" t="str">
        <f t="shared" si="67"/>
        <v>/</v>
      </c>
      <c r="N1382" s="151" t="str">
        <f t="shared" si="68"/>
        <v/>
      </c>
      <c r="Q1382" s="239" t="str">
        <f t="shared" ca="1" si="66"/>
        <v/>
      </c>
    </row>
    <row r="1383" spans="3:17" ht="15.75" hidden="1" customHeight="1" outlineLevel="1" x14ac:dyDescent="0.25">
      <c r="C1383" s="208"/>
      <c r="D1383" s="196">
        <v>42404</v>
      </c>
      <c r="E1383" s="101" t="s">
        <v>46</v>
      </c>
      <c r="F1383" s="216" t="s">
        <v>50</v>
      </c>
      <c r="G1383" s="3" t="s">
        <v>56</v>
      </c>
      <c r="H1383" s="3" t="s">
        <v>56</v>
      </c>
      <c r="M1383" s="151" t="str">
        <f t="shared" si="67"/>
        <v/>
      </c>
      <c r="N1383" s="151" t="str">
        <f t="shared" si="68"/>
        <v>/</v>
      </c>
      <c r="Q1383" s="239" t="str">
        <f t="shared" ca="1" si="66"/>
        <v/>
      </c>
    </row>
    <row r="1384" spans="3:17" ht="15.75" hidden="1" customHeight="1" outlineLevel="1" x14ac:dyDescent="0.25">
      <c r="C1384" s="208"/>
      <c r="D1384" s="196">
        <v>42406</v>
      </c>
      <c r="E1384" s="101" t="s">
        <v>645</v>
      </c>
      <c r="F1384" s="216" t="s">
        <v>49</v>
      </c>
      <c r="G1384" s="3" t="s">
        <v>56</v>
      </c>
      <c r="H1384" s="3" t="s">
        <v>56</v>
      </c>
      <c r="M1384" s="151" t="str">
        <f t="shared" si="67"/>
        <v>/</v>
      </c>
      <c r="N1384" s="151" t="str">
        <f t="shared" si="68"/>
        <v/>
      </c>
      <c r="Q1384" s="239" t="str">
        <f t="shared" ca="1" si="66"/>
        <v/>
      </c>
    </row>
    <row r="1385" spans="3:17" ht="15.75" hidden="1" customHeight="1" outlineLevel="1" x14ac:dyDescent="0.25">
      <c r="C1385" s="208"/>
      <c r="D1385" s="196">
        <v>42408</v>
      </c>
      <c r="E1385" s="101" t="s">
        <v>0</v>
      </c>
      <c r="F1385" s="216" t="s">
        <v>50</v>
      </c>
      <c r="G1385" s="3" t="s">
        <v>56</v>
      </c>
      <c r="H1385" s="3" t="s">
        <v>56</v>
      </c>
      <c r="M1385" s="151" t="str">
        <f t="shared" si="67"/>
        <v/>
      </c>
      <c r="N1385" s="151" t="str">
        <f t="shared" si="68"/>
        <v>/</v>
      </c>
      <c r="Q1385" s="239" t="str">
        <f t="shared" ca="1" si="66"/>
        <v/>
      </c>
    </row>
    <row r="1386" spans="3:17" ht="15.75" hidden="1" customHeight="1" outlineLevel="1" x14ac:dyDescent="0.25">
      <c r="C1386" s="208"/>
      <c r="D1386" s="196">
        <v>42410</v>
      </c>
      <c r="E1386" s="101" t="s">
        <v>9</v>
      </c>
      <c r="F1386" s="216" t="s">
        <v>50</v>
      </c>
      <c r="G1386" s="3" t="s">
        <v>56</v>
      </c>
      <c r="H1386" s="3" t="s">
        <v>56</v>
      </c>
      <c r="M1386" s="151" t="str">
        <f t="shared" si="67"/>
        <v/>
      </c>
      <c r="N1386" s="151" t="str">
        <f t="shared" si="68"/>
        <v>/</v>
      </c>
      <c r="Q1386" s="239" t="str">
        <f t="shared" ca="1" si="66"/>
        <v/>
      </c>
    </row>
    <row r="1387" spans="3:17" ht="15.75" hidden="1" customHeight="1" outlineLevel="1" x14ac:dyDescent="0.25">
      <c r="C1387" s="208"/>
      <c r="D1387" s="196">
        <v>42411</v>
      </c>
      <c r="E1387" s="101" t="s">
        <v>4</v>
      </c>
      <c r="F1387" s="216" t="s">
        <v>50</v>
      </c>
      <c r="G1387" s="3" t="s">
        <v>56</v>
      </c>
      <c r="H1387" s="3" t="s">
        <v>56</v>
      </c>
      <c r="M1387" s="151" t="str">
        <f t="shared" si="67"/>
        <v/>
      </c>
      <c r="N1387" s="151" t="str">
        <f t="shared" si="68"/>
        <v>/</v>
      </c>
      <c r="Q1387" s="239" t="str">
        <f t="shared" ref="Q1387:Q1450" ca="1" si="69">IF(D1387=TODAY(),1,"")</f>
        <v/>
      </c>
    </row>
    <row r="1388" spans="3:17" ht="15.75" hidden="1" customHeight="1" outlineLevel="1" x14ac:dyDescent="0.25">
      <c r="C1388" s="208"/>
      <c r="D1388" s="196">
        <v>42413</v>
      </c>
      <c r="E1388" s="101" t="s">
        <v>16</v>
      </c>
      <c r="F1388" s="216" t="s">
        <v>49</v>
      </c>
      <c r="G1388" s="3" t="s">
        <v>56</v>
      </c>
      <c r="H1388" s="3" t="s">
        <v>56</v>
      </c>
      <c r="M1388" s="151" t="str">
        <f t="shared" si="67"/>
        <v>/</v>
      </c>
      <c r="N1388" s="151" t="str">
        <f t="shared" si="68"/>
        <v/>
      </c>
      <c r="Q1388" s="239" t="str">
        <f t="shared" ca="1" si="69"/>
        <v/>
      </c>
    </row>
    <row r="1389" spans="3:17" ht="15.75" hidden="1" customHeight="1" outlineLevel="1" x14ac:dyDescent="0.25">
      <c r="C1389" s="208"/>
      <c r="D1389" s="196">
        <v>42415</v>
      </c>
      <c r="E1389" s="101" t="s">
        <v>21</v>
      </c>
      <c r="F1389" s="216" t="s">
        <v>49</v>
      </c>
      <c r="G1389" s="3" t="s">
        <v>56</v>
      </c>
      <c r="H1389" s="3" t="s">
        <v>56</v>
      </c>
      <c r="M1389" s="151" t="str">
        <f t="shared" si="67"/>
        <v>/</v>
      </c>
      <c r="N1389" s="151" t="str">
        <f t="shared" si="68"/>
        <v/>
      </c>
      <c r="Q1389" s="239" t="str">
        <f t="shared" ca="1" si="69"/>
        <v/>
      </c>
    </row>
    <row r="1390" spans="3:17" ht="15.75" hidden="1" customHeight="1" outlineLevel="1" x14ac:dyDescent="0.25">
      <c r="C1390" s="208"/>
      <c r="D1390" s="196">
        <v>42423</v>
      </c>
      <c r="E1390" s="101" t="s">
        <v>26</v>
      </c>
      <c r="F1390" s="216" t="s">
        <v>50</v>
      </c>
      <c r="G1390" s="3" t="s">
        <v>56</v>
      </c>
      <c r="H1390" s="3" t="s">
        <v>56</v>
      </c>
      <c r="M1390" s="151" t="str">
        <f t="shared" si="67"/>
        <v/>
      </c>
      <c r="N1390" s="151" t="str">
        <f t="shared" si="68"/>
        <v>/</v>
      </c>
      <c r="Q1390" s="239" t="str">
        <f t="shared" ca="1" si="69"/>
        <v/>
      </c>
    </row>
    <row r="1391" spans="3:17" ht="15.75" hidden="1" customHeight="1" outlineLevel="1" x14ac:dyDescent="0.25">
      <c r="C1391" s="208"/>
      <c r="D1391" s="196">
        <v>42424</v>
      </c>
      <c r="E1391" s="101" t="s">
        <v>45</v>
      </c>
      <c r="F1391" s="216" t="s">
        <v>49</v>
      </c>
      <c r="G1391" s="3" t="s">
        <v>56</v>
      </c>
      <c r="H1391" s="3" t="s">
        <v>56</v>
      </c>
      <c r="M1391" s="151" t="str">
        <f t="shared" si="67"/>
        <v>/</v>
      </c>
      <c r="N1391" s="151" t="str">
        <f t="shared" si="68"/>
        <v/>
      </c>
      <c r="Q1391" s="239" t="str">
        <f t="shared" ca="1" si="69"/>
        <v/>
      </c>
    </row>
    <row r="1392" spans="3:17" ht="15.75" hidden="1" customHeight="1" outlineLevel="1" x14ac:dyDescent="0.25">
      <c r="C1392" s="208"/>
      <c r="D1392" s="196">
        <v>42426</v>
      </c>
      <c r="E1392" s="101" t="s">
        <v>20</v>
      </c>
      <c r="F1392" s="216" t="s">
        <v>49</v>
      </c>
      <c r="G1392" s="3" t="s">
        <v>56</v>
      </c>
      <c r="H1392" s="3" t="s">
        <v>56</v>
      </c>
      <c r="M1392" s="151" t="str">
        <f t="shared" si="67"/>
        <v>/</v>
      </c>
      <c r="N1392" s="151" t="str">
        <f t="shared" si="68"/>
        <v/>
      </c>
      <c r="Q1392" s="239" t="str">
        <f t="shared" ca="1" si="69"/>
        <v/>
      </c>
    </row>
    <row r="1393" spans="3:17" ht="15.75" hidden="1" customHeight="1" outlineLevel="1" x14ac:dyDescent="0.25">
      <c r="C1393" s="208"/>
      <c r="D1393" s="196">
        <v>42428</v>
      </c>
      <c r="E1393" s="101" t="s">
        <v>2</v>
      </c>
      <c r="F1393" s="216" t="s">
        <v>50</v>
      </c>
      <c r="G1393" s="3" t="s">
        <v>56</v>
      </c>
      <c r="H1393" s="3" t="s">
        <v>56</v>
      </c>
      <c r="M1393" s="151" t="str">
        <f t="shared" si="67"/>
        <v/>
      </c>
      <c r="N1393" s="151" t="str">
        <f t="shared" si="68"/>
        <v>/</v>
      </c>
      <c r="Q1393" s="239" t="str">
        <f t="shared" ca="1" si="69"/>
        <v/>
      </c>
    </row>
    <row r="1394" spans="3:17" ht="15.75" hidden="1" customHeight="1" outlineLevel="1" x14ac:dyDescent="0.25">
      <c r="C1394" s="207"/>
      <c r="D1394" s="196">
        <v>42430</v>
      </c>
      <c r="E1394" s="101" t="s">
        <v>8</v>
      </c>
      <c r="F1394" s="216" t="s">
        <v>50</v>
      </c>
      <c r="G1394" s="3" t="s">
        <v>56</v>
      </c>
      <c r="H1394" s="3" t="s">
        <v>56</v>
      </c>
      <c r="M1394" s="151" t="str">
        <f t="shared" si="67"/>
        <v/>
      </c>
      <c r="N1394" s="151" t="str">
        <f t="shared" si="68"/>
        <v>/</v>
      </c>
      <c r="Q1394" s="239" t="str">
        <f t="shared" ca="1" si="69"/>
        <v/>
      </c>
    </row>
    <row r="1395" spans="3:17" ht="15.75" hidden="1" customHeight="1" outlineLevel="1" x14ac:dyDescent="0.25">
      <c r="C1395" s="207"/>
      <c r="D1395" s="196">
        <v>42433</v>
      </c>
      <c r="E1395" s="101" t="s">
        <v>3</v>
      </c>
      <c r="F1395" s="216" t="s">
        <v>49</v>
      </c>
      <c r="G1395" s="3" t="s">
        <v>56</v>
      </c>
      <c r="H1395" s="3" t="s">
        <v>56</v>
      </c>
      <c r="M1395" s="151" t="str">
        <f t="shared" si="67"/>
        <v>/</v>
      </c>
      <c r="N1395" s="151" t="str">
        <f t="shared" si="68"/>
        <v/>
      </c>
      <c r="Q1395" s="239" t="str">
        <f t="shared" ca="1" si="69"/>
        <v/>
      </c>
    </row>
    <row r="1396" spans="3:17" ht="15.75" hidden="1" customHeight="1" outlineLevel="1" x14ac:dyDescent="0.25">
      <c r="C1396" s="207"/>
      <c r="D1396" s="196">
        <v>42435</v>
      </c>
      <c r="E1396" s="101" t="s">
        <v>26</v>
      </c>
      <c r="F1396" s="216" t="s">
        <v>49</v>
      </c>
      <c r="G1396" s="3" t="s">
        <v>56</v>
      </c>
      <c r="H1396" s="3" t="s">
        <v>56</v>
      </c>
      <c r="M1396" s="151" t="str">
        <f t="shared" si="67"/>
        <v>/</v>
      </c>
      <c r="N1396" s="151" t="str">
        <f t="shared" si="68"/>
        <v/>
      </c>
      <c r="Q1396" s="239" t="str">
        <f t="shared" ca="1" si="69"/>
        <v/>
      </c>
    </row>
    <row r="1397" spans="3:17" ht="15.75" hidden="1" customHeight="1" outlineLevel="1" x14ac:dyDescent="0.25">
      <c r="C1397" s="207"/>
      <c r="D1397" s="196">
        <v>42437</v>
      </c>
      <c r="E1397" s="101" t="s">
        <v>13</v>
      </c>
      <c r="F1397" s="216" t="s">
        <v>49</v>
      </c>
      <c r="G1397" s="3" t="s">
        <v>56</v>
      </c>
      <c r="H1397" s="3" t="s">
        <v>56</v>
      </c>
      <c r="M1397" s="151" t="str">
        <f t="shared" si="67"/>
        <v>/</v>
      </c>
      <c r="N1397" s="151" t="str">
        <f t="shared" si="68"/>
        <v/>
      </c>
      <c r="Q1397" s="239" t="str">
        <f t="shared" ca="1" si="69"/>
        <v/>
      </c>
    </row>
    <row r="1398" spans="3:17" ht="15.75" hidden="1" customHeight="1" outlineLevel="1" x14ac:dyDescent="0.25">
      <c r="C1398" s="207"/>
      <c r="D1398" s="196">
        <v>42439</v>
      </c>
      <c r="E1398" s="101" t="s">
        <v>1</v>
      </c>
      <c r="F1398" s="216" t="s">
        <v>49</v>
      </c>
      <c r="G1398" s="3" t="s">
        <v>56</v>
      </c>
      <c r="H1398" s="3" t="s">
        <v>56</v>
      </c>
      <c r="M1398" s="151" t="str">
        <f t="shared" si="67"/>
        <v>/</v>
      </c>
      <c r="N1398" s="151" t="str">
        <f t="shared" si="68"/>
        <v/>
      </c>
      <c r="Q1398" s="239" t="str">
        <f t="shared" ca="1" si="69"/>
        <v/>
      </c>
    </row>
    <row r="1399" spans="3:17" ht="15.75" hidden="1" customHeight="1" outlineLevel="1" x14ac:dyDescent="0.25">
      <c r="C1399" s="207"/>
      <c r="D1399" s="196">
        <v>42440</v>
      </c>
      <c r="E1399" s="101" t="s">
        <v>26</v>
      </c>
      <c r="F1399" s="216" t="s">
        <v>50</v>
      </c>
      <c r="G1399" s="3" t="s">
        <v>56</v>
      </c>
      <c r="H1399" s="3" t="s">
        <v>56</v>
      </c>
      <c r="M1399" s="151" t="str">
        <f t="shared" si="67"/>
        <v/>
      </c>
      <c r="N1399" s="151" t="str">
        <f t="shared" si="68"/>
        <v>/</v>
      </c>
      <c r="Q1399" s="239" t="str">
        <f t="shared" ca="1" si="69"/>
        <v/>
      </c>
    </row>
    <row r="1400" spans="3:17" ht="15.75" hidden="1" customHeight="1" outlineLevel="1" x14ac:dyDescent="0.25">
      <c r="C1400" s="207"/>
      <c r="D1400" s="196">
        <v>42442</v>
      </c>
      <c r="E1400" s="101" t="s">
        <v>644</v>
      </c>
      <c r="F1400" s="216" t="s">
        <v>49</v>
      </c>
      <c r="G1400" s="3" t="s">
        <v>56</v>
      </c>
      <c r="H1400" s="3" t="s">
        <v>56</v>
      </c>
      <c r="M1400" s="151" t="str">
        <f t="shared" si="67"/>
        <v>/</v>
      </c>
      <c r="N1400" s="151" t="str">
        <f t="shared" si="68"/>
        <v/>
      </c>
      <c r="Q1400" s="239" t="str">
        <f t="shared" ca="1" si="69"/>
        <v/>
      </c>
    </row>
    <row r="1401" spans="3:17" ht="15.75" hidden="1" customHeight="1" outlineLevel="1" x14ac:dyDescent="0.25">
      <c r="C1401" s="207"/>
      <c r="D1401" s="196">
        <v>42445</v>
      </c>
      <c r="E1401" s="101" t="s">
        <v>18</v>
      </c>
      <c r="F1401" s="216" t="s">
        <v>49</v>
      </c>
      <c r="G1401" s="3" t="s">
        <v>56</v>
      </c>
      <c r="H1401" s="3" t="s">
        <v>56</v>
      </c>
      <c r="M1401" s="151" t="str">
        <f t="shared" si="67"/>
        <v>/</v>
      </c>
      <c r="N1401" s="151" t="str">
        <f t="shared" si="68"/>
        <v/>
      </c>
      <c r="Q1401" s="239" t="str">
        <f t="shared" ca="1" si="69"/>
        <v/>
      </c>
    </row>
    <row r="1402" spans="3:17" ht="15.75" hidden="1" customHeight="1" outlineLevel="1" x14ac:dyDescent="0.25">
      <c r="C1402" s="207"/>
      <c r="D1402" s="196">
        <v>42447</v>
      </c>
      <c r="E1402" s="101" t="s">
        <v>17</v>
      </c>
      <c r="F1402" s="216" t="s">
        <v>49</v>
      </c>
      <c r="G1402" s="3" t="s">
        <v>56</v>
      </c>
      <c r="H1402" s="3" t="s">
        <v>56</v>
      </c>
      <c r="M1402" s="151" t="str">
        <f t="shared" si="67"/>
        <v>/</v>
      </c>
      <c r="N1402" s="151" t="str">
        <f t="shared" si="68"/>
        <v/>
      </c>
      <c r="Q1402" s="239" t="str">
        <f t="shared" ca="1" si="69"/>
        <v/>
      </c>
    </row>
    <row r="1403" spans="3:17" ht="15.75" hidden="1" customHeight="1" outlineLevel="1" x14ac:dyDescent="0.25">
      <c r="C1403" s="207"/>
      <c r="D1403" s="196">
        <v>42449</v>
      </c>
      <c r="E1403" s="101" t="s">
        <v>17</v>
      </c>
      <c r="F1403" s="216" t="s">
        <v>50</v>
      </c>
      <c r="G1403" s="3" t="s">
        <v>56</v>
      </c>
      <c r="H1403" s="3" t="s">
        <v>56</v>
      </c>
      <c r="M1403" s="151" t="str">
        <f t="shared" si="67"/>
        <v/>
      </c>
      <c r="N1403" s="151" t="str">
        <f t="shared" si="68"/>
        <v>/</v>
      </c>
      <c r="Q1403" s="239" t="str">
        <f t="shared" ca="1" si="69"/>
        <v/>
      </c>
    </row>
    <row r="1404" spans="3:17" ht="15.75" hidden="1" customHeight="1" outlineLevel="1" x14ac:dyDescent="0.25">
      <c r="C1404" s="207"/>
      <c r="D1404" s="196">
        <v>42451</v>
      </c>
      <c r="E1404" s="101" t="s">
        <v>4</v>
      </c>
      <c r="F1404" s="216" t="s">
        <v>49</v>
      </c>
      <c r="G1404" s="3" t="s">
        <v>56</v>
      </c>
      <c r="H1404" s="3" t="s">
        <v>56</v>
      </c>
      <c r="M1404" s="151" t="str">
        <f t="shared" si="67"/>
        <v>/</v>
      </c>
      <c r="N1404" s="151" t="str">
        <f t="shared" si="68"/>
        <v/>
      </c>
      <c r="Q1404" s="239" t="str">
        <f t="shared" ca="1" si="69"/>
        <v/>
      </c>
    </row>
    <row r="1405" spans="3:17" ht="15.75" hidden="1" customHeight="1" outlineLevel="1" x14ac:dyDescent="0.25">
      <c r="C1405" s="207"/>
      <c r="D1405" s="196">
        <v>42453</v>
      </c>
      <c r="E1405" s="101" t="s">
        <v>7</v>
      </c>
      <c r="F1405" s="216" t="s">
        <v>50</v>
      </c>
      <c r="G1405" s="3" t="s">
        <v>56</v>
      </c>
      <c r="H1405" s="3" t="s">
        <v>56</v>
      </c>
      <c r="M1405" s="151" t="str">
        <f t="shared" si="67"/>
        <v/>
      </c>
      <c r="N1405" s="151" t="str">
        <f t="shared" si="68"/>
        <v>/</v>
      </c>
      <c r="Q1405" s="239" t="str">
        <f t="shared" ca="1" si="69"/>
        <v/>
      </c>
    </row>
    <row r="1406" spans="3:17" ht="15.75" hidden="1" customHeight="1" outlineLevel="1" x14ac:dyDescent="0.25">
      <c r="C1406" s="207"/>
      <c r="D1406" s="196">
        <v>42455</v>
      </c>
      <c r="E1406" s="101" t="s">
        <v>22</v>
      </c>
      <c r="F1406" s="216" t="s">
        <v>49</v>
      </c>
      <c r="G1406" s="3" t="s">
        <v>56</v>
      </c>
      <c r="H1406" s="3" t="s">
        <v>56</v>
      </c>
      <c r="M1406" s="151" t="str">
        <f t="shared" si="67"/>
        <v>/</v>
      </c>
      <c r="N1406" s="151" t="str">
        <f t="shared" si="68"/>
        <v/>
      </c>
      <c r="Q1406" s="239" t="str">
        <f t="shared" ca="1" si="69"/>
        <v/>
      </c>
    </row>
    <row r="1407" spans="3:17" ht="15.75" hidden="1" customHeight="1" outlineLevel="1" x14ac:dyDescent="0.25">
      <c r="C1407" s="207"/>
      <c r="D1407" s="196">
        <v>42457</v>
      </c>
      <c r="E1407" s="101" t="s">
        <v>24</v>
      </c>
      <c r="F1407" s="216" t="s">
        <v>50</v>
      </c>
      <c r="G1407" s="3" t="s">
        <v>56</v>
      </c>
      <c r="H1407" s="3" t="s">
        <v>56</v>
      </c>
      <c r="M1407" s="151" t="str">
        <f t="shared" si="67"/>
        <v/>
      </c>
      <c r="N1407" s="151" t="str">
        <f t="shared" si="68"/>
        <v>/</v>
      </c>
      <c r="Q1407" s="239" t="str">
        <f t="shared" ca="1" si="69"/>
        <v/>
      </c>
    </row>
    <row r="1408" spans="3:17" ht="15.75" hidden="1" customHeight="1" outlineLevel="1" x14ac:dyDescent="0.25">
      <c r="C1408" s="207"/>
      <c r="D1408" s="196">
        <v>42460</v>
      </c>
      <c r="E1408" s="101" t="s">
        <v>3</v>
      </c>
      <c r="F1408" s="216" t="s">
        <v>50</v>
      </c>
      <c r="G1408" s="3" t="s">
        <v>56</v>
      </c>
      <c r="H1408" s="3" t="s">
        <v>56</v>
      </c>
      <c r="M1408" s="151" t="str">
        <f t="shared" si="67"/>
        <v/>
      </c>
      <c r="N1408" s="151" t="str">
        <f t="shared" si="68"/>
        <v>/</v>
      </c>
      <c r="Q1408" s="239" t="str">
        <f t="shared" ca="1" si="69"/>
        <v/>
      </c>
    </row>
    <row r="1409" spans="2:17" ht="15.75" hidden="1" customHeight="1" outlineLevel="1" x14ac:dyDescent="0.25">
      <c r="C1409" s="208"/>
      <c r="D1409" s="196">
        <v>42462</v>
      </c>
      <c r="E1409" s="101" t="s">
        <v>6</v>
      </c>
      <c r="F1409" s="216" t="s">
        <v>50</v>
      </c>
      <c r="G1409" s="3" t="s">
        <v>56</v>
      </c>
      <c r="H1409" s="3" t="s">
        <v>56</v>
      </c>
      <c r="M1409" s="151" t="str">
        <f t="shared" si="67"/>
        <v/>
      </c>
      <c r="N1409" s="151" t="str">
        <f t="shared" si="68"/>
        <v>/</v>
      </c>
      <c r="Q1409" s="239" t="str">
        <f t="shared" ca="1" si="69"/>
        <v/>
      </c>
    </row>
    <row r="1410" spans="2:17" ht="15.75" hidden="1" customHeight="1" outlineLevel="1" x14ac:dyDescent="0.25">
      <c r="C1410" s="208"/>
      <c r="D1410" s="196">
        <v>42464</v>
      </c>
      <c r="E1410" s="101" t="s">
        <v>22</v>
      </c>
      <c r="F1410" s="216" t="s">
        <v>50</v>
      </c>
      <c r="G1410" s="3" t="s">
        <v>56</v>
      </c>
      <c r="H1410" s="3" t="s">
        <v>56</v>
      </c>
      <c r="M1410" s="151" t="str">
        <f t="shared" si="67"/>
        <v/>
      </c>
      <c r="N1410" s="151" t="str">
        <f t="shared" si="68"/>
        <v>/</v>
      </c>
      <c r="Q1410" s="239" t="str">
        <f t="shared" ca="1" si="69"/>
        <v/>
      </c>
    </row>
    <row r="1411" spans="2:17" ht="15.75" hidden="1" customHeight="1" outlineLevel="1" x14ac:dyDescent="0.25">
      <c r="C1411" s="208"/>
      <c r="D1411" s="196">
        <v>42465</v>
      </c>
      <c r="E1411" s="101" t="s">
        <v>17</v>
      </c>
      <c r="F1411" s="216" t="s">
        <v>50</v>
      </c>
      <c r="G1411" s="3" t="s">
        <v>56</v>
      </c>
      <c r="H1411" s="3" t="s">
        <v>56</v>
      </c>
      <c r="M1411" s="151" t="str">
        <f t="shared" si="67"/>
        <v/>
      </c>
      <c r="N1411" s="151" t="str">
        <f t="shared" si="68"/>
        <v>/</v>
      </c>
      <c r="Q1411" s="239" t="str">
        <f t="shared" ca="1" si="69"/>
        <v/>
      </c>
    </row>
    <row r="1412" spans="2:17" ht="15.75" hidden="1" customHeight="1" outlineLevel="1" x14ac:dyDescent="0.25">
      <c r="C1412" s="208"/>
      <c r="D1412" s="196">
        <v>42467</v>
      </c>
      <c r="E1412" s="101" t="s">
        <v>22</v>
      </c>
      <c r="F1412" s="213" t="s">
        <v>49</v>
      </c>
      <c r="G1412" s="3" t="s">
        <v>56</v>
      </c>
      <c r="H1412" s="3" t="s">
        <v>56</v>
      </c>
      <c r="M1412" s="151" t="str">
        <f t="shared" si="67"/>
        <v>/</v>
      </c>
      <c r="N1412" s="151" t="str">
        <f t="shared" si="68"/>
        <v/>
      </c>
      <c r="Q1412" s="239" t="str">
        <f t="shared" ca="1" si="69"/>
        <v/>
      </c>
    </row>
    <row r="1413" spans="2:17" ht="15.75" hidden="1" customHeight="1" outlineLevel="1" x14ac:dyDescent="0.25">
      <c r="C1413" s="208"/>
      <c r="D1413" s="196">
        <v>42469</v>
      </c>
      <c r="E1413" s="101" t="s">
        <v>23</v>
      </c>
      <c r="F1413" s="216" t="s">
        <v>49</v>
      </c>
      <c r="G1413" s="3" t="s">
        <v>56</v>
      </c>
      <c r="H1413" s="3" t="s">
        <v>56</v>
      </c>
      <c r="M1413" s="151" t="str">
        <f t="shared" si="67"/>
        <v>/</v>
      </c>
      <c r="N1413" s="151" t="str">
        <f t="shared" si="68"/>
        <v/>
      </c>
      <c r="Q1413" s="239" t="str">
        <f t="shared" ca="1" si="69"/>
        <v/>
      </c>
    </row>
    <row r="1414" spans="2:17" ht="15.75" hidden="1" customHeight="1" outlineLevel="1" x14ac:dyDescent="0.25">
      <c r="C1414" s="208"/>
      <c r="D1414" s="196">
        <v>42471</v>
      </c>
      <c r="E1414" s="101" t="s">
        <v>645</v>
      </c>
      <c r="F1414" s="216" t="s">
        <v>50</v>
      </c>
      <c r="G1414" s="3" t="s">
        <v>56</v>
      </c>
      <c r="H1414" s="3" t="s">
        <v>56</v>
      </c>
      <c r="M1414" s="151" t="str">
        <f t="shared" si="67"/>
        <v/>
      </c>
      <c r="N1414" s="151" t="str">
        <f t="shared" si="68"/>
        <v>/</v>
      </c>
      <c r="Q1414" s="239" t="str">
        <f t="shared" ca="1" si="69"/>
        <v/>
      </c>
    </row>
    <row r="1415" spans="2:17" ht="15.75" hidden="1" customHeight="1" outlineLevel="1" x14ac:dyDescent="0.25">
      <c r="C1415" s="208"/>
      <c r="D1415" s="196">
        <v>42472</v>
      </c>
      <c r="E1415" s="102" t="s">
        <v>23</v>
      </c>
      <c r="F1415" s="217" t="s">
        <v>50</v>
      </c>
      <c r="G1415" s="3" t="s">
        <v>56</v>
      </c>
      <c r="H1415" s="3" t="s">
        <v>56</v>
      </c>
      <c r="M1415" s="151" t="str">
        <f t="shared" ref="M1415:M1478" si="70">IF(F1415="D",H1415,"")</f>
        <v/>
      </c>
      <c r="N1415" s="151" t="str">
        <f t="shared" ref="N1415:N1478" si="71">IF(F1415="E",H1415,"")</f>
        <v>/</v>
      </c>
      <c r="Q1415" s="239" t="str">
        <f t="shared" ca="1" si="69"/>
        <v/>
      </c>
    </row>
    <row r="1416" spans="2:17" collapsed="1" x14ac:dyDescent="0.25">
      <c r="B1416" s="404" t="str">
        <f ca="1">"- "&amp;INDEX(E1417:E1498,MATCH(TODAY(),D1417:D1498,0))</f>
        <v>- New Orleans</v>
      </c>
      <c r="C1416" s="404"/>
      <c r="D1416" s="406" t="s">
        <v>16</v>
      </c>
      <c r="E1416" s="407"/>
      <c r="F1416" s="408"/>
      <c r="H1416" s="3"/>
      <c r="Q1416" s="239" t="str">
        <f t="shared" ca="1" si="69"/>
        <v/>
      </c>
    </row>
    <row r="1417" spans="2:17" ht="16.5" hidden="1" customHeight="1" outlineLevel="1" x14ac:dyDescent="0.25">
      <c r="C1417" s="207"/>
      <c r="D1417" s="196">
        <v>42668</v>
      </c>
      <c r="E1417" s="103" t="s">
        <v>46</v>
      </c>
      <c r="F1417" s="215" t="s">
        <v>49</v>
      </c>
      <c r="G1417" s="3">
        <v>0</v>
      </c>
      <c r="H1417" s="3">
        <v>100</v>
      </c>
      <c r="I1417" s="151">
        <v>21</v>
      </c>
      <c r="J1417" s="151">
        <v>62</v>
      </c>
      <c r="K1417" s="151">
        <v>72</v>
      </c>
      <c r="L1417" s="151">
        <v>47</v>
      </c>
      <c r="M1417" s="151">
        <f t="shared" si="70"/>
        <v>100</v>
      </c>
      <c r="N1417" s="151" t="str">
        <f t="shared" si="71"/>
        <v/>
      </c>
      <c r="O1417" s="151">
        <v>129</v>
      </c>
      <c r="Q1417" s="239" t="str">
        <f t="shared" ca="1" si="69"/>
        <v/>
      </c>
    </row>
    <row r="1418" spans="2:17" ht="15.75" hidden="1" customHeight="1" outlineLevel="1" x14ac:dyDescent="0.25">
      <c r="C1418" s="207"/>
      <c r="D1418" s="196">
        <v>42671</v>
      </c>
      <c r="E1418" s="101" t="s">
        <v>22</v>
      </c>
      <c r="F1418" s="216" t="s">
        <v>50</v>
      </c>
      <c r="G1418" s="3" t="s">
        <v>56</v>
      </c>
      <c r="H1418" s="3" t="s">
        <v>56</v>
      </c>
      <c r="M1418" s="151" t="str">
        <f t="shared" si="70"/>
        <v/>
      </c>
      <c r="N1418" s="151" t="str">
        <f t="shared" si="71"/>
        <v>/</v>
      </c>
      <c r="Q1418" s="239">
        <f t="shared" ca="1" si="69"/>
        <v>1</v>
      </c>
    </row>
    <row r="1419" spans="2:17" ht="15.75" hidden="1" customHeight="1" outlineLevel="1" x14ac:dyDescent="0.25">
      <c r="C1419" s="207"/>
      <c r="D1419" s="196">
        <v>42673</v>
      </c>
      <c r="E1419" s="101" t="s">
        <v>25</v>
      </c>
      <c r="F1419" s="216" t="s">
        <v>50</v>
      </c>
      <c r="G1419" s="3" t="s">
        <v>56</v>
      </c>
      <c r="H1419" s="3" t="s">
        <v>56</v>
      </c>
      <c r="M1419" s="151" t="str">
        <f t="shared" si="70"/>
        <v/>
      </c>
      <c r="N1419" s="151" t="str">
        <f t="shared" si="71"/>
        <v>/</v>
      </c>
      <c r="Q1419" s="239" t="str">
        <f t="shared" ca="1" si="69"/>
        <v/>
      </c>
    </row>
    <row r="1420" spans="2:17" ht="15.75" hidden="1" customHeight="1" outlineLevel="1" x14ac:dyDescent="0.25">
      <c r="C1420" s="207"/>
      <c r="D1420" s="196">
        <v>42675</v>
      </c>
      <c r="E1420" s="101" t="s">
        <v>24</v>
      </c>
      <c r="F1420" s="216" t="s">
        <v>50</v>
      </c>
      <c r="G1420" s="3" t="s">
        <v>56</v>
      </c>
      <c r="H1420" s="3" t="s">
        <v>56</v>
      </c>
      <c r="M1420" s="151" t="str">
        <f t="shared" si="70"/>
        <v/>
      </c>
      <c r="N1420" s="151" t="str">
        <f t="shared" si="71"/>
        <v>/</v>
      </c>
      <c r="Q1420" s="239" t="str">
        <f t="shared" ca="1" si="69"/>
        <v/>
      </c>
    </row>
    <row r="1421" spans="2:17" ht="15.75" hidden="1" customHeight="1" outlineLevel="1" x14ac:dyDescent="0.25">
      <c r="C1421" s="207"/>
      <c r="D1421" s="196">
        <v>42677</v>
      </c>
      <c r="E1421" s="101" t="s">
        <v>23</v>
      </c>
      <c r="F1421" s="216" t="s">
        <v>49</v>
      </c>
      <c r="G1421" s="3" t="s">
        <v>56</v>
      </c>
      <c r="H1421" s="3" t="s">
        <v>56</v>
      </c>
      <c r="M1421" s="151" t="str">
        <f t="shared" si="70"/>
        <v>/</v>
      </c>
      <c r="N1421" s="151" t="str">
        <f t="shared" si="71"/>
        <v/>
      </c>
      <c r="Q1421" s="239" t="str">
        <f t="shared" ca="1" si="69"/>
        <v/>
      </c>
    </row>
    <row r="1422" spans="2:17" ht="15.75" hidden="1" customHeight="1" outlineLevel="1" x14ac:dyDescent="0.25">
      <c r="C1422" s="207"/>
      <c r="D1422" s="196">
        <v>42678</v>
      </c>
      <c r="E1422" s="101" t="s">
        <v>644</v>
      </c>
      <c r="F1422" s="216" t="s">
        <v>50</v>
      </c>
      <c r="G1422" s="3" t="s">
        <v>56</v>
      </c>
      <c r="H1422" s="3" t="s">
        <v>56</v>
      </c>
      <c r="M1422" s="151" t="str">
        <f t="shared" si="70"/>
        <v/>
      </c>
      <c r="N1422" s="151" t="str">
        <f t="shared" si="71"/>
        <v>/</v>
      </c>
      <c r="Q1422" s="239" t="str">
        <f t="shared" ca="1" si="69"/>
        <v/>
      </c>
    </row>
    <row r="1423" spans="2:17" ht="15.75" hidden="1" customHeight="1" outlineLevel="1" x14ac:dyDescent="0.25">
      <c r="C1423" s="207"/>
      <c r="D1423" s="196">
        <v>42681</v>
      </c>
      <c r="E1423" s="101" t="s">
        <v>22</v>
      </c>
      <c r="F1423" s="216" t="s">
        <v>49</v>
      </c>
      <c r="G1423" s="3" t="s">
        <v>56</v>
      </c>
      <c r="H1423" s="3" t="s">
        <v>56</v>
      </c>
      <c r="M1423" s="151" t="str">
        <f t="shared" si="70"/>
        <v>/</v>
      </c>
      <c r="N1423" s="151" t="str">
        <f t="shared" si="71"/>
        <v/>
      </c>
      <c r="Q1423" s="239" t="str">
        <f t="shared" ca="1" si="69"/>
        <v/>
      </c>
    </row>
    <row r="1424" spans="2:17" ht="15.75" hidden="1" customHeight="1" outlineLevel="1" x14ac:dyDescent="0.25">
      <c r="C1424" s="207"/>
      <c r="D1424" s="196">
        <v>42683</v>
      </c>
      <c r="E1424" s="101" t="s">
        <v>645</v>
      </c>
      <c r="F1424" s="216" t="s">
        <v>49</v>
      </c>
      <c r="G1424" s="3" t="s">
        <v>56</v>
      </c>
      <c r="H1424" s="3" t="s">
        <v>56</v>
      </c>
      <c r="M1424" s="151" t="str">
        <f t="shared" si="70"/>
        <v>/</v>
      </c>
      <c r="N1424" s="151" t="str">
        <f t="shared" si="71"/>
        <v/>
      </c>
      <c r="Q1424" s="239" t="str">
        <f t="shared" ca="1" si="69"/>
        <v/>
      </c>
    </row>
    <row r="1425" spans="3:17" ht="15.75" hidden="1" customHeight="1" outlineLevel="1" x14ac:dyDescent="0.25">
      <c r="C1425" s="207"/>
      <c r="D1425" s="196">
        <v>42684</v>
      </c>
      <c r="E1425" s="101" t="s">
        <v>15</v>
      </c>
      <c r="F1425" s="216" t="s">
        <v>50</v>
      </c>
      <c r="G1425" s="3" t="s">
        <v>56</v>
      </c>
      <c r="H1425" s="3" t="s">
        <v>56</v>
      </c>
      <c r="M1425" s="151" t="str">
        <f t="shared" si="70"/>
        <v/>
      </c>
      <c r="N1425" s="151" t="str">
        <f t="shared" si="71"/>
        <v>/</v>
      </c>
      <c r="Q1425" s="239" t="str">
        <f t="shared" ca="1" si="69"/>
        <v/>
      </c>
    </row>
    <row r="1426" spans="3:17" ht="15.75" hidden="1" customHeight="1" outlineLevel="1" x14ac:dyDescent="0.25">
      <c r="C1426" s="207"/>
      <c r="D1426" s="196">
        <v>42687</v>
      </c>
      <c r="E1426" s="101" t="s">
        <v>25</v>
      </c>
      <c r="F1426" s="216" t="s">
        <v>49</v>
      </c>
      <c r="G1426" s="3" t="s">
        <v>56</v>
      </c>
      <c r="H1426" s="3" t="s">
        <v>56</v>
      </c>
      <c r="M1426" s="151" t="str">
        <f t="shared" si="70"/>
        <v>/</v>
      </c>
      <c r="N1426" s="151" t="str">
        <f t="shared" si="71"/>
        <v/>
      </c>
      <c r="Q1426" s="239" t="str">
        <f t="shared" ca="1" si="69"/>
        <v/>
      </c>
    </row>
    <row r="1427" spans="3:17" ht="15.75" hidden="1" customHeight="1" outlineLevel="1" x14ac:dyDescent="0.25">
      <c r="C1427" s="207"/>
      <c r="D1427" s="196">
        <v>42690</v>
      </c>
      <c r="E1427" s="101" t="s">
        <v>12</v>
      </c>
      <c r="F1427" s="216" t="s">
        <v>50</v>
      </c>
      <c r="G1427" s="3" t="s">
        <v>56</v>
      </c>
      <c r="H1427" s="3" t="s">
        <v>56</v>
      </c>
      <c r="M1427" s="151" t="str">
        <f t="shared" si="70"/>
        <v/>
      </c>
      <c r="N1427" s="151" t="str">
        <f t="shared" si="71"/>
        <v>/</v>
      </c>
      <c r="Q1427" s="239" t="str">
        <f t="shared" ca="1" si="69"/>
        <v/>
      </c>
    </row>
    <row r="1428" spans="3:17" ht="15.75" hidden="1" customHeight="1" outlineLevel="1" x14ac:dyDescent="0.25">
      <c r="C1428" s="207"/>
      <c r="D1428" s="196">
        <v>42692</v>
      </c>
      <c r="E1428" s="101" t="s">
        <v>1</v>
      </c>
      <c r="F1428" s="216" t="s">
        <v>50</v>
      </c>
      <c r="G1428" s="3" t="s">
        <v>56</v>
      </c>
      <c r="H1428" s="3" t="s">
        <v>56</v>
      </c>
      <c r="M1428" s="151" t="str">
        <f t="shared" si="70"/>
        <v/>
      </c>
      <c r="N1428" s="151" t="str">
        <f t="shared" si="71"/>
        <v>/</v>
      </c>
      <c r="Q1428" s="239" t="str">
        <f t="shared" ca="1" si="69"/>
        <v/>
      </c>
    </row>
    <row r="1429" spans="3:17" ht="15.75" hidden="1" customHeight="1" outlineLevel="1" x14ac:dyDescent="0.25">
      <c r="C1429" s="207"/>
      <c r="D1429" s="196">
        <v>42693</v>
      </c>
      <c r="E1429" s="101" t="s">
        <v>8</v>
      </c>
      <c r="F1429" s="216" t="s">
        <v>50</v>
      </c>
      <c r="G1429" s="3" t="s">
        <v>56</v>
      </c>
      <c r="H1429" s="3" t="s">
        <v>56</v>
      </c>
      <c r="M1429" s="151" t="str">
        <f t="shared" si="70"/>
        <v/>
      </c>
      <c r="N1429" s="151" t="str">
        <f t="shared" si="71"/>
        <v>/</v>
      </c>
      <c r="Q1429" s="239" t="str">
        <f t="shared" ca="1" si="69"/>
        <v/>
      </c>
    </row>
    <row r="1430" spans="3:17" ht="15.75" hidden="1" customHeight="1" outlineLevel="1" x14ac:dyDescent="0.25">
      <c r="C1430" s="207"/>
      <c r="D1430" s="196">
        <v>42695</v>
      </c>
      <c r="E1430" s="101" t="s">
        <v>7</v>
      </c>
      <c r="F1430" s="216" t="s">
        <v>50</v>
      </c>
      <c r="G1430" s="3" t="s">
        <v>56</v>
      </c>
      <c r="H1430" s="3" t="s">
        <v>56</v>
      </c>
      <c r="M1430" s="151" t="str">
        <f t="shared" si="70"/>
        <v/>
      </c>
      <c r="N1430" s="151" t="str">
        <f t="shared" si="71"/>
        <v>/</v>
      </c>
      <c r="Q1430" s="239" t="str">
        <f t="shared" ca="1" si="69"/>
        <v/>
      </c>
    </row>
    <row r="1431" spans="3:17" ht="15.75" hidden="1" customHeight="1" outlineLevel="1" x14ac:dyDescent="0.25">
      <c r="C1431" s="207"/>
      <c r="D1431" s="196">
        <v>42697</v>
      </c>
      <c r="E1431" s="101" t="s">
        <v>644</v>
      </c>
      <c r="F1431" s="216" t="s">
        <v>49</v>
      </c>
      <c r="G1431" s="3" t="s">
        <v>56</v>
      </c>
      <c r="H1431" s="3" t="s">
        <v>56</v>
      </c>
      <c r="M1431" s="151" t="str">
        <f t="shared" si="70"/>
        <v>/</v>
      </c>
      <c r="N1431" s="151" t="str">
        <f t="shared" si="71"/>
        <v/>
      </c>
      <c r="Q1431" s="239" t="str">
        <f t="shared" ca="1" si="69"/>
        <v/>
      </c>
    </row>
    <row r="1432" spans="3:17" ht="15.75" hidden="1" customHeight="1" outlineLevel="1" x14ac:dyDescent="0.25">
      <c r="C1432" s="207"/>
      <c r="D1432" s="196">
        <v>42699</v>
      </c>
      <c r="E1432" s="101" t="s">
        <v>644</v>
      </c>
      <c r="F1432" s="216" t="s">
        <v>50</v>
      </c>
      <c r="G1432" s="3" t="s">
        <v>56</v>
      </c>
      <c r="H1432" s="3" t="s">
        <v>56</v>
      </c>
      <c r="M1432" s="151" t="str">
        <f t="shared" si="70"/>
        <v/>
      </c>
      <c r="N1432" s="151" t="str">
        <f t="shared" si="71"/>
        <v>/</v>
      </c>
      <c r="Q1432" s="239" t="str">
        <f t="shared" ca="1" si="69"/>
        <v/>
      </c>
    </row>
    <row r="1433" spans="3:17" ht="15.75" hidden="1" customHeight="1" outlineLevel="1" x14ac:dyDescent="0.25">
      <c r="C1433" s="207"/>
      <c r="D1433" s="196">
        <v>42700</v>
      </c>
      <c r="E1433" s="101" t="s">
        <v>21</v>
      </c>
      <c r="F1433" s="216" t="s">
        <v>49</v>
      </c>
      <c r="G1433" s="3" t="s">
        <v>56</v>
      </c>
      <c r="H1433" s="3" t="s">
        <v>56</v>
      </c>
      <c r="M1433" s="151" t="str">
        <f t="shared" si="70"/>
        <v>/</v>
      </c>
      <c r="N1433" s="151" t="str">
        <f t="shared" si="71"/>
        <v/>
      </c>
      <c r="Q1433" s="239" t="str">
        <f t="shared" ca="1" si="69"/>
        <v/>
      </c>
    </row>
    <row r="1434" spans="3:17" ht="15.75" hidden="1" customHeight="1" outlineLevel="1" x14ac:dyDescent="0.25">
      <c r="C1434" s="207"/>
      <c r="D1434" s="196">
        <v>42702</v>
      </c>
      <c r="E1434" s="101" t="s">
        <v>0</v>
      </c>
      <c r="F1434" s="216" t="s">
        <v>49</v>
      </c>
      <c r="G1434" s="3" t="s">
        <v>56</v>
      </c>
      <c r="H1434" s="3" t="s">
        <v>56</v>
      </c>
      <c r="M1434" s="151" t="str">
        <f t="shared" si="70"/>
        <v>/</v>
      </c>
      <c r="N1434" s="151" t="str">
        <f t="shared" si="71"/>
        <v/>
      </c>
      <c r="Q1434" s="239" t="str">
        <f t="shared" ca="1" si="69"/>
        <v/>
      </c>
    </row>
    <row r="1435" spans="3:17" ht="15.75" hidden="1" customHeight="1" outlineLevel="1" x14ac:dyDescent="0.25">
      <c r="C1435" s="208"/>
      <c r="D1435" s="196">
        <v>42705</v>
      </c>
      <c r="E1435" s="101" t="s">
        <v>17</v>
      </c>
      <c r="F1435" s="216" t="s">
        <v>49</v>
      </c>
      <c r="G1435" s="3" t="s">
        <v>56</v>
      </c>
      <c r="H1435" s="3" t="s">
        <v>56</v>
      </c>
      <c r="M1435" s="151" t="str">
        <f t="shared" si="70"/>
        <v>/</v>
      </c>
      <c r="N1435" s="151" t="str">
        <f t="shared" si="71"/>
        <v/>
      </c>
      <c r="Q1435" s="239" t="str">
        <f t="shared" ca="1" si="69"/>
        <v/>
      </c>
    </row>
    <row r="1436" spans="3:17" ht="15.75" hidden="1" customHeight="1" outlineLevel="1" x14ac:dyDescent="0.25">
      <c r="C1436" s="208"/>
      <c r="D1436" s="196">
        <v>42707</v>
      </c>
      <c r="E1436" s="101" t="s">
        <v>25</v>
      </c>
      <c r="F1436" s="216" t="s">
        <v>49</v>
      </c>
      <c r="G1436" s="3" t="s">
        <v>56</v>
      </c>
      <c r="H1436" s="3" t="s">
        <v>56</v>
      </c>
      <c r="M1436" s="151" t="str">
        <f t="shared" si="70"/>
        <v>/</v>
      </c>
      <c r="N1436" s="151" t="str">
        <f t="shared" si="71"/>
        <v/>
      </c>
      <c r="Q1436" s="239" t="str">
        <f t="shared" ca="1" si="69"/>
        <v/>
      </c>
    </row>
    <row r="1437" spans="3:17" ht="15.75" hidden="1" customHeight="1" outlineLevel="1" x14ac:dyDescent="0.25">
      <c r="C1437" s="208"/>
      <c r="D1437" s="196">
        <v>42709</v>
      </c>
      <c r="E1437" s="101" t="s">
        <v>7</v>
      </c>
      <c r="F1437" s="216" t="s">
        <v>49</v>
      </c>
      <c r="G1437" s="3" t="s">
        <v>56</v>
      </c>
      <c r="H1437" s="3" t="s">
        <v>56</v>
      </c>
      <c r="M1437" s="151" t="str">
        <f t="shared" si="70"/>
        <v>/</v>
      </c>
      <c r="N1437" s="151" t="str">
        <f t="shared" si="71"/>
        <v/>
      </c>
      <c r="Q1437" s="239" t="str">
        <f t="shared" ca="1" si="69"/>
        <v/>
      </c>
    </row>
    <row r="1438" spans="3:17" ht="15.75" hidden="1" customHeight="1" outlineLevel="1" x14ac:dyDescent="0.25">
      <c r="C1438" s="208"/>
      <c r="D1438" s="196">
        <v>42711</v>
      </c>
      <c r="E1438" s="101" t="s">
        <v>18</v>
      </c>
      <c r="F1438" s="216" t="s">
        <v>50</v>
      </c>
      <c r="G1438" s="3" t="s">
        <v>56</v>
      </c>
      <c r="H1438" s="3" t="s">
        <v>56</v>
      </c>
      <c r="M1438" s="151" t="str">
        <f t="shared" si="70"/>
        <v/>
      </c>
      <c r="N1438" s="151" t="str">
        <f t="shared" si="71"/>
        <v>/</v>
      </c>
      <c r="Q1438" s="239" t="str">
        <f t="shared" ca="1" si="69"/>
        <v/>
      </c>
    </row>
    <row r="1439" spans="3:17" ht="15.75" hidden="1" customHeight="1" outlineLevel="1" x14ac:dyDescent="0.25">
      <c r="C1439" s="208"/>
      <c r="D1439" s="196">
        <v>42712</v>
      </c>
      <c r="E1439" s="101" t="s">
        <v>28</v>
      </c>
      <c r="F1439" s="216" t="s">
        <v>50</v>
      </c>
      <c r="G1439" s="3" t="s">
        <v>56</v>
      </c>
      <c r="H1439" s="3" t="s">
        <v>56</v>
      </c>
      <c r="M1439" s="151" t="str">
        <f t="shared" si="70"/>
        <v/>
      </c>
      <c r="N1439" s="151" t="str">
        <f t="shared" si="71"/>
        <v>/</v>
      </c>
      <c r="Q1439" s="239" t="str">
        <f t="shared" ca="1" si="69"/>
        <v/>
      </c>
    </row>
    <row r="1440" spans="3:17" ht="15.75" hidden="1" customHeight="1" outlineLevel="1" x14ac:dyDescent="0.25">
      <c r="C1440" s="208"/>
      <c r="D1440" s="196">
        <v>42714</v>
      </c>
      <c r="E1440" s="101" t="s">
        <v>20</v>
      </c>
      <c r="F1440" s="216" t="s">
        <v>50</v>
      </c>
      <c r="G1440" s="3" t="s">
        <v>56</v>
      </c>
      <c r="H1440" s="3" t="s">
        <v>56</v>
      </c>
      <c r="M1440" s="151" t="str">
        <f t="shared" si="70"/>
        <v/>
      </c>
      <c r="N1440" s="151" t="str">
        <f t="shared" si="71"/>
        <v>/</v>
      </c>
      <c r="Q1440" s="239" t="str">
        <f t="shared" ca="1" si="69"/>
        <v/>
      </c>
    </row>
    <row r="1441" spans="3:17" ht="15.75" hidden="1" customHeight="1" outlineLevel="1" x14ac:dyDescent="0.25">
      <c r="C1441" s="208"/>
      <c r="D1441" s="196">
        <v>42715</v>
      </c>
      <c r="E1441" s="101" t="s">
        <v>21</v>
      </c>
      <c r="F1441" s="216" t="s">
        <v>50</v>
      </c>
      <c r="G1441" s="3" t="s">
        <v>56</v>
      </c>
      <c r="H1441" s="3" t="s">
        <v>56</v>
      </c>
      <c r="M1441" s="151" t="str">
        <f t="shared" si="70"/>
        <v/>
      </c>
      <c r="N1441" s="151" t="str">
        <f t="shared" si="71"/>
        <v>/</v>
      </c>
      <c r="Q1441" s="239" t="str">
        <f t="shared" ca="1" si="69"/>
        <v/>
      </c>
    </row>
    <row r="1442" spans="3:17" ht="15.75" hidden="1" customHeight="1" outlineLevel="1" x14ac:dyDescent="0.25">
      <c r="C1442" s="208"/>
      <c r="D1442" s="196">
        <v>42717</v>
      </c>
      <c r="E1442" s="101" t="s">
        <v>22</v>
      </c>
      <c r="F1442" s="216" t="s">
        <v>50</v>
      </c>
      <c r="G1442" s="3" t="s">
        <v>56</v>
      </c>
      <c r="H1442" s="3" t="s">
        <v>56</v>
      </c>
      <c r="M1442" s="151" t="str">
        <f t="shared" si="70"/>
        <v/>
      </c>
      <c r="N1442" s="151" t="str">
        <f t="shared" si="71"/>
        <v>/</v>
      </c>
      <c r="Q1442" s="239" t="str">
        <f t="shared" ca="1" si="69"/>
        <v/>
      </c>
    </row>
    <row r="1443" spans="3:17" ht="15.75" hidden="1" customHeight="1" outlineLevel="1" x14ac:dyDescent="0.25">
      <c r="C1443" s="208"/>
      <c r="D1443" s="196">
        <v>42719</v>
      </c>
      <c r="E1443" s="101" t="s">
        <v>9</v>
      </c>
      <c r="F1443" s="216" t="s">
        <v>49</v>
      </c>
      <c r="G1443" s="3" t="s">
        <v>56</v>
      </c>
      <c r="H1443" s="3" t="s">
        <v>56</v>
      </c>
      <c r="M1443" s="151" t="str">
        <f t="shared" si="70"/>
        <v>/</v>
      </c>
      <c r="N1443" s="151" t="str">
        <f t="shared" si="71"/>
        <v/>
      </c>
      <c r="Q1443" s="239" t="str">
        <f t="shared" ca="1" si="69"/>
        <v/>
      </c>
    </row>
    <row r="1444" spans="3:17" ht="15.75" hidden="1" customHeight="1" outlineLevel="1" x14ac:dyDescent="0.25">
      <c r="C1444" s="208"/>
      <c r="D1444" s="196">
        <v>42721</v>
      </c>
      <c r="E1444" s="101" t="s">
        <v>24</v>
      </c>
      <c r="F1444" s="216" t="s">
        <v>49</v>
      </c>
      <c r="G1444" s="3" t="s">
        <v>56</v>
      </c>
      <c r="H1444" s="3" t="s">
        <v>56</v>
      </c>
      <c r="M1444" s="151" t="str">
        <f t="shared" si="70"/>
        <v>/</v>
      </c>
      <c r="N1444" s="151" t="str">
        <f t="shared" si="71"/>
        <v/>
      </c>
      <c r="Q1444" s="239" t="str">
        <f t="shared" ca="1" si="69"/>
        <v/>
      </c>
    </row>
    <row r="1445" spans="3:17" ht="15.75" hidden="1" customHeight="1" outlineLevel="1" x14ac:dyDescent="0.25">
      <c r="C1445" s="208"/>
      <c r="D1445" s="196">
        <v>42724</v>
      </c>
      <c r="E1445" s="101" t="s">
        <v>28</v>
      </c>
      <c r="F1445" s="216" t="s">
        <v>49</v>
      </c>
      <c r="G1445" s="3" t="s">
        <v>56</v>
      </c>
      <c r="H1445" s="3" t="s">
        <v>56</v>
      </c>
      <c r="M1445" s="151" t="str">
        <f t="shared" si="70"/>
        <v>/</v>
      </c>
      <c r="N1445" s="151" t="str">
        <f t="shared" si="71"/>
        <v/>
      </c>
      <c r="Q1445" s="239" t="str">
        <f t="shared" ca="1" si="69"/>
        <v/>
      </c>
    </row>
    <row r="1446" spans="3:17" ht="15.75" hidden="1" customHeight="1" outlineLevel="1" x14ac:dyDescent="0.25">
      <c r="C1446" s="208"/>
      <c r="D1446" s="196">
        <v>42726</v>
      </c>
      <c r="E1446" s="101" t="s">
        <v>45</v>
      </c>
      <c r="F1446" s="216" t="s">
        <v>50</v>
      </c>
      <c r="G1446" s="3" t="s">
        <v>56</v>
      </c>
      <c r="H1446" s="3" t="s">
        <v>56</v>
      </c>
      <c r="M1446" s="151" t="str">
        <f t="shared" si="70"/>
        <v/>
      </c>
      <c r="N1446" s="151" t="str">
        <f t="shared" si="71"/>
        <v>/</v>
      </c>
      <c r="Q1446" s="239" t="str">
        <f t="shared" ca="1" si="69"/>
        <v/>
      </c>
    </row>
    <row r="1447" spans="3:17" ht="15.75" hidden="1" customHeight="1" outlineLevel="1" x14ac:dyDescent="0.25">
      <c r="C1447" s="208"/>
      <c r="D1447" s="196">
        <v>42727</v>
      </c>
      <c r="E1447" s="101" t="s">
        <v>5</v>
      </c>
      <c r="F1447" s="216" t="s">
        <v>50</v>
      </c>
      <c r="G1447" s="3" t="s">
        <v>56</v>
      </c>
      <c r="H1447" s="3" t="s">
        <v>56</v>
      </c>
      <c r="M1447" s="151" t="str">
        <f t="shared" si="70"/>
        <v/>
      </c>
      <c r="N1447" s="151" t="str">
        <f t="shared" si="71"/>
        <v>/</v>
      </c>
      <c r="Q1447" s="239" t="str">
        <f t="shared" ca="1" si="69"/>
        <v/>
      </c>
    </row>
    <row r="1448" spans="3:17" ht="15.75" hidden="1" customHeight="1" outlineLevel="1" x14ac:dyDescent="0.25">
      <c r="C1448" s="208"/>
      <c r="D1448" s="196">
        <v>42729</v>
      </c>
      <c r="E1448" s="101" t="s">
        <v>4</v>
      </c>
      <c r="F1448" s="216" t="s">
        <v>50</v>
      </c>
      <c r="G1448" s="3" t="s">
        <v>56</v>
      </c>
      <c r="H1448" s="3" t="s">
        <v>56</v>
      </c>
      <c r="M1448" s="151" t="str">
        <f t="shared" si="70"/>
        <v/>
      </c>
      <c r="N1448" s="151" t="str">
        <f t="shared" si="71"/>
        <v>/</v>
      </c>
      <c r="Q1448" s="239" t="str">
        <f t="shared" ca="1" si="69"/>
        <v/>
      </c>
    </row>
    <row r="1449" spans="3:17" ht="15.75" hidden="1" customHeight="1" outlineLevel="1" x14ac:dyDescent="0.25">
      <c r="C1449" s="208"/>
      <c r="D1449" s="196">
        <v>42732</v>
      </c>
      <c r="E1449" s="101" t="s">
        <v>12</v>
      </c>
      <c r="F1449" s="216" t="s">
        <v>49</v>
      </c>
      <c r="G1449" s="3" t="s">
        <v>56</v>
      </c>
      <c r="H1449" s="3" t="s">
        <v>56</v>
      </c>
      <c r="M1449" s="151" t="str">
        <f t="shared" si="70"/>
        <v>/</v>
      </c>
      <c r="N1449" s="151" t="str">
        <f t="shared" si="71"/>
        <v/>
      </c>
      <c r="Q1449" s="239" t="str">
        <f t="shared" ca="1" si="69"/>
        <v/>
      </c>
    </row>
    <row r="1450" spans="3:17" ht="15.75" hidden="1" customHeight="1" outlineLevel="1" x14ac:dyDescent="0.25">
      <c r="C1450" s="208"/>
      <c r="D1450" s="196">
        <v>42734</v>
      </c>
      <c r="E1450" s="101" t="s">
        <v>645</v>
      </c>
      <c r="F1450" s="216" t="s">
        <v>49</v>
      </c>
      <c r="G1450" s="3" t="s">
        <v>56</v>
      </c>
      <c r="H1450" s="3" t="s">
        <v>56</v>
      </c>
      <c r="M1450" s="151" t="str">
        <f t="shared" si="70"/>
        <v>/</v>
      </c>
      <c r="N1450" s="151" t="str">
        <f t="shared" si="71"/>
        <v/>
      </c>
      <c r="Q1450" s="239" t="str">
        <f t="shared" ca="1" si="69"/>
        <v/>
      </c>
    </row>
    <row r="1451" spans="3:17" ht="15.75" hidden="1" customHeight="1" outlineLevel="1" x14ac:dyDescent="0.25">
      <c r="C1451" s="207"/>
      <c r="D1451" s="196">
        <v>42371</v>
      </c>
      <c r="E1451" s="101" t="s">
        <v>15</v>
      </c>
      <c r="F1451" s="216" t="s">
        <v>49</v>
      </c>
      <c r="G1451" s="3" t="s">
        <v>56</v>
      </c>
      <c r="H1451" s="3" t="s">
        <v>56</v>
      </c>
      <c r="M1451" s="151" t="str">
        <f t="shared" si="70"/>
        <v>/</v>
      </c>
      <c r="N1451" s="151" t="str">
        <f t="shared" si="71"/>
        <v/>
      </c>
      <c r="Q1451" s="239" t="str">
        <f t="shared" ref="Q1451:Q1514" ca="1" si="72">IF(D1451=TODAY(),1,"")</f>
        <v/>
      </c>
    </row>
    <row r="1452" spans="3:17" ht="15.75" hidden="1" customHeight="1" outlineLevel="1" x14ac:dyDescent="0.25">
      <c r="C1452" s="207"/>
      <c r="D1452" s="196">
        <v>42373</v>
      </c>
      <c r="E1452" s="101" t="s">
        <v>24</v>
      </c>
      <c r="F1452" s="216" t="s">
        <v>49</v>
      </c>
      <c r="G1452" s="3" t="s">
        <v>56</v>
      </c>
      <c r="H1452" s="3" t="s">
        <v>56</v>
      </c>
      <c r="M1452" s="151" t="str">
        <f t="shared" si="70"/>
        <v>/</v>
      </c>
      <c r="N1452" s="151" t="str">
        <f t="shared" si="71"/>
        <v/>
      </c>
      <c r="Q1452" s="239" t="str">
        <f t="shared" ca="1" si="72"/>
        <v/>
      </c>
    </row>
    <row r="1453" spans="3:17" ht="15.75" hidden="1" customHeight="1" outlineLevel="1" x14ac:dyDescent="0.25">
      <c r="C1453" s="207"/>
      <c r="D1453" s="196">
        <v>42375</v>
      </c>
      <c r="E1453" s="101" t="s">
        <v>20</v>
      </c>
      <c r="F1453" s="216" t="s">
        <v>49</v>
      </c>
      <c r="G1453" s="3" t="s">
        <v>56</v>
      </c>
      <c r="H1453" s="3" t="s">
        <v>56</v>
      </c>
      <c r="M1453" s="151" t="str">
        <f t="shared" si="70"/>
        <v>/</v>
      </c>
      <c r="N1453" s="151" t="str">
        <f t="shared" si="71"/>
        <v/>
      </c>
      <c r="Q1453" s="239" t="str">
        <f t="shared" ca="1" si="72"/>
        <v/>
      </c>
    </row>
    <row r="1454" spans="3:17" ht="15.75" hidden="1" customHeight="1" outlineLevel="1" x14ac:dyDescent="0.25">
      <c r="C1454" s="207"/>
      <c r="D1454" s="196">
        <v>42377</v>
      </c>
      <c r="E1454" s="101" t="s">
        <v>26</v>
      </c>
      <c r="F1454" s="216" t="s">
        <v>50</v>
      </c>
      <c r="G1454" s="3" t="s">
        <v>56</v>
      </c>
      <c r="H1454" s="3" t="s">
        <v>56</v>
      </c>
      <c r="M1454" s="151" t="str">
        <f t="shared" si="70"/>
        <v/>
      </c>
      <c r="N1454" s="151" t="str">
        <f t="shared" si="71"/>
        <v>/</v>
      </c>
      <c r="Q1454" s="239" t="str">
        <f t="shared" ca="1" si="72"/>
        <v/>
      </c>
    </row>
    <row r="1455" spans="3:17" ht="15.75" hidden="1" customHeight="1" outlineLevel="1" x14ac:dyDescent="0.25">
      <c r="C1455" s="207"/>
      <c r="D1455" s="196">
        <v>42379</v>
      </c>
      <c r="E1455" s="101" t="s">
        <v>6</v>
      </c>
      <c r="F1455" s="216" t="s">
        <v>49</v>
      </c>
      <c r="G1455" s="3" t="s">
        <v>56</v>
      </c>
      <c r="H1455" s="3" t="s">
        <v>56</v>
      </c>
      <c r="M1455" s="151" t="str">
        <f t="shared" si="70"/>
        <v>/</v>
      </c>
      <c r="N1455" s="151" t="str">
        <f t="shared" si="71"/>
        <v/>
      </c>
      <c r="Q1455" s="239" t="str">
        <f t="shared" ca="1" si="72"/>
        <v/>
      </c>
    </row>
    <row r="1456" spans="3:17" ht="15.75" hidden="1" customHeight="1" outlineLevel="1" x14ac:dyDescent="0.25">
      <c r="C1456" s="207"/>
      <c r="D1456" s="196">
        <v>42381</v>
      </c>
      <c r="E1456" s="101" t="s">
        <v>5</v>
      </c>
      <c r="F1456" s="216" t="s">
        <v>49</v>
      </c>
      <c r="G1456" s="3" t="s">
        <v>56</v>
      </c>
      <c r="H1456" s="3" t="s">
        <v>56</v>
      </c>
      <c r="M1456" s="151" t="str">
        <f t="shared" si="70"/>
        <v>/</v>
      </c>
      <c r="N1456" s="151" t="str">
        <f t="shared" si="71"/>
        <v/>
      </c>
      <c r="Q1456" s="239" t="str">
        <f t="shared" ca="1" si="72"/>
        <v/>
      </c>
    </row>
    <row r="1457" spans="3:17" ht="15.75" hidden="1" customHeight="1" outlineLevel="1" x14ac:dyDescent="0.25">
      <c r="C1457" s="207"/>
      <c r="D1457" s="196">
        <v>42385</v>
      </c>
      <c r="E1457" s="101" t="s">
        <v>4</v>
      </c>
      <c r="F1457" s="216" t="s">
        <v>49</v>
      </c>
      <c r="G1457" s="3" t="s">
        <v>56</v>
      </c>
      <c r="H1457" s="3" t="s">
        <v>56</v>
      </c>
      <c r="M1457" s="151" t="str">
        <f t="shared" si="70"/>
        <v>/</v>
      </c>
      <c r="N1457" s="151" t="str">
        <f t="shared" si="71"/>
        <v/>
      </c>
      <c r="Q1457" s="239" t="str">
        <f t="shared" ca="1" si="72"/>
        <v/>
      </c>
    </row>
    <row r="1458" spans="3:17" ht="15.75" hidden="1" customHeight="1" outlineLevel="1" x14ac:dyDescent="0.25">
      <c r="C1458" s="207"/>
      <c r="D1458" s="196">
        <v>42387</v>
      </c>
      <c r="E1458" s="101" t="s">
        <v>23</v>
      </c>
      <c r="F1458" s="216" t="s">
        <v>49</v>
      </c>
      <c r="G1458" s="3" t="s">
        <v>56</v>
      </c>
      <c r="H1458" s="3" t="s">
        <v>56</v>
      </c>
      <c r="M1458" s="151" t="str">
        <f t="shared" si="70"/>
        <v>/</v>
      </c>
      <c r="N1458" s="151" t="str">
        <f t="shared" si="71"/>
        <v/>
      </c>
      <c r="Q1458" s="239" t="str">
        <f t="shared" ca="1" si="72"/>
        <v/>
      </c>
    </row>
    <row r="1459" spans="3:17" ht="15.75" hidden="1" customHeight="1" outlineLevel="1" x14ac:dyDescent="0.25">
      <c r="C1459" s="207"/>
      <c r="D1459" s="196">
        <v>42389</v>
      </c>
      <c r="E1459" s="101" t="s">
        <v>17</v>
      </c>
      <c r="F1459" s="216" t="s">
        <v>50</v>
      </c>
      <c r="G1459" s="3" t="s">
        <v>56</v>
      </c>
      <c r="H1459" s="3" t="s">
        <v>56</v>
      </c>
      <c r="M1459" s="151" t="str">
        <f t="shared" si="70"/>
        <v/>
      </c>
      <c r="N1459" s="151" t="str">
        <f t="shared" si="71"/>
        <v>/</v>
      </c>
      <c r="Q1459" s="239" t="str">
        <f t="shared" ca="1" si="72"/>
        <v/>
      </c>
    </row>
    <row r="1460" spans="3:17" ht="15.75" hidden="1" customHeight="1" outlineLevel="1" x14ac:dyDescent="0.25">
      <c r="C1460" s="207"/>
      <c r="D1460" s="196">
        <v>42391</v>
      </c>
      <c r="E1460" s="101" t="s">
        <v>10</v>
      </c>
      <c r="F1460" s="216" t="s">
        <v>50</v>
      </c>
      <c r="G1460" s="3" t="s">
        <v>56</v>
      </c>
      <c r="H1460" s="3" t="s">
        <v>56</v>
      </c>
      <c r="M1460" s="151" t="str">
        <f t="shared" si="70"/>
        <v/>
      </c>
      <c r="N1460" s="151" t="str">
        <f t="shared" si="71"/>
        <v>/</v>
      </c>
      <c r="Q1460" s="239" t="str">
        <f t="shared" ca="1" si="72"/>
        <v/>
      </c>
    </row>
    <row r="1461" spans="3:17" ht="15.75" hidden="1" customHeight="1" outlineLevel="1" x14ac:dyDescent="0.25">
      <c r="C1461" s="207"/>
      <c r="D1461" s="196">
        <v>42392</v>
      </c>
      <c r="E1461" s="101" t="s">
        <v>6</v>
      </c>
      <c r="F1461" s="216" t="s">
        <v>50</v>
      </c>
      <c r="G1461" s="3" t="s">
        <v>56</v>
      </c>
      <c r="H1461" s="3" t="s">
        <v>56</v>
      </c>
      <c r="M1461" s="151" t="str">
        <f t="shared" si="70"/>
        <v/>
      </c>
      <c r="N1461" s="151" t="str">
        <f t="shared" si="71"/>
        <v>/</v>
      </c>
      <c r="Q1461" s="239" t="str">
        <f t="shared" ca="1" si="72"/>
        <v/>
      </c>
    </row>
    <row r="1462" spans="3:17" ht="15.75" hidden="1" customHeight="1" outlineLevel="1" x14ac:dyDescent="0.25">
      <c r="C1462" s="207"/>
      <c r="D1462" s="196">
        <v>42394</v>
      </c>
      <c r="E1462" s="101" t="s">
        <v>3</v>
      </c>
      <c r="F1462" s="216" t="s">
        <v>50</v>
      </c>
      <c r="G1462" s="3" t="s">
        <v>56</v>
      </c>
      <c r="H1462" s="3" t="s">
        <v>56</v>
      </c>
      <c r="M1462" s="151" t="str">
        <f t="shared" si="70"/>
        <v/>
      </c>
      <c r="N1462" s="151" t="str">
        <f t="shared" si="71"/>
        <v>/</v>
      </c>
      <c r="Q1462" s="239" t="str">
        <f t="shared" ca="1" si="72"/>
        <v/>
      </c>
    </row>
    <row r="1463" spans="3:17" ht="15.75" hidden="1" customHeight="1" outlineLevel="1" x14ac:dyDescent="0.25">
      <c r="C1463" s="207"/>
      <c r="D1463" s="196">
        <v>42397</v>
      </c>
      <c r="E1463" s="101" t="s">
        <v>18</v>
      </c>
      <c r="F1463" s="216" t="s">
        <v>49</v>
      </c>
      <c r="G1463" s="3" t="s">
        <v>56</v>
      </c>
      <c r="H1463" s="3" t="s">
        <v>56</v>
      </c>
      <c r="M1463" s="151" t="str">
        <f t="shared" si="70"/>
        <v>/</v>
      </c>
      <c r="N1463" s="151" t="str">
        <f t="shared" si="71"/>
        <v/>
      </c>
      <c r="Q1463" s="239" t="str">
        <f t="shared" ca="1" si="72"/>
        <v/>
      </c>
    </row>
    <row r="1464" spans="3:17" ht="15.75" hidden="1" customHeight="1" outlineLevel="1" x14ac:dyDescent="0.25">
      <c r="C1464" s="207"/>
      <c r="D1464" s="196">
        <v>42398</v>
      </c>
      <c r="E1464" s="101" t="s">
        <v>24</v>
      </c>
      <c r="F1464" s="216" t="s">
        <v>50</v>
      </c>
      <c r="G1464" s="3" t="s">
        <v>56</v>
      </c>
      <c r="H1464" s="3" t="s">
        <v>56</v>
      </c>
      <c r="M1464" s="151" t="str">
        <f t="shared" si="70"/>
        <v/>
      </c>
      <c r="N1464" s="151" t="str">
        <f t="shared" si="71"/>
        <v>/</v>
      </c>
      <c r="Q1464" s="239" t="str">
        <f t="shared" ca="1" si="72"/>
        <v/>
      </c>
    </row>
    <row r="1465" spans="3:17" ht="15.75" hidden="1" customHeight="1" outlineLevel="1" x14ac:dyDescent="0.25">
      <c r="C1465" s="208"/>
      <c r="D1465" s="196">
        <v>42401</v>
      </c>
      <c r="E1465" s="101" t="s">
        <v>3</v>
      </c>
      <c r="F1465" s="216" t="s">
        <v>49</v>
      </c>
      <c r="G1465" s="3" t="s">
        <v>56</v>
      </c>
      <c r="H1465" s="3" t="s">
        <v>56</v>
      </c>
      <c r="M1465" s="151" t="str">
        <f t="shared" si="70"/>
        <v>/</v>
      </c>
      <c r="N1465" s="151" t="str">
        <f t="shared" si="71"/>
        <v/>
      </c>
      <c r="Q1465" s="239" t="str">
        <f t="shared" ca="1" si="72"/>
        <v/>
      </c>
    </row>
    <row r="1466" spans="3:17" ht="15.75" hidden="1" customHeight="1" outlineLevel="1" x14ac:dyDescent="0.25">
      <c r="C1466" s="208"/>
      <c r="D1466" s="196">
        <v>42402</v>
      </c>
      <c r="E1466" s="101" t="s">
        <v>18</v>
      </c>
      <c r="F1466" s="216" t="s">
        <v>50</v>
      </c>
      <c r="G1466" s="3" t="s">
        <v>56</v>
      </c>
      <c r="H1466" s="3" t="s">
        <v>56</v>
      </c>
      <c r="M1466" s="151" t="str">
        <f t="shared" si="70"/>
        <v/>
      </c>
      <c r="N1466" s="151" t="str">
        <f t="shared" si="71"/>
        <v>/</v>
      </c>
      <c r="Q1466" s="239" t="str">
        <f t="shared" ca="1" si="72"/>
        <v/>
      </c>
    </row>
    <row r="1467" spans="3:17" ht="15.75" hidden="1" customHeight="1" outlineLevel="1" x14ac:dyDescent="0.25">
      <c r="C1467" s="208"/>
      <c r="D1467" s="196">
        <v>42404</v>
      </c>
      <c r="E1467" s="101" t="s">
        <v>26</v>
      </c>
      <c r="F1467" s="216" t="s">
        <v>50</v>
      </c>
      <c r="G1467" s="3" t="s">
        <v>56</v>
      </c>
      <c r="H1467" s="3" t="s">
        <v>56</v>
      </c>
      <c r="M1467" s="151" t="str">
        <f t="shared" si="70"/>
        <v/>
      </c>
      <c r="N1467" s="151" t="str">
        <f t="shared" si="71"/>
        <v>/</v>
      </c>
      <c r="Q1467" s="239" t="str">
        <f t="shared" ca="1" si="72"/>
        <v/>
      </c>
    </row>
    <row r="1468" spans="3:17" ht="15.75" hidden="1" customHeight="1" outlineLevel="1" x14ac:dyDescent="0.25">
      <c r="C1468" s="208"/>
      <c r="D1468" s="196">
        <v>42408</v>
      </c>
      <c r="E1468" s="101" t="s">
        <v>2</v>
      </c>
      <c r="F1468" s="216" t="s">
        <v>49</v>
      </c>
      <c r="G1468" s="3" t="s">
        <v>56</v>
      </c>
      <c r="H1468" s="3" t="s">
        <v>56</v>
      </c>
      <c r="M1468" s="151" t="str">
        <f t="shared" si="70"/>
        <v>/</v>
      </c>
      <c r="N1468" s="151" t="str">
        <f t="shared" si="71"/>
        <v/>
      </c>
      <c r="Q1468" s="239" t="str">
        <f t="shared" ca="1" si="72"/>
        <v/>
      </c>
    </row>
    <row r="1469" spans="3:17" ht="15.75" hidden="1" customHeight="1" outlineLevel="1" x14ac:dyDescent="0.25">
      <c r="C1469" s="208"/>
      <c r="D1469" s="196">
        <v>42410</v>
      </c>
      <c r="E1469" s="101" t="s">
        <v>20</v>
      </c>
      <c r="F1469" s="213" t="s">
        <v>50</v>
      </c>
      <c r="G1469" s="3" t="s">
        <v>56</v>
      </c>
      <c r="H1469" s="3" t="s">
        <v>56</v>
      </c>
      <c r="M1469" s="151" t="str">
        <f t="shared" si="70"/>
        <v/>
      </c>
      <c r="N1469" s="151" t="str">
        <f t="shared" si="71"/>
        <v>/</v>
      </c>
      <c r="Q1469" s="239" t="str">
        <f t="shared" ca="1" si="72"/>
        <v/>
      </c>
    </row>
    <row r="1470" spans="3:17" ht="15.75" hidden="1" customHeight="1" outlineLevel="1" x14ac:dyDescent="0.25">
      <c r="C1470" s="208"/>
      <c r="D1470" s="196">
        <v>42411</v>
      </c>
      <c r="E1470" s="101" t="s">
        <v>23</v>
      </c>
      <c r="F1470" s="216" t="s">
        <v>50</v>
      </c>
      <c r="G1470" s="3" t="s">
        <v>56</v>
      </c>
      <c r="H1470" s="3" t="s">
        <v>56</v>
      </c>
      <c r="M1470" s="151" t="str">
        <f t="shared" si="70"/>
        <v/>
      </c>
      <c r="N1470" s="151" t="str">
        <f t="shared" si="71"/>
        <v>/</v>
      </c>
      <c r="Q1470" s="239" t="str">
        <f t="shared" ca="1" si="72"/>
        <v/>
      </c>
    </row>
    <row r="1471" spans="3:17" ht="15.75" hidden="1" customHeight="1" outlineLevel="1" x14ac:dyDescent="0.25">
      <c r="C1471" s="208"/>
      <c r="D1471" s="196">
        <v>42413</v>
      </c>
      <c r="E1471" s="101" t="s">
        <v>15</v>
      </c>
      <c r="F1471" s="216" t="s">
        <v>50</v>
      </c>
      <c r="G1471" s="3" t="s">
        <v>56</v>
      </c>
      <c r="H1471" s="3" t="s">
        <v>56</v>
      </c>
      <c r="M1471" s="151" t="str">
        <f t="shared" si="70"/>
        <v/>
      </c>
      <c r="N1471" s="151" t="str">
        <f t="shared" si="71"/>
        <v>/</v>
      </c>
      <c r="Q1471" s="239" t="str">
        <f t="shared" ca="1" si="72"/>
        <v/>
      </c>
    </row>
    <row r="1472" spans="3:17" ht="15.75" hidden="1" customHeight="1" outlineLevel="1" x14ac:dyDescent="0.25">
      <c r="C1472" s="208"/>
      <c r="D1472" s="196">
        <v>42415</v>
      </c>
      <c r="E1472" s="101" t="s">
        <v>26</v>
      </c>
      <c r="F1472" s="216" t="s">
        <v>49</v>
      </c>
      <c r="G1472" s="3" t="s">
        <v>56</v>
      </c>
      <c r="H1472" s="3" t="s">
        <v>56</v>
      </c>
      <c r="M1472" s="151" t="str">
        <f t="shared" si="70"/>
        <v>/</v>
      </c>
      <c r="N1472" s="151" t="str">
        <f t="shared" si="71"/>
        <v/>
      </c>
      <c r="Q1472" s="239" t="str">
        <f t="shared" ca="1" si="72"/>
        <v/>
      </c>
    </row>
    <row r="1473" spans="3:17" ht="15.75" hidden="1" customHeight="1" outlineLevel="1" x14ac:dyDescent="0.25">
      <c r="C1473" s="208"/>
      <c r="D1473" s="196">
        <v>42423</v>
      </c>
      <c r="E1473" s="101" t="s">
        <v>18</v>
      </c>
      <c r="F1473" s="216" t="s">
        <v>49</v>
      </c>
      <c r="G1473" s="3" t="s">
        <v>56</v>
      </c>
      <c r="H1473" s="3" t="s">
        <v>56</v>
      </c>
      <c r="M1473" s="151" t="str">
        <f t="shared" si="70"/>
        <v>/</v>
      </c>
      <c r="N1473" s="151" t="str">
        <f t="shared" si="71"/>
        <v/>
      </c>
      <c r="Q1473" s="239" t="str">
        <f t="shared" ca="1" si="72"/>
        <v/>
      </c>
    </row>
    <row r="1474" spans="3:17" ht="15.75" hidden="1" customHeight="1" outlineLevel="1" x14ac:dyDescent="0.25">
      <c r="C1474" s="208"/>
      <c r="D1474" s="196">
        <v>42425</v>
      </c>
      <c r="E1474" s="101" t="s">
        <v>45</v>
      </c>
      <c r="F1474" s="216" t="s">
        <v>49</v>
      </c>
      <c r="G1474" s="3" t="s">
        <v>56</v>
      </c>
      <c r="H1474" s="3" t="s">
        <v>56</v>
      </c>
      <c r="M1474" s="151" t="str">
        <f t="shared" si="70"/>
        <v>/</v>
      </c>
      <c r="N1474" s="151" t="str">
        <f t="shared" si="71"/>
        <v/>
      </c>
      <c r="Q1474" s="239" t="str">
        <f t="shared" ca="1" si="72"/>
        <v/>
      </c>
    </row>
    <row r="1475" spans="3:17" ht="15.75" hidden="1" customHeight="1" outlineLevel="1" x14ac:dyDescent="0.25">
      <c r="C1475" s="208"/>
      <c r="D1475" s="196">
        <v>42427</v>
      </c>
      <c r="E1475" s="101" t="s">
        <v>11</v>
      </c>
      <c r="F1475" s="216" t="s">
        <v>50</v>
      </c>
      <c r="G1475" s="3" t="s">
        <v>56</v>
      </c>
      <c r="H1475" s="3" t="s">
        <v>56</v>
      </c>
      <c r="M1475" s="151" t="str">
        <f t="shared" si="70"/>
        <v/>
      </c>
      <c r="N1475" s="151" t="str">
        <f t="shared" si="71"/>
        <v>/</v>
      </c>
      <c r="Q1475" s="239" t="str">
        <f t="shared" ca="1" si="72"/>
        <v/>
      </c>
    </row>
    <row r="1476" spans="3:17" ht="15.75" hidden="1" customHeight="1" outlineLevel="1" x14ac:dyDescent="0.25">
      <c r="C1476" s="208"/>
      <c r="D1476" s="196">
        <v>42428</v>
      </c>
      <c r="E1476" s="101" t="s">
        <v>13</v>
      </c>
      <c r="F1476" s="216" t="s">
        <v>50</v>
      </c>
      <c r="G1476" s="3" t="s">
        <v>56</v>
      </c>
      <c r="H1476" s="3" t="s">
        <v>56</v>
      </c>
      <c r="M1476" s="151" t="str">
        <f t="shared" si="70"/>
        <v/>
      </c>
      <c r="N1476" s="151" t="str">
        <f t="shared" si="71"/>
        <v>/</v>
      </c>
      <c r="Q1476" s="239" t="str">
        <f t="shared" ca="1" si="72"/>
        <v/>
      </c>
    </row>
    <row r="1477" spans="3:17" ht="15.75" hidden="1" customHeight="1" outlineLevel="1" x14ac:dyDescent="0.25">
      <c r="C1477" s="207"/>
      <c r="D1477" s="196">
        <v>42431</v>
      </c>
      <c r="E1477" s="101" t="s">
        <v>2</v>
      </c>
      <c r="F1477" s="216" t="s">
        <v>50</v>
      </c>
      <c r="G1477" s="3" t="s">
        <v>56</v>
      </c>
      <c r="H1477" s="3" t="s">
        <v>56</v>
      </c>
      <c r="M1477" s="151" t="str">
        <f t="shared" si="70"/>
        <v/>
      </c>
      <c r="N1477" s="151" t="str">
        <f t="shared" si="71"/>
        <v>/</v>
      </c>
      <c r="Q1477" s="239" t="str">
        <f t="shared" ca="1" si="72"/>
        <v/>
      </c>
    </row>
    <row r="1478" spans="3:17" ht="15.75" hidden="1" customHeight="1" outlineLevel="1" x14ac:dyDescent="0.25">
      <c r="C1478" s="207"/>
      <c r="D1478" s="196">
        <v>42434</v>
      </c>
      <c r="E1478" s="101" t="s">
        <v>9</v>
      </c>
      <c r="F1478" s="216" t="s">
        <v>50</v>
      </c>
      <c r="G1478" s="3" t="s">
        <v>56</v>
      </c>
      <c r="H1478" s="3" t="s">
        <v>56</v>
      </c>
      <c r="M1478" s="151" t="str">
        <f t="shared" si="70"/>
        <v/>
      </c>
      <c r="N1478" s="151" t="str">
        <f t="shared" si="71"/>
        <v>/</v>
      </c>
      <c r="Q1478" s="239" t="str">
        <f t="shared" ca="1" si="72"/>
        <v/>
      </c>
    </row>
    <row r="1479" spans="3:17" ht="15.75" hidden="1" customHeight="1" outlineLevel="1" x14ac:dyDescent="0.25">
      <c r="C1479" s="207"/>
      <c r="D1479" s="196">
        <v>42435</v>
      </c>
      <c r="E1479" s="101" t="s">
        <v>0</v>
      </c>
      <c r="F1479" s="216" t="s">
        <v>50</v>
      </c>
      <c r="G1479" s="3" t="s">
        <v>56</v>
      </c>
      <c r="H1479" s="3" t="s">
        <v>56</v>
      </c>
      <c r="M1479" s="151" t="str">
        <f t="shared" ref="M1479:M1542" si="73">IF(F1479="D",H1479,"")</f>
        <v/>
      </c>
      <c r="N1479" s="151" t="str">
        <f t="shared" ref="N1479:N1542" si="74">IF(F1479="E",H1479,"")</f>
        <v>/</v>
      </c>
      <c r="Q1479" s="239" t="str">
        <f t="shared" ca="1" si="72"/>
        <v/>
      </c>
    </row>
    <row r="1480" spans="3:17" ht="15.75" hidden="1" customHeight="1" outlineLevel="1" x14ac:dyDescent="0.25">
      <c r="C1480" s="207"/>
      <c r="D1480" s="196">
        <v>42437</v>
      </c>
      <c r="E1480" s="101" t="s">
        <v>1</v>
      </c>
      <c r="F1480" s="216" t="s">
        <v>49</v>
      </c>
      <c r="G1480" s="3" t="s">
        <v>56</v>
      </c>
      <c r="H1480" s="3" t="s">
        <v>56</v>
      </c>
      <c r="M1480" s="151" t="str">
        <f t="shared" si="73"/>
        <v>/</v>
      </c>
      <c r="N1480" s="151" t="str">
        <f t="shared" si="74"/>
        <v/>
      </c>
      <c r="Q1480" s="239" t="str">
        <f t="shared" ca="1" si="72"/>
        <v/>
      </c>
    </row>
    <row r="1481" spans="3:17" ht="15.75" hidden="1" customHeight="1" outlineLevel="1" x14ac:dyDescent="0.25">
      <c r="C1481" s="207"/>
      <c r="D1481" s="196">
        <v>42439</v>
      </c>
      <c r="E1481" s="101" t="s">
        <v>21</v>
      </c>
      <c r="F1481" s="216" t="s">
        <v>50</v>
      </c>
      <c r="G1481" s="3" t="s">
        <v>56</v>
      </c>
      <c r="H1481" s="3" t="s">
        <v>56</v>
      </c>
      <c r="M1481" s="151" t="str">
        <f t="shared" si="73"/>
        <v/>
      </c>
      <c r="N1481" s="151" t="str">
        <f t="shared" si="74"/>
        <v>/</v>
      </c>
      <c r="Q1481" s="239" t="str">
        <f t="shared" ca="1" si="72"/>
        <v/>
      </c>
    </row>
    <row r="1482" spans="3:17" ht="15.75" hidden="1" customHeight="1" outlineLevel="1" x14ac:dyDescent="0.25">
      <c r="C1482" s="207"/>
      <c r="D1482" s="196">
        <v>42440</v>
      </c>
      <c r="E1482" s="101" t="s">
        <v>46</v>
      </c>
      <c r="F1482" s="216" t="s">
        <v>50</v>
      </c>
      <c r="G1482" s="3" t="s">
        <v>56</v>
      </c>
      <c r="H1482" s="3" t="s">
        <v>56</v>
      </c>
      <c r="M1482" s="151" t="str">
        <f t="shared" si="73"/>
        <v/>
      </c>
      <c r="N1482" s="151" t="str">
        <f t="shared" si="74"/>
        <v>/</v>
      </c>
      <c r="Q1482" s="239" t="str">
        <f t="shared" ca="1" si="72"/>
        <v/>
      </c>
    </row>
    <row r="1483" spans="3:17" ht="15.75" hidden="1" customHeight="1" outlineLevel="1" x14ac:dyDescent="0.25">
      <c r="C1483" s="207"/>
      <c r="D1483" s="196">
        <v>42443</v>
      </c>
      <c r="E1483" s="101" t="s">
        <v>11</v>
      </c>
      <c r="F1483" s="216" t="s">
        <v>49</v>
      </c>
      <c r="G1483" s="3" t="s">
        <v>56</v>
      </c>
      <c r="H1483" s="3" t="s">
        <v>56</v>
      </c>
      <c r="M1483" s="151" t="str">
        <f t="shared" si="73"/>
        <v>/</v>
      </c>
      <c r="N1483" s="151" t="str">
        <f t="shared" si="74"/>
        <v/>
      </c>
      <c r="Q1483" s="239" t="str">
        <f t="shared" ca="1" si="72"/>
        <v/>
      </c>
    </row>
    <row r="1484" spans="3:17" ht="15.75" hidden="1" customHeight="1" outlineLevel="1" x14ac:dyDescent="0.25">
      <c r="C1484" s="207"/>
      <c r="D1484" s="196">
        <v>42445</v>
      </c>
      <c r="E1484" s="101" t="s">
        <v>10</v>
      </c>
      <c r="F1484" s="216" t="s">
        <v>49</v>
      </c>
      <c r="G1484" s="3" t="s">
        <v>56</v>
      </c>
      <c r="H1484" s="3" t="s">
        <v>56</v>
      </c>
      <c r="M1484" s="151" t="str">
        <f t="shared" si="73"/>
        <v>/</v>
      </c>
      <c r="N1484" s="151" t="str">
        <f t="shared" si="74"/>
        <v/>
      </c>
      <c r="Q1484" s="239" t="str">
        <f t="shared" ca="1" si="72"/>
        <v/>
      </c>
    </row>
    <row r="1485" spans="3:17" ht="15.75" hidden="1" customHeight="1" outlineLevel="1" x14ac:dyDescent="0.25">
      <c r="C1485" s="207"/>
      <c r="D1485" s="196">
        <v>42447</v>
      </c>
      <c r="E1485" s="101" t="s">
        <v>8</v>
      </c>
      <c r="F1485" s="216" t="s">
        <v>49</v>
      </c>
      <c r="G1485" s="3" t="s">
        <v>56</v>
      </c>
      <c r="H1485" s="3" t="s">
        <v>56</v>
      </c>
      <c r="M1485" s="151" t="str">
        <f t="shared" si="73"/>
        <v>/</v>
      </c>
      <c r="N1485" s="151" t="str">
        <f t="shared" si="74"/>
        <v/>
      </c>
      <c r="Q1485" s="239" t="str">
        <f t="shared" ca="1" si="72"/>
        <v/>
      </c>
    </row>
    <row r="1486" spans="3:17" ht="15.75" hidden="1" customHeight="1" outlineLevel="1" x14ac:dyDescent="0.25">
      <c r="C1486" s="207"/>
      <c r="D1486" s="196">
        <v>42449</v>
      </c>
      <c r="E1486" s="101" t="s">
        <v>23</v>
      </c>
      <c r="F1486" s="216" t="s">
        <v>50</v>
      </c>
      <c r="G1486" s="3" t="s">
        <v>56</v>
      </c>
      <c r="H1486" s="3" t="s">
        <v>56</v>
      </c>
      <c r="M1486" s="151" t="str">
        <f t="shared" si="73"/>
        <v/>
      </c>
      <c r="N1486" s="151" t="str">
        <f t="shared" si="74"/>
        <v>/</v>
      </c>
      <c r="Q1486" s="239" t="str">
        <f t="shared" ca="1" si="72"/>
        <v/>
      </c>
    </row>
    <row r="1487" spans="3:17" ht="15.75" hidden="1" customHeight="1" outlineLevel="1" x14ac:dyDescent="0.25">
      <c r="C1487" s="207"/>
      <c r="D1487" s="196">
        <v>42450</v>
      </c>
      <c r="E1487" s="101" t="s">
        <v>645</v>
      </c>
      <c r="F1487" s="216" t="s">
        <v>50</v>
      </c>
      <c r="G1487" s="3" t="s">
        <v>56</v>
      </c>
      <c r="H1487" s="3" t="s">
        <v>56</v>
      </c>
      <c r="M1487" s="151" t="str">
        <f t="shared" si="73"/>
        <v/>
      </c>
      <c r="N1487" s="151" t="str">
        <f t="shared" si="74"/>
        <v>/</v>
      </c>
      <c r="Q1487" s="239" t="str">
        <f t="shared" ca="1" si="72"/>
        <v/>
      </c>
    </row>
    <row r="1488" spans="3:17" ht="15.75" hidden="1" customHeight="1" outlineLevel="1" x14ac:dyDescent="0.25">
      <c r="C1488" s="207"/>
      <c r="D1488" s="196">
        <v>42453</v>
      </c>
      <c r="E1488" s="101" t="s">
        <v>26</v>
      </c>
      <c r="F1488" s="216" t="s">
        <v>49</v>
      </c>
      <c r="G1488" s="3" t="s">
        <v>56</v>
      </c>
      <c r="H1488" s="3" t="s">
        <v>56</v>
      </c>
      <c r="M1488" s="151" t="str">
        <f t="shared" si="73"/>
        <v>/</v>
      </c>
      <c r="N1488" s="151" t="str">
        <f t="shared" si="74"/>
        <v/>
      </c>
      <c r="Q1488" s="239" t="str">
        <f t="shared" ca="1" si="72"/>
        <v/>
      </c>
    </row>
    <row r="1489" spans="2:17" ht="15.75" hidden="1" customHeight="1" outlineLevel="1" x14ac:dyDescent="0.25">
      <c r="C1489" s="207"/>
      <c r="D1489" s="196">
        <v>42455</v>
      </c>
      <c r="E1489" s="101" t="s">
        <v>20</v>
      </c>
      <c r="F1489" s="216" t="s">
        <v>49</v>
      </c>
      <c r="G1489" s="3" t="s">
        <v>56</v>
      </c>
      <c r="H1489" s="3" t="s">
        <v>56</v>
      </c>
      <c r="M1489" s="151" t="str">
        <f t="shared" si="73"/>
        <v>/</v>
      </c>
      <c r="N1489" s="151" t="str">
        <f t="shared" si="74"/>
        <v/>
      </c>
      <c r="Q1489" s="239" t="str">
        <f t="shared" ca="1" si="72"/>
        <v/>
      </c>
    </row>
    <row r="1490" spans="2:17" ht="15.75" hidden="1" customHeight="1" outlineLevel="1" x14ac:dyDescent="0.25">
      <c r="C1490" s="207"/>
      <c r="D1490" s="196">
        <v>42457</v>
      </c>
      <c r="E1490" s="101" t="s">
        <v>17</v>
      </c>
      <c r="F1490" s="216" t="s">
        <v>50</v>
      </c>
      <c r="G1490" s="3" t="s">
        <v>56</v>
      </c>
      <c r="H1490" s="3" t="s">
        <v>56</v>
      </c>
      <c r="M1490" s="151" t="str">
        <f t="shared" si="73"/>
        <v/>
      </c>
      <c r="N1490" s="151" t="str">
        <f t="shared" si="74"/>
        <v>/</v>
      </c>
      <c r="Q1490" s="239" t="str">
        <f t="shared" ca="1" si="72"/>
        <v/>
      </c>
    </row>
    <row r="1491" spans="2:17" ht="15.75" hidden="1" customHeight="1" outlineLevel="1" x14ac:dyDescent="0.25">
      <c r="C1491" s="207"/>
      <c r="D1491" s="196">
        <v>42458</v>
      </c>
      <c r="E1491" s="101" t="s">
        <v>46</v>
      </c>
      <c r="F1491" s="216" t="s">
        <v>50</v>
      </c>
      <c r="G1491" s="3" t="s">
        <v>56</v>
      </c>
      <c r="H1491" s="3" t="s">
        <v>56</v>
      </c>
      <c r="M1491" s="151" t="str">
        <f t="shared" si="73"/>
        <v/>
      </c>
      <c r="N1491" s="151" t="str">
        <f t="shared" si="74"/>
        <v>/</v>
      </c>
      <c r="Q1491" s="239" t="str">
        <f t="shared" ca="1" si="72"/>
        <v/>
      </c>
    </row>
    <row r="1492" spans="2:17" ht="15.75" hidden="1" customHeight="1" outlineLevel="1" x14ac:dyDescent="0.25">
      <c r="C1492" s="207"/>
      <c r="D1492" s="196">
        <v>42460</v>
      </c>
      <c r="E1492" s="101" t="s">
        <v>17</v>
      </c>
      <c r="F1492" s="216" t="s">
        <v>49</v>
      </c>
      <c r="G1492" s="3" t="s">
        <v>56</v>
      </c>
      <c r="H1492" s="3" t="s">
        <v>56</v>
      </c>
      <c r="M1492" s="151" t="str">
        <f t="shared" si="73"/>
        <v>/</v>
      </c>
      <c r="N1492" s="151" t="str">
        <f t="shared" si="74"/>
        <v/>
      </c>
      <c r="Q1492" s="239" t="str">
        <f t="shared" ca="1" si="72"/>
        <v/>
      </c>
    </row>
    <row r="1493" spans="2:17" ht="15.75" hidden="1" customHeight="1" outlineLevel="1" x14ac:dyDescent="0.25">
      <c r="C1493" s="208"/>
      <c r="D1493" s="196">
        <v>42462</v>
      </c>
      <c r="E1493" s="101" t="s">
        <v>13</v>
      </c>
      <c r="F1493" s="216" t="s">
        <v>49</v>
      </c>
      <c r="G1493" s="3" t="s">
        <v>56</v>
      </c>
      <c r="H1493" s="3" t="s">
        <v>56</v>
      </c>
      <c r="M1493" s="151" t="str">
        <f t="shared" si="73"/>
        <v>/</v>
      </c>
      <c r="N1493" s="151" t="str">
        <f t="shared" si="74"/>
        <v/>
      </c>
      <c r="Q1493" s="239" t="str">
        <f t="shared" ca="1" si="72"/>
        <v/>
      </c>
    </row>
    <row r="1494" spans="2:17" ht="15.75" hidden="1" customHeight="1" outlineLevel="1" x14ac:dyDescent="0.25">
      <c r="C1494" s="208"/>
      <c r="D1494" s="196">
        <v>42464</v>
      </c>
      <c r="E1494" s="101" t="s">
        <v>21</v>
      </c>
      <c r="F1494" s="216" t="s">
        <v>49</v>
      </c>
      <c r="G1494" s="3" t="s">
        <v>56</v>
      </c>
      <c r="H1494" s="3" t="s">
        <v>56</v>
      </c>
      <c r="M1494" s="151" t="str">
        <f t="shared" si="73"/>
        <v>/</v>
      </c>
      <c r="N1494" s="151" t="str">
        <f t="shared" si="74"/>
        <v/>
      </c>
      <c r="Q1494" s="239" t="str">
        <f t="shared" ca="1" si="72"/>
        <v/>
      </c>
    </row>
    <row r="1495" spans="2:17" ht="15.75" hidden="1" customHeight="1" outlineLevel="1" x14ac:dyDescent="0.25">
      <c r="C1495" s="208"/>
      <c r="D1495" s="196">
        <v>42465</v>
      </c>
      <c r="E1495" s="101" t="s">
        <v>25</v>
      </c>
      <c r="F1495" s="216" t="s">
        <v>50</v>
      </c>
      <c r="G1495" s="3" t="s">
        <v>56</v>
      </c>
      <c r="H1495" s="3" t="s">
        <v>56</v>
      </c>
      <c r="M1495" s="151" t="str">
        <f t="shared" si="73"/>
        <v/>
      </c>
      <c r="N1495" s="151" t="str">
        <f t="shared" si="74"/>
        <v>/</v>
      </c>
      <c r="Q1495" s="239" t="str">
        <f t="shared" ca="1" si="72"/>
        <v/>
      </c>
    </row>
    <row r="1496" spans="2:17" ht="15.75" hidden="1" customHeight="1" outlineLevel="1" x14ac:dyDescent="0.25">
      <c r="C1496" s="208"/>
      <c r="D1496" s="196">
        <v>42468</v>
      </c>
      <c r="E1496" s="101" t="s">
        <v>22</v>
      </c>
      <c r="F1496" s="216" t="s">
        <v>49</v>
      </c>
      <c r="G1496" s="3" t="s">
        <v>56</v>
      </c>
      <c r="H1496" s="3" t="s">
        <v>56</v>
      </c>
      <c r="M1496" s="151" t="str">
        <f t="shared" si="73"/>
        <v>/</v>
      </c>
      <c r="N1496" s="151" t="str">
        <f t="shared" si="74"/>
        <v/>
      </c>
      <c r="Q1496" s="239" t="str">
        <f t="shared" ca="1" si="72"/>
        <v/>
      </c>
    </row>
    <row r="1497" spans="2:17" ht="15.75" hidden="1" customHeight="1" outlineLevel="1" x14ac:dyDescent="0.25">
      <c r="C1497" s="208"/>
      <c r="D1497" s="196">
        <v>42470</v>
      </c>
      <c r="E1497" s="101" t="s">
        <v>28</v>
      </c>
      <c r="F1497" s="216" t="s">
        <v>49</v>
      </c>
      <c r="G1497" s="3" t="s">
        <v>56</v>
      </c>
      <c r="H1497" s="3" t="s">
        <v>56</v>
      </c>
      <c r="M1497" s="151" t="str">
        <f t="shared" si="73"/>
        <v>/</v>
      </c>
      <c r="N1497" s="151" t="str">
        <f t="shared" si="74"/>
        <v/>
      </c>
      <c r="Q1497" s="239" t="str">
        <f t="shared" ca="1" si="72"/>
        <v/>
      </c>
    </row>
    <row r="1498" spans="2:17" ht="15.75" hidden="1" customHeight="1" outlineLevel="1" x14ac:dyDescent="0.25">
      <c r="C1498" s="208"/>
      <c r="D1498" s="196">
        <v>42472</v>
      </c>
      <c r="E1498" s="102" t="s">
        <v>644</v>
      </c>
      <c r="F1498" s="217" t="s">
        <v>49</v>
      </c>
      <c r="G1498" s="3" t="s">
        <v>56</v>
      </c>
      <c r="H1498" s="3" t="s">
        <v>56</v>
      </c>
      <c r="M1498" s="151" t="str">
        <f t="shared" si="73"/>
        <v>/</v>
      </c>
      <c r="N1498" s="151" t="str">
        <f t="shared" si="74"/>
        <v/>
      </c>
      <c r="Q1498" s="239" t="str">
        <f t="shared" ca="1" si="72"/>
        <v/>
      </c>
    </row>
    <row r="1499" spans="2:17" collapsed="1" x14ac:dyDescent="0.25">
      <c r="B1499" s="404" t="str">
        <f ca="1">"- "&amp;INDEX(E1500:E1581,MATCH(TODAY(),D1500:D1581,0))</f>
        <v>- dallas</v>
      </c>
      <c r="C1499" s="404"/>
      <c r="D1499" s="406" t="s">
        <v>17</v>
      </c>
      <c r="E1499" s="407"/>
      <c r="F1499" s="408"/>
      <c r="H1499" s="3"/>
      <c r="Q1499" s="239" t="str">
        <f t="shared" ca="1" si="72"/>
        <v/>
      </c>
    </row>
    <row r="1500" spans="2:17" ht="16.5" hidden="1" customHeight="1" outlineLevel="1" x14ac:dyDescent="0.25">
      <c r="C1500" s="207"/>
      <c r="D1500" s="196">
        <v>42669</v>
      </c>
      <c r="E1500" s="103" t="s">
        <v>644</v>
      </c>
      <c r="F1500" s="215" t="s">
        <v>50</v>
      </c>
      <c r="G1500" s="3">
        <v>0</v>
      </c>
      <c r="H1500" s="3">
        <v>114</v>
      </c>
      <c r="I1500" s="151">
        <v>24</v>
      </c>
      <c r="J1500" s="151">
        <v>65</v>
      </c>
      <c r="K1500" s="151">
        <v>70</v>
      </c>
      <c r="L1500" s="151">
        <v>51</v>
      </c>
      <c r="M1500" s="151" t="str">
        <f t="shared" si="73"/>
        <v/>
      </c>
      <c r="N1500" s="151">
        <f t="shared" si="74"/>
        <v>114</v>
      </c>
      <c r="P1500" s="151">
        <v>120</v>
      </c>
      <c r="Q1500" s="239" t="str">
        <f t="shared" ca="1" si="72"/>
        <v/>
      </c>
    </row>
    <row r="1501" spans="2:17" ht="15.75" hidden="1" customHeight="1" outlineLevel="1" x14ac:dyDescent="0.25">
      <c r="C1501" s="207"/>
      <c r="D1501" s="196">
        <v>42671</v>
      </c>
      <c r="E1501" s="101" t="s">
        <v>645</v>
      </c>
      <c r="F1501" s="216" t="s">
        <v>50</v>
      </c>
      <c r="G1501" s="3" t="s">
        <v>56</v>
      </c>
      <c r="H1501" s="3" t="s">
        <v>56</v>
      </c>
      <c r="M1501" s="151" t="str">
        <f t="shared" si="73"/>
        <v/>
      </c>
      <c r="N1501" s="151" t="str">
        <f t="shared" si="74"/>
        <v>/</v>
      </c>
      <c r="Q1501" s="239">
        <f t="shared" ca="1" si="72"/>
        <v>1</v>
      </c>
    </row>
    <row r="1502" spans="2:17" ht="15.75" hidden="1" customHeight="1" outlineLevel="1" x14ac:dyDescent="0.25">
      <c r="C1502" s="207"/>
      <c r="D1502" s="196">
        <v>42673</v>
      </c>
      <c r="E1502" s="101" t="s">
        <v>645</v>
      </c>
      <c r="F1502" s="216" t="s">
        <v>49</v>
      </c>
      <c r="G1502" s="3" t="s">
        <v>56</v>
      </c>
      <c r="H1502" s="3" t="s">
        <v>56</v>
      </c>
      <c r="M1502" s="151" t="str">
        <f t="shared" si="73"/>
        <v>/</v>
      </c>
      <c r="N1502" s="151" t="str">
        <f t="shared" si="74"/>
        <v/>
      </c>
      <c r="Q1502" s="239" t="str">
        <f t="shared" ca="1" si="72"/>
        <v/>
      </c>
    </row>
    <row r="1503" spans="2:17" ht="15.75" hidden="1" customHeight="1" outlineLevel="1" x14ac:dyDescent="0.25">
      <c r="C1503" s="207"/>
      <c r="D1503" s="196">
        <v>42675</v>
      </c>
      <c r="E1503" s="101" t="s">
        <v>4</v>
      </c>
      <c r="F1503" s="216" t="s">
        <v>50</v>
      </c>
      <c r="G1503" s="3" t="s">
        <v>56</v>
      </c>
      <c r="H1503" s="3" t="s">
        <v>56</v>
      </c>
      <c r="M1503" s="151" t="str">
        <f t="shared" si="73"/>
        <v/>
      </c>
      <c r="N1503" s="151" t="str">
        <f t="shared" si="74"/>
        <v>/</v>
      </c>
      <c r="Q1503" s="239" t="str">
        <f t="shared" ca="1" si="72"/>
        <v/>
      </c>
    </row>
    <row r="1504" spans="2:17" ht="15.75" hidden="1" customHeight="1" outlineLevel="1" x14ac:dyDescent="0.25">
      <c r="C1504" s="207"/>
      <c r="D1504" s="196">
        <v>42676</v>
      </c>
      <c r="E1504" s="101" t="s">
        <v>9</v>
      </c>
      <c r="F1504" s="216" t="s">
        <v>50</v>
      </c>
      <c r="G1504" s="3" t="s">
        <v>56</v>
      </c>
      <c r="H1504" s="3" t="s">
        <v>56</v>
      </c>
      <c r="M1504" s="151" t="str">
        <f t="shared" si="73"/>
        <v/>
      </c>
      <c r="N1504" s="151" t="str">
        <f t="shared" si="74"/>
        <v>/</v>
      </c>
      <c r="Q1504" s="239" t="str">
        <f t="shared" ca="1" si="72"/>
        <v/>
      </c>
    </row>
    <row r="1505" spans="3:17" ht="15.75" hidden="1" customHeight="1" outlineLevel="1" x14ac:dyDescent="0.25">
      <c r="C1505" s="207"/>
      <c r="D1505" s="196">
        <v>42679</v>
      </c>
      <c r="E1505" s="101" t="s">
        <v>0</v>
      </c>
      <c r="F1505" s="216" t="s">
        <v>50</v>
      </c>
      <c r="G1505" s="3" t="s">
        <v>56</v>
      </c>
      <c r="H1505" s="3" t="s">
        <v>56</v>
      </c>
      <c r="M1505" s="151" t="str">
        <f t="shared" si="73"/>
        <v/>
      </c>
      <c r="N1505" s="151" t="str">
        <f t="shared" si="74"/>
        <v>/</v>
      </c>
      <c r="Q1505" s="239" t="str">
        <f t="shared" ca="1" si="72"/>
        <v/>
      </c>
    </row>
    <row r="1506" spans="3:17" ht="15.75" hidden="1" customHeight="1" outlineLevel="1" x14ac:dyDescent="0.25">
      <c r="C1506" s="207"/>
      <c r="D1506" s="196">
        <v>42681</v>
      </c>
      <c r="E1506" s="101" t="s">
        <v>13</v>
      </c>
      <c r="F1506" s="216" t="s">
        <v>50</v>
      </c>
      <c r="G1506" s="3" t="s">
        <v>56</v>
      </c>
      <c r="H1506" s="3" t="s">
        <v>56</v>
      </c>
      <c r="M1506" s="151" t="str">
        <f t="shared" si="73"/>
        <v/>
      </c>
      <c r="N1506" s="151" t="str">
        <f t="shared" si="74"/>
        <v>/</v>
      </c>
      <c r="Q1506" s="239" t="str">
        <f t="shared" ca="1" si="72"/>
        <v/>
      </c>
    </row>
    <row r="1507" spans="3:17" ht="15.75" hidden="1" customHeight="1" outlineLevel="1" x14ac:dyDescent="0.25">
      <c r="C1507" s="207"/>
      <c r="D1507" s="196">
        <v>42683</v>
      </c>
      <c r="E1507" s="101" t="s">
        <v>46</v>
      </c>
      <c r="F1507" s="216" t="s">
        <v>50</v>
      </c>
      <c r="G1507" s="3" t="s">
        <v>56</v>
      </c>
      <c r="H1507" s="3" t="s">
        <v>56</v>
      </c>
      <c r="M1507" s="151" t="str">
        <f t="shared" si="73"/>
        <v/>
      </c>
      <c r="N1507" s="151" t="str">
        <f t="shared" si="74"/>
        <v>/</v>
      </c>
      <c r="Q1507" s="239" t="str">
        <f t="shared" ca="1" si="72"/>
        <v/>
      </c>
    </row>
    <row r="1508" spans="3:17" ht="15.75" hidden="1" customHeight="1" outlineLevel="1" x14ac:dyDescent="0.25">
      <c r="C1508" s="207"/>
      <c r="D1508" s="196">
        <v>42686</v>
      </c>
      <c r="E1508" s="101" t="s">
        <v>46</v>
      </c>
      <c r="F1508" s="216" t="s">
        <v>49</v>
      </c>
      <c r="G1508" s="3" t="s">
        <v>56</v>
      </c>
      <c r="H1508" s="3" t="s">
        <v>56</v>
      </c>
      <c r="M1508" s="151" t="str">
        <f t="shared" si="73"/>
        <v>/</v>
      </c>
      <c r="N1508" s="151" t="str">
        <f t="shared" si="74"/>
        <v/>
      </c>
      <c r="Q1508" s="239" t="str">
        <f t="shared" ca="1" si="72"/>
        <v/>
      </c>
    </row>
    <row r="1509" spans="3:17" ht="15.75" hidden="1" customHeight="1" outlineLevel="1" x14ac:dyDescent="0.25">
      <c r="C1509" s="207"/>
      <c r="D1509" s="196">
        <v>42688</v>
      </c>
      <c r="E1509" s="101" t="s">
        <v>11</v>
      </c>
      <c r="F1509" s="216" t="s">
        <v>49</v>
      </c>
      <c r="G1509" s="3" t="s">
        <v>56</v>
      </c>
      <c r="H1509" s="3" t="s">
        <v>56</v>
      </c>
      <c r="M1509" s="151" t="str">
        <f t="shared" si="73"/>
        <v>/</v>
      </c>
      <c r="N1509" s="151" t="str">
        <f t="shared" si="74"/>
        <v/>
      </c>
      <c r="Q1509" s="239" t="str">
        <f t="shared" ca="1" si="72"/>
        <v/>
      </c>
    </row>
    <row r="1510" spans="3:17" ht="15.75" hidden="1" customHeight="1" outlineLevel="1" x14ac:dyDescent="0.25">
      <c r="C1510" s="207"/>
      <c r="D1510" s="196">
        <v>42690</v>
      </c>
      <c r="E1510" s="101" t="s">
        <v>23</v>
      </c>
      <c r="F1510" s="216" t="s">
        <v>50</v>
      </c>
      <c r="G1510" s="3" t="s">
        <v>56</v>
      </c>
      <c r="H1510" s="3" t="s">
        <v>56</v>
      </c>
      <c r="M1510" s="151" t="str">
        <f t="shared" si="73"/>
        <v/>
      </c>
      <c r="N1510" s="151" t="str">
        <f t="shared" si="74"/>
        <v>/</v>
      </c>
      <c r="Q1510" s="239" t="str">
        <f t="shared" ca="1" si="72"/>
        <v/>
      </c>
    </row>
    <row r="1511" spans="3:17" ht="15.75" hidden="1" customHeight="1" outlineLevel="1" x14ac:dyDescent="0.25">
      <c r="C1511" s="207"/>
      <c r="D1511" s="196">
        <v>42691</v>
      </c>
      <c r="E1511" s="101" t="s">
        <v>24</v>
      </c>
      <c r="F1511" s="216" t="s">
        <v>49</v>
      </c>
      <c r="G1511" s="3" t="s">
        <v>56</v>
      </c>
      <c r="H1511" s="3" t="s">
        <v>56</v>
      </c>
      <c r="M1511" s="151" t="str">
        <f t="shared" si="73"/>
        <v>/</v>
      </c>
      <c r="N1511" s="151" t="str">
        <f t="shared" si="74"/>
        <v/>
      </c>
      <c r="Q1511" s="239" t="str">
        <f t="shared" ca="1" si="72"/>
        <v/>
      </c>
    </row>
    <row r="1512" spans="3:17" ht="15.75" hidden="1" customHeight="1" outlineLevel="1" x14ac:dyDescent="0.25">
      <c r="C1512" s="207"/>
      <c r="D1512" s="196">
        <v>42693</v>
      </c>
      <c r="E1512" s="101" t="s">
        <v>28</v>
      </c>
      <c r="F1512" s="216" t="s">
        <v>49</v>
      </c>
      <c r="G1512" s="3" t="s">
        <v>56</v>
      </c>
      <c r="H1512" s="3" t="s">
        <v>56</v>
      </c>
      <c r="M1512" s="151" t="str">
        <f t="shared" si="73"/>
        <v>/</v>
      </c>
      <c r="N1512" s="151" t="str">
        <f t="shared" si="74"/>
        <v/>
      </c>
      <c r="Q1512" s="239" t="str">
        <f t="shared" ca="1" si="72"/>
        <v/>
      </c>
    </row>
    <row r="1513" spans="3:17" ht="15.75" hidden="1" customHeight="1" outlineLevel="1" x14ac:dyDescent="0.25">
      <c r="C1513" s="207"/>
      <c r="D1513" s="196">
        <v>42695</v>
      </c>
      <c r="E1513" s="101" t="s">
        <v>5</v>
      </c>
      <c r="F1513" s="216" t="s">
        <v>50</v>
      </c>
      <c r="G1513" s="3" t="s">
        <v>56</v>
      </c>
      <c r="H1513" s="3" t="s">
        <v>56</v>
      </c>
      <c r="M1513" s="151" t="str">
        <f t="shared" si="73"/>
        <v/>
      </c>
      <c r="N1513" s="151" t="str">
        <f t="shared" si="74"/>
        <v>/</v>
      </c>
      <c r="Q1513" s="239" t="str">
        <f t="shared" ca="1" si="72"/>
        <v/>
      </c>
    </row>
    <row r="1514" spans="3:17" ht="15.75" hidden="1" customHeight="1" outlineLevel="1" x14ac:dyDescent="0.25">
      <c r="C1514" s="207"/>
      <c r="D1514" s="196">
        <v>42697</v>
      </c>
      <c r="E1514" s="101" t="s">
        <v>12</v>
      </c>
      <c r="F1514" s="216" t="s">
        <v>49</v>
      </c>
      <c r="G1514" s="3" t="s">
        <v>56</v>
      </c>
      <c r="H1514" s="3" t="s">
        <v>56</v>
      </c>
      <c r="M1514" s="151" t="str">
        <f t="shared" si="73"/>
        <v>/</v>
      </c>
      <c r="N1514" s="151" t="str">
        <f t="shared" si="74"/>
        <v/>
      </c>
      <c r="Q1514" s="239" t="str">
        <f t="shared" ca="1" si="72"/>
        <v/>
      </c>
    </row>
    <row r="1515" spans="3:17" ht="15.75" hidden="1" customHeight="1" outlineLevel="1" x14ac:dyDescent="0.25">
      <c r="C1515" s="207"/>
      <c r="D1515" s="196">
        <v>42699</v>
      </c>
      <c r="E1515" s="101" t="s">
        <v>26</v>
      </c>
      <c r="F1515" s="216" t="s">
        <v>50</v>
      </c>
      <c r="G1515" s="3" t="s">
        <v>56</v>
      </c>
      <c r="H1515" s="3" t="s">
        <v>56</v>
      </c>
      <c r="M1515" s="151" t="str">
        <f t="shared" si="73"/>
        <v/>
      </c>
      <c r="N1515" s="151" t="str">
        <f t="shared" si="74"/>
        <v>/</v>
      </c>
      <c r="Q1515" s="239" t="str">
        <f t="shared" ref="Q1515:Q1578" ca="1" si="75">IF(D1515=TODAY(),1,"")</f>
        <v/>
      </c>
    </row>
    <row r="1516" spans="3:17" ht="15.75" hidden="1" customHeight="1" outlineLevel="1" x14ac:dyDescent="0.25">
      <c r="C1516" s="207"/>
      <c r="D1516" s="196">
        <v>42701</v>
      </c>
      <c r="E1516" s="101" t="s">
        <v>24</v>
      </c>
      <c r="F1516" s="216" t="s">
        <v>50</v>
      </c>
      <c r="G1516" s="3" t="s">
        <v>56</v>
      </c>
      <c r="H1516" s="3" t="s">
        <v>56</v>
      </c>
      <c r="M1516" s="151" t="str">
        <f t="shared" si="73"/>
        <v/>
      </c>
      <c r="N1516" s="151" t="str">
        <f t="shared" si="74"/>
        <v>/</v>
      </c>
      <c r="Q1516" s="239" t="str">
        <f t="shared" ca="1" si="75"/>
        <v/>
      </c>
    </row>
    <row r="1517" spans="3:17" ht="15.75" hidden="1" customHeight="1" outlineLevel="1" x14ac:dyDescent="0.25">
      <c r="C1517" s="207"/>
      <c r="D1517" s="196">
        <v>42703</v>
      </c>
      <c r="E1517" s="101" t="s">
        <v>28</v>
      </c>
      <c r="F1517" s="216" t="s">
        <v>50</v>
      </c>
      <c r="G1517" s="3" t="s">
        <v>56</v>
      </c>
      <c r="H1517" s="3" t="s">
        <v>56</v>
      </c>
      <c r="M1517" s="151" t="str">
        <f t="shared" si="73"/>
        <v/>
      </c>
      <c r="N1517" s="151" t="str">
        <f t="shared" si="74"/>
        <v>/</v>
      </c>
      <c r="Q1517" s="239" t="str">
        <f t="shared" ca="1" si="75"/>
        <v/>
      </c>
    </row>
    <row r="1518" spans="3:17" ht="15.75" hidden="1" customHeight="1" outlineLevel="1" x14ac:dyDescent="0.25">
      <c r="C1518" s="208"/>
      <c r="D1518" s="196">
        <v>42705</v>
      </c>
      <c r="E1518" s="101" t="s">
        <v>16</v>
      </c>
      <c r="F1518" s="216" t="s">
        <v>50</v>
      </c>
      <c r="G1518" s="3" t="s">
        <v>56</v>
      </c>
      <c r="H1518" s="3" t="s">
        <v>56</v>
      </c>
      <c r="M1518" s="151" t="str">
        <f t="shared" si="73"/>
        <v/>
      </c>
      <c r="N1518" s="151" t="str">
        <f t="shared" si="74"/>
        <v>/</v>
      </c>
      <c r="Q1518" s="239" t="str">
        <f t="shared" ca="1" si="75"/>
        <v/>
      </c>
    </row>
    <row r="1519" spans="3:17" ht="15.75" hidden="1" customHeight="1" outlineLevel="1" x14ac:dyDescent="0.25">
      <c r="C1519" s="208"/>
      <c r="D1519" s="196">
        <v>42706</v>
      </c>
      <c r="E1519" s="101" t="s">
        <v>15</v>
      </c>
      <c r="F1519" s="216" t="s">
        <v>50</v>
      </c>
      <c r="G1519" s="3" t="s">
        <v>56</v>
      </c>
      <c r="H1519" s="3" t="s">
        <v>56</v>
      </c>
      <c r="M1519" s="151" t="str">
        <f t="shared" si="73"/>
        <v/>
      </c>
      <c r="N1519" s="151" t="str">
        <f t="shared" si="74"/>
        <v>/</v>
      </c>
      <c r="Q1519" s="239" t="str">
        <f t="shared" ca="1" si="75"/>
        <v/>
      </c>
    </row>
    <row r="1520" spans="3:17" ht="15.75" hidden="1" customHeight="1" outlineLevel="1" x14ac:dyDescent="0.25">
      <c r="C1520" s="208"/>
      <c r="D1520" s="196">
        <v>42709</v>
      </c>
      <c r="E1520" s="101" t="s">
        <v>1</v>
      </c>
      <c r="F1520" s="216" t="s">
        <v>49</v>
      </c>
      <c r="G1520" s="3" t="s">
        <v>56</v>
      </c>
      <c r="H1520" s="3" t="s">
        <v>56</v>
      </c>
      <c r="M1520" s="151" t="str">
        <f t="shared" si="73"/>
        <v>/</v>
      </c>
      <c r="N1520" s="151" t="str">
        <f t="shared" si="74"/>
        <v/>
      </c>
      <c r="Q1520" s="239" t="str">
        <f t="shared" ca="1" si="75"/>
        <v/>
      </c>
    </row>
    <row r="1521" spans="3:17" ht="15.75" hidden="1" customHeight="1" outlineLevel="1" x14ac:dyDescent="0.25">
      <c r="C1521" s="208"/>
      <c r="D1521" s="196">
        <v>42711</v>
      </c>
      <c r="E1521" s="101" t="s">
        <v>644</v>
      </c>
      <c r="F1521" s="216" t="s">
        <v>49</v>
      </c>
      <c r="G1521" s="3" t="s">
        <v>56</v>
      </c>
      <c r="H1521" s="3" t="s">
        <v>56</v>
      </c>
      <c r="M1521" s="151" t="str">
        <f t="shared" si="73"/>
        <v>/</v>
      </c>
      <c r="N1521" s="151" t="str">
        <f t="shared" si="74"/>
        <v/>
      </c>
      <c r="Q1521" s="239" t="str">
        <f t="shared" ca="1" si="75"/>
        <v/>
      </c>
    </row>
    <row r="1522" spans="3:17" ht="15.75" hidden="1" customHeight="1" outlineLevel="1" x14ac:dyDescent="0.25">
      <c r="C1522" s="208"/>
      <c r="D1522" s="196">
        <v>42713</v>
      </c>
      <c r="E1522" s="101" t="s">
        <v>23</v>
      </c>
      <c r="F1522" s="216" t="s">
        <v>50</v>
      </c>
      <c r="G1522" s="3" t="s">
        <v>56</v>
      </c>
      <c r="H1522" s="3" t="s">
        <v>56</v>
      </c>
      <c r="M1522" s="151" t="str">
        <f t="shared" si="73"/>
        <v/>
      </c>
      <c r="N1522" s="151" t="str">
        <f t="shared" si="74"/>
        <v>/</v>
      </c>
      <c r="Q1522" s="239" t="str">
        <f t="shared" ca="1" si="75"/>
        <v/>
      </c>
    </row>
    <row r="1523" spans="3:17" ht="15.75" hidden="1" customHeight="1" outlineLevel="1" x14ac:dyDescent="0.25">
      <c r="C1523" s="208"/>
      <c r="D1523" s="196">
        <v>42714</v>
      </c>
      <c r="E1523" s="101" t="s">
        <v>645</v>
      </c>
      <c r="F1523" s="216" t="s">
        <v>49</v>
      </c>
      <c r="G1523" s="3" t="s">
        <v>56</v>
      </c>
      <c r="H1523" s="3" t="s">
        <v>56</v>
      </c>
      <c r="M1523" s="151" t="str">
        <f t="shared" si="73"/>
        <v>/</v>
      </c>
      <c r="N1523" s="151" t="str">
        <f t="shared" si="74"/>
        <v/>
      </c>
      <c r="Q1523" s="239" t="str">
        <f t="shared" ca="1" si="75"/>
        <v/>
      </c>
    </row>
    <row r="1524" spans="3:17" ht="15.75" hidden="1" customHeight="1" outlineLevel="1" x14ac:dyDescent="0.25">
      <c r="C1524" s="208"/>
      <c r="D1524" s="196">
        <v>42716</v>
      </c>
      <c r="E1524" s="101" t="s">
        <v>45</v>
      </c>
      <c r="F1524" s="216" t="s">
        <v>49</v>
      </c>
      <c r="G1524" s="3" t="s">
        <v>56</v>
      </c>
      <c r="H1524" s="3" t="s">
        <v>56</v>
      </c>
      <c r="M1524" s="151" t="str">
        <f t="shared" si="73"/>
        <v>/</v>
      </c>
      <c r="N1524" s="151" t="str">
        <f t="shared" si="74"/>
        <v/>
      </c>
      <c r="Q1524" s="239" t="str">
        <f t="shared" ca="1" si="75"/>
        <v/>
      </c>
    </row>
    <row r="1525" spans="3:17" ht="15.75" hidden="1" customHeight="1" outlineLevel="1" x14ac:dyDescent="0.25">
      <c r="C1525" s="208"/>
      <c r="D1525" s="196">
        <v>42718</v>
      </c>
      <c r="E1525" s="101" t="s">
        <v>26</v>
      </c>
      <c r="F1525" s="216" t="s">
        <v>49</v>
      </c>
      <c r="G1525" s="3" t="s">
        <v>56</v>
      </c>
      <c r="H1525" s="3" t="s">
        <v>56</v>
      </c>
      <c r="M1525" s="151" t="str">
        <f t="shared" si="73"/>
        <v>/</v>
      </c>
      <c r="N1525" s="151" t="str">
        <f t="shared" si="74"/>
        <v/>
      </c>
      <c r="Q1525" s="239" t="str">
        <f t="shared" ca="1" si="75"/>
        <v/>
      </c>
    </row>
    <row r="1526" spans="3:17" ht="15.75" hidden="1" customHeight="1" outlineLevel="1" x14ac:dyDescent="0.25">
      <c r="C1526" s="208"/>
      <c r="D1526" s="196">
        <v>42720</v>
      </c>
      <c r="E1526" s="101" t="s">
        <v>22</v>
      </c>
      <c r="F1526" s="216" t="s">
        <v>49</v>
      </c>
      <c r="G1526" s="3" t="s">
        <v>56</v>
      </c>
      <c r="H1526" s="3" t="s">
        <v>56</v>
      </c>
      <c r="M1526" s="151" t="str">
        <f t="shared" si="73"/>
        <v>/</v>
      </c>
      <c r="N1526" s="151" t="str">
        <f t="shared" si="74"/>
        <v/>
      </c>
      <c r="Q1526" s="239" t="str">
        <f t="shared" ca="1" si="75"/>
        <v/>
      </c>
    </row>
    <row r="1527" spans="3:17" ht="15.75" hidden="1" customHeight="1" outlineLevel="1" x14ac:dyDescent="0.25">
      <c r="C1527" s="208"/>
      <c r="D1527" s="196">
        <v>42721</v>
      </c>
      <c r="E1527" s="101" t="s">
        <v>21</v>
      </c>
      <c r="F1527" s="216" t="s">
        <v>50</v>
      </c>
      <c r="G1527" s="3" t="s">
        <v>56</v>
      </c>
      <c r="H1527" s="3" t="s">
        <v>56</v>
      </c>
      <c r="M1527" s="151" t="str">
        <f t="shared" si="73"/>
        <v/>
      </c>
      <c r="N1527" s="151" t="str">
        <f t="shared" si="74"/>
        <v>/</v>
      </c>
      <c r="Q1527" s="239" t="str">
        <f t="shared" ca="1" si="75"/>
        <v/>
      </c>
    </row>
    <row r="1528" spans="3:17" ht="15.75" hidden="1" customHeight="1" outlineLevel="1" x14ac:dyDescent="0.25">
      <c r="C1528" s="208"/>
      <c r="D1528" s="196">
        <v>42724</v>
      </c>
      <c r="E1528" s="101" t="s">
        <v>46</v>
      </c>
      <c r="F1528" s="216" t="s">
        <v>49</v>
      </c>
      <c r="G1528" s="3" t="s">
        <v>56</v>
      </c>
      <c r="H1528" s="3" t="s">
        <v>56</v>
      </c>
      <c r="M1528" s="151" t="str">
        <f t="shared" si="73"/>
        <v>/</v>
      </c>
      <c r="N1528" s="151" t="str">
        <f t="shared" si="74"/>
        <v/>
      </c>
      <c r="Q1528" s="239" t="str">
        <f t="shared" ca="1" si="75"/>
        <v/>
      </c>
    </row>
    <row r="1529" spans="3:17" ht="15.75" hidden="1" customHeight="1" outlineLevel="1" x14ac:dyDescent="0.25">
      <c r="C1529" s="208"/>
      <c r="D1529" s="196">
        <v>42725</v>
      </c>
      <c r="E1529" s="101" t="s">
        <v>25</v>
      </c>
      <c r="F1529" s="216" t="s">
        <v>50</v>
      </c>
      <c r="G1529" s="3" t="s">
        <v>56</v>
      </c>
      <c r="H1529" s="3" t="s">
        <v>56</v>
      </c>
      <c r="M1529" s="151" t="str">
        <f t="shared" si="73"/>
        <v/>
      </c>
      <c r="N1529" s="151" t="str">
        <f t="shared" si="74"/>
        <v>/</v>
      </c>
      <c r="Q1529" s="239" t="str">
        <f t="shared" ca="1" si="75"/>
        <v/>
      </c>
    </row>
    <row r="1530" spans="3:17" ht="15.75" hidden="1" customHeight="1" outlineLevel="1" x14ac:dyDescent="0.25">
      <c r="C1530" s="208"/>
      <c r="D1530" s="196">
        <v>42727</v>
      </c>
      <c r="E1530" s="101" t="s">
        <v>20</v>
      </c>
      <c r="F1530" s="216" t="s">
        <v>50</v>
      </c>
      <c r="G1530" s="3" t="s">
        <v>56</v>
      </c>
      <c r="H1530" s="3" t="s">
        <v>56</v>
      </c>
      <c r="M1530" s="151" t="str">
        <f t="shared" si="73"/>
        <v/>
      </c>
      <c r="N1530" s="151" t="str">
        <f t="shared" si="74"/>
        <v>/</v>
      </c>
      <c r="Q1530" s="239" t="str">
        <f t="shared" ca="1" si="75"/>
        <v/>
      </c>
    </row>
    <row r="1531" spans="3:17" ht="15.75" hidden="1" customHeight="1" outlineLevel="1" x14ac:dyDescent="0.25">
      <c r="C1531" s="208"/>
      <c r="D1531" s="196">
        <v>42730</v>
      </c>
      <c r="E1531" s="101" t="s">
        <v>25</v>
      </c>
      <c r="F1531" s="216" t="s">
        <v>49</v>
      </c>
      <c r="G1531" s="3" t="s">
        <v>56</v>
      </c>
      <c r="H1531" s="3" t="s">
        <v>56</v>
      </c>
      <c r="M1531" s="151" t="str">
        <f t="shared" si="73"/>
        <v>/</v>
      </c>
      <c r="N1531" s="151" t="str">
        <f t="shared" si="74"/>
        <v/>
      </c>
      <c r="Q1531" s="239" t="str">
        <f t="shared" ca="1" si="75"/>
        <v/>
      </c>
    </row>
    <row r="1532" spans="3:17" ht="15.75" hidden="1" customHeight="1" outlineLevel="1" x14ac:dyDescent="0.25">
      <c r="C1532" s="208"/>
      <c r="D1532" s="196">
        <v>42731</v>
      </c>
      <c r="E1532" s="101" t="s">
        <v>645</v>
      </c>
      <c r="F1532" s="216" t="s">
        <v>50</v>
      </c>
      <c r="G1532" s="3" t="s">
        <v>56</v>
      </c>
      <c r="H1532" s="3" t="s">
        <v>56</v>
      </c>
      <c r="M1532" s="151" t="str">
        <f t="shared" si="73"/>
        <v/>
      </c>
      <c r="N1532" s="151" t="str">
        <f t="shared" si="74"/>
        <v>/</v>
      </c>
      <c r="Q1532" s="239" t="str">
        <f t="shared" ca="1" si="75"/>
        <v/>
      </c>
    </row>
    <row r="1533" spans="3:17" ht="15.75" hidden="1" customHeight="1" outlineLevel="1" x14ac:dyDescent="0.25">
      <c r="C1533" s="208"/>
      <c r="D1533" s="196">
        <v>42734</v>
      </c>
      <c r="E1533" s="101" t="s">
        <v>18</v>
      </c>
      <c r="F1533" s="216" t="s">
        <v>49</v>
      </c>
      <c r="G1533" s="3" t="s">
        <v>56</v>
      </c>
      <c r="H1533" s="3" t="s">
        <v>56</v>
      </c>
      <c r="M1533" s="151" t="str">
        <f t="shared" si="73"/>
        <v>/</v>
      </c>
      <c r="N1533" s="151" t="str">
        <f t="shared" si="74"/>
        <v/>
      </c>
      <c r="Q1533" s="239" t="str">
        <f t="shared" ca="1" si="75"/>
        <v/>
      </c>
    </row>
    <row r="1534" spans="3:17" ht="15.75" hidden="1" customHeight="1" outlineLevel="1" x14ac:dyDescent="0.25">
      <c r="C1534" s="208"/>
      <c r="D1534" s="196">
        <v>42735</v>
      </c>
      <c r="E1534" s="101" t="s">
        <v>9</v>
      </c>
      <c r="F1534" s="216" t="s">
        <v>49</v>
      </c>
      <c r="G1534" s="3" t="s">
        <v>56</v>
      </c>
      <c r="H1534" s="3" t="s">
        <v>56</v>
      </c>
      <c r="M1534" s="151" t="str">
        <f t="shared" si="73"/>
        <v>/</v>
      </c>
      <c r="N1534" s="151" t="str">
        <f t="shared" si="74"/>
        <v/>
      </c>
      <c r="Q1534" s="239" t="str">
        <f t="shared" ca="1" si="75"/>
        <v/>
      </c>
    </row>
    <row r="1535" spans="3:17" ht="15.75" hidden="1" customHeight="1" outlineLevel="1" x14ac:dyDescent="0.25">
      <c r="C1535" s="207"/>
      <c r="D1535" s="196">
        <v>42371</v>
      </c>
      <c r="E1535" s="101" t="s">
        <v>13</v>
      </c>
      <c r="F1535" s="216" t="s">
        <v>49</v>
      </c>
      <c r="G1535" s="3" t="s">
        <v>56</v>
      </c>
      <c r="H1535" s="3" t="s">
        <v>56</v>
      </c>
      <c r="M1535" s="151" t="str">
        <f t="shared" si="73"/>
        <v>/</v>
      </c>
      <c r="N1535" s="151" t="str">
        <f t="shared" si="74"/>
        <v/>
      </c>
      <c r="Q1535" s="239" t="str">
        <f t="shared" ca="1" si="75"/>
        <v/>
      </c>
    </row>
    <row r="1536" spans="3:17" ht="15.75" hidden="1" customHeight="1" outlineLevel="1" x14ac:dyDescent="0.25">
      <c r="C1536" s="207"/>
      <c r="D1536" s="196">
        <v>42374</v>
      </c>
      <c r="E1536" s="101" t="s">
        <v>23</v>
      </c>
      <c r="F1536" s="216" t="s">
        <v>49</v>
      </c>
      <c r="G1536" s="3" t="s">
        <v>56</v>
      </c>
      <c r="H1536" s="3" t="s">
        <v>56</v>
      </c>
      <c r="M1536" s="151" t="str">
        <f t="shared" si="73"/>
        <v>/</v>
      </c>
      <c r="N1536" s="151" t="str">
        <f t="shared" si="74"/>
        <v/>
      </c>
      <c r="Q1536" s="239" t="str">
        <f t="shared" ca="1" si="75"/>
        <v/>
      </c>
    </row>
    <row r="1537" spans="3:17" ht="15.75" hidden="1" customHeight="1" outlineLevel="1" x14ac:dyDescent="0.25">
      <c r="C1537" s="207"/>
      <c r="D1537" s="196">
        <v>42375</v>
      </c>
      <c r="E1537" s="101" t="s">
        <v>10</v>
      </c>
      <c r="F1537" s="216" t="s">
        <v>50</v>
      </c>
      <c r="G1537" s="3" t="s">
        <v>56</v>
      </c>
      <c r="H1537" s="3" t="s">
        <v>56</v>
      </c>
      <c r="M1537" s="151" t="str">
        <f t="shared" si="73"/>
        <v/>
      </c>
      <c r="N1537" s="151" t="str">
        <f t="shared" si="74"/>
        <v>/</v>
      </c>
      <c r="Q1537" s="239" t="str">
        <f t="shared" ca="1" si="75"/>
        <v/>
      </c>
    </row>
    <row r="1538" spans="3:17" ht="15.75" hidden="1" customHeight="1" outlineLevel="1" x14ac:dyDescent="0.25">
      <c r="C1538" s="207"/>
      <c r="D1538" s="196">
        <v>42377</v>
      </c>
      <c r="E1538" s="101" t="s">
        <v>12</v>
      </c>
      <c r="F1538" s="216" t="s">
        <v>50</v>
      </c>
      <c r="G1538" s="3" t="s">
        <v>56</v>
      </c>
      <c r="H1538" s="3" t="s">
        <v>56</v>
      </c>
      <c r="M1538" s="151" t="str">
        <f t="shared" si="73"/>
        <v/>
      </c>
      <c r="N1538" s="151" t="str">
        <f t="shared" si="74"/>
        <v>/</v>
      </c>
      <c r="Q1538" s="239" t="str">
        <f t="shared" ca="1" si="75"/>
        <v/>
      </c>
    </row>
    <row r="1539" spans="3:17" ht="15.75" hidden="1" customHeight="1" outlineLevel="1" x14ac:dyDescent="0.25">
      <c r="C1539" s="207"/>
      <c r="D1539" s="196">
        <v>42379</v>
      </c>
      <c r="E1539" s="101" t="s">
        <v>3</v>
      </c>
      <c r="F1539" s="216" t="s">
        <v>49</v>
      </c>
      <c r="G1539" s="3" t="s">
        <v>56</v>
      </c>
      <c r="H1539" s="3" t="s">
        <v>56</v>
      </c>
      <c r="M1539" s="151" t="str">
        <f t="shared" si="73"/>
        <v>/</v>
      </c>
      <c r="N1539" s="151" t="str">
        <f t="shared" si="74"/>
        <v/>
      </c>
      <c r="Q1539" s="239" t="str">
        <f t="shared" ca="1" si="75"/>
        <v/>
      </c>
    </row>
    <row r="1540" spans="3:17" ht="15.75" hidden="1" customHeight="1" outlineLevel="1" x14ac:dyDescent="0.25">
      <c r="C1540" s="207"/>
      <c r="D1540" s="196">
        <v>42380</v>
      </c>
      <c r="E1540" s="101" t="s">
        <v>21</v>
      </c>
      <c r="F1540" s="216" t="s">
        <v>50</v>
      </c>
      <c r="G1540" s="3" t="s">
        <v>56</v>
      </c>
      <c r="H1540" s="3" t="s">
        <v>56</v>
      </c>
      <c r="M1540" s="151" t="str">
        <f t="shared" si="73"/>
        <v/>
      </c>
      <c r="N1540" s="151" t="str">
        <f t="shared" si="74"/>
        <v>/</v>
      </c>
      <c r="Q1540" s="239" t="str">
        <f t="shared" ca="1" si="75"/>
        <v/>
      </c>
    </row>
    <row r="1541" spans="3:17" ht="15.75" hidden="1" customHeight="1" outlineLevel="1" x14ac:dyDescent="0.25">
      <c r="C1541" s="207"/>
      <c r="D1541" s="196">
        <v>42382</v>
      </c>
      <c r="E1541" s="101" t="s">
        <v>20</v>
      </c>
      <c r="F1541" s="216" t="s">
        <v>49</v>
      </c>
      <c r="G1541" s="3" t="s">
        <v>56</v>
      </c>
      <c r="H1541" s="3" t="s">
        <v>56</v>
      </c>
      <c r="M1541" s="151" t="str">
        <f t="shared" si="73"/>
        <v>/</v>
      </c>
      <c r="N1541" s="151" t="str">
        <f t="shared" si="74"/>
        <v/>
      </c>
      <c r="Q1541" s="239" t="str">
        <f t="shared" ca="1" si="75"/>
        <v/>
      </c>
    </row>
    <row r="1542" spans="3:17" ht="15.75" hidden="1" customHeight="1" outlineLevel="1" x14ac:dyDescent="0.25">
      <c r="C1542" s="207"/>
      <c r="D1542" s="196">
        <v>42384</v>
      </c>
      <c r="E1542" s="101" t="s">
        <v>45</v>
      </c>
      <c r="F1542" s="216" t="s">
        <v>50</v>
      </c>
      <c r="G1542" s="3" t="s">
        <v>56</v>
      </c>
      <c r="H1542" s="3" t="s">
        <v>56</v>
      </c>
      <c r="M1542" s="151" t="str">
        <f t="shared" si="73"/>
        <v/>
      </c>
      <c r="N1542" s="151" t="str">
        <f t="shared" si="74"/>
        <v>/</v>
      </c>
      <c r="Q1542" s="239" t="str">
        <f t="shared" ca="1" si="75"/>
        <v/>
      </c>
    </row>
    <row r="1543" spans="3:17" ht="15.75" hidden="1" customHeight="1" outlineLevel="1" x14ac:dyDescent="0.25">
      <c r="C1543" s="207"/>
      <c r="D1543" s="196">
        <v>42386</v>
      </c>
      <c r="E1543" s="101" t="s">
        <v>6</v>
      </c>
      <c r="F1543" s="216" t="s">
        <v>50</v>
      </c>
      <c r="G1543" s="3" t="s">
        <v>56</v>
      </c>
      <c r="H1543" s="3" t="s">
        <v>56</v>
      </c>
      <c r="M1543" s="151" t="str">
        <f t="shared" ref="M1543:M1606" si="76">IF(F1543="D",H1543,"")</f>
        <v/>
      </c>
      <c r="N1543" s="151" t="str">
        <f t="shared" ref="N1543:N1606" si="77">IF(F1543="E",H1543,"")</f>
        <v>/</v>
      </c>
      <c r="Q1543" s="239" t="str">
        <f t="shared" ca="1" si="75"/>
        <v/>
      </c>
    </row>
    <row r="1544" spans="3:17" ht="15.75" hidden="1" customHeight="1" outlineLevel="1" x14ac:dyDescent="0.25">
      <c r="C1544" s="207"/>
      <c r="D1544" s="196">
        <v>42387</v>
      </c>
      <c r="E1544" s="101" t="s">
        <v>8</v>
      </c>
      <c r="F1544" s="216" t="s">
        <v>49</v>
      </c>
      <c r="G1544" s="3" t="s">
        <v>56</v>
      </c>
      <c r="H1544" s="3" t="s">
        <v>56</v>
      </c>
      <c r="M1544" s="151" t="str">
        <f t="shared" si="76"/>
        <v>/</v>
      </c>
      <c r="N1544" s="151" t="str">
        <f t="shared" si="77"/>
        <v/>
      </c>
      <c r="Q1544" s="239" t="str">
        <f t="shared" ca="1" si="75"/>
        <v/>
      </c>
    </row>
    <row r="1545" spans="3:17" ht="15.75" hidden="1" customHeight="1" outlineLevel="1" x14ac:dyDescent="0.25">
      <c r="C1545" s="207"/>
      <c r="D1545" s="196">
        <v>42389</v>
      </c>
      <c r="E1545" s="101" t="s">
        <v>16</v>
      </c>
      <c r="F1545" s="216" t="s">
        <v>49</v>
      </c>
      <c r="G1545" s="3" t="s">
        <v>56</v>
      </c>
      <c r="H1545" s="3" t="s">
        <v>56</v>
      </c>
      <c r="M1545" s="151" t="str">
        <f t="shared" si="76"/>
        <v>/</v>
      </c>
      <c r="N1545" s="151" t="str">
        <f t="shared" si="77"/>
        <v/>
      </c>
      <c r="Q1545" s="239" t="str">
        <f t="shared" ca="1" si="75"/>
        <v/>
      </c>
    </row>
    <row r="1546" spans="3:17" ht="15.75" hidden="1" customHeight="1" outlineLevel="1" x14ac:dyDescent="0.25">
      <c r="C1546" s="207"/>
      <c r="D1546" s="196">
        <v>42390</v>
      </c>
      <c r="E1546" s="101" t="s">
        <v>20</v>
      </c>
      <c r="F1546" s="216" t="s">
        <v>50</v>
      </c>
      <c r="G1546" s="3" t="s">
        <v>56</v>
      </c>
      <c r="H1546" s="3" t="s">
        <v>56</v>
      </c>
      <c r="M1546" s="151" t="str">
        <f t="shared" si="76"/>
        <v/>
      </c>
      <c r="N1546" s="151" t="str">
        <f t="shared" si="77"/>
        <v>/</v>
      </c>
      <c r="Q1546" s="239" t="str">
        <f t="shared" ca="1" si="75"/>
        <v/>
      </c>
    </row>
    <row r="1547" spans="3:17" ht="15.75" hidden="1" customHeight="1" outlineLevel="1" x14ac:dyDescent="0.25">
      <c r="C1547" s="207"/>
      <c r="D1547" s="196">
        <v>42392</v>
      </c>
      <c r="E1547" s="101" t="s">
        <v>8</v>
      </c>
      <c r="F1547" s="216" t="s">
        <v>50</v>
      </c>
      <c r="G1547" s="3" t="s">
        <v>56</v>
      </c>
      <c r="H1547" s="3" t="s">
        <v>56</v>
      </c>
      <c r="M1547" s="151" t="str">
        <f t="shared" si="76"/>
        <v/>
      </c>
      <c r="N1547" s="151" t="str">
        <f t="shared" si="77"/>
        <v>/</v>
      </c>
      <c r="Q1547" s="239" t="str">
        <f t="shared" ca="1" si="75"/>
        <v/>
      </c>
    </row>
    <row r="1548" spans="3:17" ht="15.75" hidden="1" customHeight="1" outlineLevel="1" x14ac:dyDescent="0.25">
      <c r="C1548" s="207"/>
      <c r="D1548" s="196">
        <v>42394</v>
      </c>
      <c r="E1548" s="101" t="s">
        <v>1</v>
      </c>
      <c r="F1548" s="216" t="s">
        <v>50</v>
      </c>
      <c r="G1548" s="3" t="s">
        <v>56</v>
      </c>
      <c r="H1548" s="3" t="s">
        <v>56</v>
      </c>
      <c r="M1548" s="151" t="str">
        <f t="shared" si="76"/>
        <v/>
      </c>
      <c r="N1548" s="151" t="str">
        <f t="shared" si="77"/>
        <v>/</v>
      </c>
      <c r="Q1548" s="239" t="str">
        <f t="shared" ca="1" si="75"/>
        <v/>
      </c>
    </row>
    <row r="1549" spans="3:17" ht="15.75" hidden="1" customHeight="1" outlineLevel="1" x14ac:dyDescent="0.25">
      <c r="C1549" s="207"/>
      <c r="D1549" s="196">
        <v>42396</v>
      </c>
      <c r="E1549" s="101" t="s">
        <v>11</v>
      </c>
      <c r="F1549" s="216" t="s">
        <v>50</v>
      </c>
      <c r="G1549" s="3" t="s">
        <v>56</v>
      </c>
      <c r="H1549" s="3" t="s">
        <v>56</v>
      </c>
      <c r="M1549" s="151" t="str">
        <f t="shared" si="76"/>
        <v/>
      </c>
      <c r="N1549" s="151" t="str">
        <f t="shared" si="77"/>
        <v>/</v>
      </c>
      <c r="Q1549" s="239" t="str">
        <f t="shared" ca="1" si="75"/>
        <v/>
      </c>
    </row>
    <row r="1550" spans="3:17" ht="15.75" hidden="1" customHeight="1" outlineLevel="1" x14ac:dyDescent="0.25">
      <c r="C1550" s="207"/>
      <c r="D1550" s="196">
        <v>42398</v>
      </c>
      <c r="E1550" s="101" t="s">
        <v>7</v>
      </c>
      <c r="F1550" s="216" t="s">
        <v>50</v>
      </c>
      <c r="G1550" s="3" t="s">
        <v>56</v>
      </c>
      <c r="H1550" s="3" t="s">
        <v>56</v>
      </c>
      <c r="M1550" s="151" t="str">
        <f t="shared" si="76"/>
        <v/>
      </c>
      <c r="N1550" s="151" t="str">
        <f t="shared" si="77"/>
        <v>/</v>
      </c>
      <c r="Q1550" s="239" t="str">
        <f t="shared" ca="1" si="75"/>
        <v/>
      </c>
    </row>
    <row r="1551" spans="3:17" ht="15.75" hidden="1" customHeight="1" outlineLevel="1" x14ac:dyDescent="0.25">
      <c r="C1551" s="207"/>
      <c r="D1551" s="196">
        <v>42400</v>
      </c>
      <c r="E1551" s="101" t="s">
        <v>26</v>
      </c>
      <c r="F1551" s="216" t="s">
        <v>49</v>
      </c>
      <c r="G1551" s="3" t="s">
        <v>56</v>
      </c>
      <c r="H1551" s="3" t="s">
        <v>56</v>
      </c>
      <c r="M1551" s="151" t="str">
        <f t="shared" si="76"/>
        <v>/</v>
      </c>
      <c r="N1551" s="151" t="str">
        <f t="shared" si="77"/>
        <v/>
      </c>
      <c r="Q1551" s="239" t="str">
        <f t="shared" ca="1" si="75"/>
        <v/>
      </c>
    </row>
    <row r="1552" spans="3:17" ht="15.75" hidden="1" customHeight="1" outlineLevel="1" x14ac:dyDescent="0.25">
      <c r="C1552" s="208"/>
      <c r="D1552" s="196">
        <v>42402</v>
      </c>
      <c r="E1552" s="101" t="s">
        <v>0</v>
      </c>
      <c r="F1552" s="216" t="s">
        <v>49</v>
      </c>
      <c r="G1552" s="3" t="s">
        <v>56</v>
      </c>
      <c r="H1552" s="3" t="s">
        <v>56</v>
      </c>
      <c r="M1552" s="151" t="str">
        <f t="shared" si="76"/>
        <v>/</v>
      </c>
      <c r="N1552" s="151" t="str">
        <f t="shared" si="77"/>
        <v/>
      </c>
      <c r="Q1552" s="239" t="str">
        <f t="shared" ca="1" si="75"/>
        <v/>
      </c>
    </row>
    <row r="1553" spans="3:17" ht="15.75" hidden="1" customHeight="1" outlineLevel="1" x14ac:dyDescent="0.25">
      <c r="C1553" s="208"/>
      <c r="D1553" s="196">
        <v>42403</v>
      </c>
      <c r="E1553" s="101" t="s">
        <v>2</v>
      </c>
      <c r="F1553" s="216" t="s">
        <v>49</v>
      </c>
      <c r="G1553" s="3" t="s">
        <v>56</v>
      </c>
      <c r="H1553" s="3" t="s">
        <v>56</v>
      </c>
      <c r="M1553" s="151" t="str">
        <f t="shared" si="76"/>
        <v>/</v>
      </c>
      <c r="N1553" s="151" t="str">
        <f t="shared" si="77"/>
        <v/>
      </c>
      <c r="Q1553" s="239" t="str">
        <f t="shared" ca="1" si="75"/>
        <v/>
      </c>
    </row>
    <row r="1554" spans="3:17" ht="15.75" hidden="1" customHeight="1" outlineLevel="1" x14ac:dyDescent="0.25">
      <c r="C1554" s="208"/>
      <c r="D1554" s="196">
        <v>42407</v>
      </c>
      <c r="E1554" s="101" t="s">
        <v>10</v>
      </c>
      <c r="F1554" s="216" t="s">
        <v>49</v>
      </c>
      <c r="G1554" s="3" t="s">
        <v>56</v>
      </c>
      <c r="H1554" s="3" t="s">
        <v>56</v>
      </c>
      <c r="M1554" s="151" t="str">
        <f t="shared" si="76"/>
        <v>/</v>
      </c>
      <c r="N1554" s="151" t="str">
        <f t="shared" si="77"/>
        <v/>
      </c>
      <c r="Q1554" s="239" t="str">
        <f t="shared" ca="1" si="75"/>
        <v/>
      </c>
    </row>
    <row r="1555" spans="3:17" ht="15.75" hidden="1" customHeight="1" outlineLevel="1" x14ac:dyDescent="0.25">
      <c r="C1555" s="208"/>
      <c r="D1555" s="196">
        <v>42409</v>
      </c>
      <c r="E1555" s="101" t="s">
        <v>3</v>
      </c>
      <c r="F1555" s="216" t="s">
        <v>50</v>
      </c>
      <c r="G1555" s="3" t="s">
        <v>56</v>
      </c>
      <c r="H1555" s="3" t="s">
        <v>56</v>
      </c>
      <c r="M1555" s="151" t="str">
        <f t="shared" si="76"/>
        <v/>
      </c>
      <c r="N1555" s="151" t="str">
        <f t="shared" si="77"/>
        <v>/</v>
      </c>
      <c r="Q1555" s="239" t="str">
        <f t="shared" ca="1" si="75"/>
        <v/>
      </c>
    </row>
    <row r="1556" spans="3:17" ht="15.75" hidden="1" customHeight="1" outlineLevel="1" x14ac:dyDescent="0.25">
      <c r="C1556" s="208"/>
      <c r="D1556" s="196">
        <v>42411</v>
      </c>
      <c r="E1556" s="101" t="s">
        <v>25</v>
      </c>
      <c r="F1556" s="216" t="s">
        <v>49</v>
      </c>
      <c r="G1556" s="3" t="s">
        <v>56</v>
      </c>
      <c r="H1556" s="3" t="s">
        <v>56</v>
      </c>
      <c r="M1556" s="151" t="str">
        <f t="shared" si="76"/>
        <v>/</v>
      </c>
      <c r="N1556" s="151" t="str">
        <f t="shared" si="77"/>
        <v/>
      </c>
      <c r="Q1556" s="239" t="str">
        <f t="shared" ca="1" si="75"/>
        <v/>
      </c>
    </row>
    <row r="1557" spans="3:17" ht="15.75" hidden="1" customHeight="1" outlineLevel="1" x14ac:dyDescent="0.25">
      <c r="C1557" s="208"/>
      <c r="D1557" s="196">
        <v>42415</v>
      </c>
      <c r="E1557" s="101" t="s">
        <v>6</v>
      </c>
      <c r="F1557" s="216" t="s">
        <v>49</v>
      </c>
      <c r="G1557" s="3" t="s">
        <v>56</v>
      </c>
      <c r="H1557" s="3" t="s">
        <v>56</v>
      </c>
      <c r="M1557" s="151" t="str">
        <f t="shared" si="76"/>
        <v>/</v>
      </c>
      <c r="N1557" s="151" t="str">
        <f t="shared" si="77"/>
        <v/>
      </c>
      <c r="Q1557" s="239" t="str">
        <f t="shared" ca="1" si="75"/>
        <v/>
      </c>
    </row>
    <row r="1558" spans="3:17" ht="15.75" hidden="1" customHeight="1" outlineLevel="1" x14ac:dyDescent="0.25">
      <c r="C1558" s="208"/>
      <c r="D1558" s="196">
        <v>42423</v>
      </c>
      <c r="E1558" s="101" t="s">
        <v>22</v>
      </c>
      <c r="F1558" s="216" t="s">
        <v>50</v>
      </c>
      <c r="G1558" s="3" t="s">
        <v>56</v>
      </c>
      <c r="H1558" s="3" t="s">
        <v>56</v>
      </c>
      <c r="M1558" s="151" t="str">
        <f t="shared" si="76"/>
        <v/>
      </c>
      <c r="N1558" s="151" t="str">
        <f t="shared" si="77"/>
        <v>/</v>
      </c>
      <c r="Q1558" s="239" t="str">
        <f t="shared" ca="1" si="75"/>
        <v/>
      </c>
    </row>
    <row r="1559" spans="3:17" ht="15.75" hidden="1" customHeight="1" outlineLevel="1" x14ac:dyDescent="0.25">
      <c r="C1559" s="208"/>
      <c r="D1559" s="196">
        <v>42425</v>
      </c>
      <c r="E1559" s="101" t="s">
        <v>21</v>
      </c>
      <c r="F1559" s="216" t="s">
        <v>49</v>
      </c>
      <c r="G1559" s="3" t="s">
        <v>56</v>
      </c>
      <c r="H1559" s="3" t="s">
        <v>56</v>
      </c>
      <c r="M1559" s="151" t="str">
        <f t="shared" si="76"/>
        <v>/</v>
      </c>
      <c r="N1559" s="151" t="str">
        <f t="shared" si="77"/>
        <v/>
      </c>
      <c r="Q1559" s="239" t="str">
        <f t="shared" ca="1" si="75"/>
        <v/>
      </c>
    </row>
    <row r="1560" spans="3:17" ht="15.75" hidden="1" customHeight="1" outlineLevel="1" x14ac:dyDescent="0.25">
      <c r="C1560" s="208"/>
      <c r="D1560" s="196">
        <v>42427</v>
      </c>
      <c r="E1560" s="101" t="s">
        <v>7</v>
      </c>
      <c r="F1560" s="216" t="s">
        <v>49</v>
      </c>
      <c r="G1560" s="3" t="s">
        <v>56</v>
      </c>
      <c r="H1560" s="3" t="s">
        <v>56</v>
      </c>
      <c r="M1560" s="151" t="str">
        <f t="shared" si="76"/>
        <v>/</v>
      </c>
      <c r="N1560" s="151" t="str">
        <f t="shared" si="77"/>
        <v/>
      </c>
      <c r="Q1560" s="239" t="str">
        <f t="shared" ca="1" si="75"/>
        <v/>
      </c>
    </row>
    <row r="1561" spans="3:17" ht="15.75" hidden="1" customHeight="1" outlineLevel="1" x14ac:dyDescent="0.25">
      <c r="C1561" s="207"/>
      <c r="D1561" s="196">
        <v>42430</v>
      </c>
      <c r="E1561" s="101" t="s">
        <v>18</v>
      </c>
      <c r="F1561" s="216" t="s">
        <v>50</v>
      </c>
      <c r="G1561" s="3" t="s">
        <v>56</v>
      </c>
      <c r="H1561" s="3" t="s">
        <v>56</v>
      </c>
      <c r="M1561" s="151" t="str">
        <f t="shared" si="76"/>
        <v/>
      </c>
      <c r="N1561" s="151" t="str">
        <f t="shared" si="77"/>
        <v>/</v>
      </c>
      <c r="Q1561" s="239" t="str">
        <f t="shared" ca="1" si="75"/>
        <v/>
      </c>
    </row>
    <row r="1562" spans="3:17" ht="15.75" hidden="1" customHeight="1" outlineLevel="1" x14ac:dyDescent="0.25">
      <c r="C1562" s="207"/>
      <c r="D1562" s="196">
        <v>42433</v>
      </c>
      <c r="E1562" s="101" t="s">
        <v>20</v>
      </c>
      <c r="F1562" s="216" t="s">
        <v>49</v>
      </c>
      <c r="G1562" s="3" t="s">
        <v>56</v>
      </c>
      <c r="H1562" s="3" t="s">
        <v>56</v>
      </c>
      <c r="M1562" s="151" t="str">
        <f t="shared" si="76"/>
        <v>/</v>
      </c>
      <c r="N1562" s="151" t="str">
        <f t="shared" si="77"/>
        <v/>
      </c>
      <c r="Q1562" s="239" t="str">
        <f t="shared" ca="1" si="75"/>
        <v/>
      </c>
    </row>
    <row r="1563" spans="3:17" ht="15.75" hidden="1" customHeight="1" outlineLevel="1" x14ac:dyDescent="0.25">
      <c r="C1563" s="207"/>
      <c r="D1563" s="196">
        <v>42435</v>
      </c>
      <c r="E1563" s="101" t="s">
        <v>46</v>
      </c>
      <c r="F1563" s="216" t="s">
        <v>50</v>
      </c>
      <c r="G1563" s="3" t="s">
        <v>56</v>
      </c>
      <c r="H1563" s="3" t="s">
        <v>56</v>
      </c>
      <c r="M1563" s="151" t="str">
        <f t="shared" si="76"/>
        <v/>
      </c>
      <c r="N1563" s="151" t="str">
        <f t="shared" si="77"/>
        <v>/</v>
      </c>
      <c r="Q1563" s="239" t="str">
        <f t="shared" ca="1" si="75"/>
        <v/>
      </c>
    </row>
    <row r="1564" spans="3:17" ht="15.75" hidden="1" customHeight="1" outlineLevel="1" x14ac:dyDescent="0.25">
      <c r="C1564" s="207"/>
      <c r="D1564" s="196">
        <v>42437</v>
      </c>
      <c r="E1564" s="101" t="s">
        <v>28</v>
      </c>
      <c r="F1564" s="216" t="s">
        <v>49</v>
      </c>
      <c r="G1564" s="3" t="s">
        <v>56</v>
      </c>
      <c r="H1564" s="3" t="s">
        <v>56</v>
      </c>
      <c r="M1564" s="151" t="str">
        <f t="shared" si="76"/>
        <v>/</v>
      </c>
      <c r="N1564" s="151" t="str">
        <f t="shared" si="77"/>
        <v/>
      </c>
      <c r="Q1564" s="239" t="str">
        <f t="shared" ca="1" si="75"/>
        <v/>
      </c>
    </row>
    <row r="1565" spans="3:17" ht="15.75" hidden="1" customHeight="1" outlineLevel="1" x14ac:dyDescent="0.25">
      <c r="C1565" s="207"/>
      <c r="D1565" s="196">
        <v>42439</v>
      </c>
      <c r="E1565" s="101" t="s">
        <v>2</v>
      </c>
      <c r="F1565" s="216" t="s">
        <v>50</v>
      </c>
      <c r="G1565" s="3" t="s">
        <v>56</v>
      </c>
      <c r="H1565" s="3" t="s">
        <v>56</v>
      </c>
      <c r="M1565" s="151" t="str">
        <f t="shared" si="76"/>
        <v/>
      </c>
      <c r="N1565" s="151" t="str">
        <f t="shared" si="77"/>
        <v>/</v>
      </c>
      <c r="Q1565" s="239" t="str">
        <f t="shared" ca="1" si="75"/>
        <v/>
      </c>
    </row>
    <row r="1566" spans="3:17" ht="15.75" hidden="1" customHeight="1" outlineLevel="1" x14ac:dyDescent="0.25">
      <c r="C1566" s="207"/>
      <c r="D1566" s="196">
        <v>42441</v>
      </c>
      <c r="E1566" s="101" t="s">
        <v>4</v>
      </c>
      <c r="F1566" s="216" t="s">
        <v>49</v>
      </c>
      <c r="G1566" s="3" t="s">
        <v>56</v>
      </c>
      <c r="H1566" s="3" t="s">
        <v>56</v>
      </c>
      <c r="M1566" s="151" t="str">
        <f t="shared" si="76"/>
        <v>/</v>
      </c>
      <c r="N1566" s="151" t="str">
        <f t="shared" si="77"/>
        <v/>
      </c>
      <c r="Q1566" s="239" t="str">
        <f t="shared" ca="1" si="75"/>
        <v/>
      </c>
    </row>
    <row r="1567" spans="3:17" ht="15.75" hidden="1" customHeight="1" outlineLevel="1" x14ac:dyDescent="0.25">
      <c r="C1567" s="207"/>
      <c r="D1567" s="196">
        <v>42444</v>
      </c>
      <c r="E1567" s="101" t="s">
        <v>644</v>
      </c>
      <c r="F1567" s="216" t="s">
        <v>49</v>
      </c>
      <c r="G1567" s="3" t="s">
        <v>56</v>
      </c>
      <c r="H1567" s="3" t="s">
        <v>56</v>
      </c>
      <c r="M1567" s="151" t="str">
        <f t="shared" si="76"/>
        <v>/</v>
      </c>
      <c r="N1567" s="151" t="str">
        <f t="shared" si="77"/>
        <v/>
      </c>
      <c r="Q1567" s="239" t="str">
        <f t="shared" ca="1" si="75"/>
        <v/>
      </c>
    </row>
    <row r="1568" spans="3:17" ht="15.75" hidden="1" customHeight="1" outlineLevel="1" x14ac:dyDescent="0.25">
      <c r="C1568" s="207"/>
      <c r="D1568" s="196">
        <v>42446</v>
      </c>
      <c r="E1568" s="101" t="s">
        <v>22</v>
      </c>
      <c r="F1568" s="216" t="s">
        <v>50</v>
      </c>
      <c r="G1568" s="3" t="s">
        <v>56</v>
      </c>
      <c r="H1568" s="3" t="s">
        <v>56</v>
      </c>
      <c r="M1568" s="151" t="str">
        <f t="shared" si="76"/>
        <v/>
      </c>
      <c r="N1568" s="151" t="str">
        <f t="shared" si="77"/>
        <v>/</v>
      </c>
      <c r="Q1568" s="239" t="str">
        <f t="shared" ca="1" si="75"/>
        <v/>
      </c>
    </row>
    <row r="1569" spans="2:17" ht="15.75" hidden="1" customHeight="1" outlineLevel="1" x14ac:dyDescent="0.25">
      <c r="C1569" s="207"/>
      <c r="D1569" s="196">
        <v>42447</v>
      </c>
      <c r="E1569" s="101" t="s">
        <v>15</v>
      </c>
      <c r="F1569" s="216" t="s">
        <v>50</v>
      </c>
      <c r="G1569" s="3" t="s">
        <v>56</v>
      </c>
      <c r="H1569" s="3" t="s">
        <v>56</v>
      </c>
      <c r="M1569" s="151" t="str">
        <f t="shared" si="76"/>
        <v/>
      </c>
      <c r="N1569" s="151" t="str">
        <f t="shared" si="77"/>
        <v>/</v>
      </c>
      <c r="Q1569" s="239" t="str">
        <f t="shared" ca="1" si="75"/>
        <v/>
      </c>
    </row>
    <row r="1570" spans="2:17" ht="15.75" hidden="1" customHeight="1" outlineLevel="1" x14ac:dyDescent="0.25">
      <c r="C1570" s="207"/>
      <c r="D1570" s="196">
        <v>42449</v>
      </c>
      <c r="E1570" s="101" t="s">
        <v>15</v>
      </c>
      <c r="F1570" s="216" t="s">
        <v>49</v>
      </c>
      <c r="G1570" s="3" t="s">
        <v>56</v>
      </c>
      <c r="H1570" s="3" t="s">
        <v>56</v>
      </c>
      <c r="M1570" s="151" t="str">
        <f t="shared" si="76"/>
        <v>/</v>
      </c>
      <c r="N1570" s="151" t="str">
        <f t="shared" si="77"/>
        <v/>
      </c>
      <c r="Q1570" s="239" t="str">
        <f t="shared" ca="1" si="75"/>
        <v/>
      </c>
    </row>
    <row r="1571" spans="2:17" ht="15.75" hidden="1" customHeight="1" outlineLevel="1" x14ac:dyDescent="0.25">
      <c r="C1571" s="207"/>
      <c r="D1571" s="196">
        <v>42453</v>
      </c>
      <c r="E1571" s="101" t="s">
        <v>22</v>
      </c>
      <c r="F1571" s="216" t="s">
        <v>49</v>
      </c>
      <c r="G1571" s="3" t="s">
        <v>56</v>
      </c>
      <c r="H1571" s="3" t="s">
        <v>56</v>
      </c>
      <c r="M1571" s="151" t="str">
        <f t="shared" si="76"/>
        <v>/</v>
      </c>
      <c r="N1571" s="151" t="str">
        <f t="shared" si="77"/>
        <v/>
      </c>
      <c r="Q1571" s="239" t="str">
        <f t="shared" ca="1" si="75"/>
        <v/>
      </c>
    </row>
    <row r="1572" spans="2:17" ht="15.75" hidden="1" customHeight="1" outlineLevel="1" x14ac:dyDescent="0.25">
      <c r="C1572" s="207"/>
      <c r="D1572" s="196">
        <v>42455</v>
      </c>
      <c r="E1572" s="101" t="s">
        <v>23</v>
      </c>
      <c r="F1572" s="216" t="s">
        <v>49</v>
      </c>
      <c r="G1572" s="3" t="s">
        <v>56</v>
      </c>
      <c r="H1572" s="3" t="s">
        <v>56</v>
      </c>
      <c r="M1572" s="151" t="str">
        <f t="shared" si="76"/>
        <v>/</v>
      </c>
      <c r="N1572" s="151" t="str">
        <f t="shared" si="77"/>
        <v/>
      </c>
      <c r="Q1572" s="239" t="str">
        <f t="shared" ca="1" si="75"/>
        <v/>
      </c>
    </row>
    <row r="1573" spans="2:17" ht="15.75" hidden="1" customHeight="1" outlineLevel="1" x14ac:dyDescent="0.25">
      <c r="C1573" s="207"/>
      <c r="D1573" s="196">
        <v>42457</v>
      </c>
      <c r="E1573" s="101" t="s">
        <v>16</v>
      </c>
      <c r="F1573" s="216" t="s">
        <v>49</v>
      </c>
      <c r="G1573" s="3" t="s">
        <v>56</v>
      </c>
      <c r="H1573" s="3" t="s">
        <v>56</v>
      </c>
      <c r="M1573" s="151" t="str">
        <f t="shared" si="76"/>
        <v>/</v>
      </c>
      <c r="N1573" s="151" t="str">
        <f t="shared" si="77"/>
        <v/>
      </c>
      <c r="Q1573" s="239" t="str">
        <f t="shared" ca="1" si="75"/>
        <v/>
      </c>
    </row>
    <row r="1574" spans="2:17" ht="15.75" hidden="1" customHeight="1" outlineLevel="1" x14ac:dyDescent="0.25">
      <c r="C1574" s="207"/>
      <c r="D1574" s="196">
        <v>42459</v>
      </c>
      <c r="E1574" s="101" t="s">
        <v>24</v>
      </c>
      <c r="F1574" s="216" t="s">
        <v>50</v>
      </c>
      <c r="G1574" s="3" t="s">
        <v>56</v>
      </c>
      <c r="H1574" s="3" t="s">
        <v>56</v>
      </c>
      <c r="M1574" s="151" t="str">
        <f t="shared" si="76"/>
        <v/>
      </c>
      <c r="N1574" s="151" t="str">
        <f t="shared" si="77"/>
        <v>/</v>
      </c>
      <c r="Q1574" s="239" t="str">
        <f t="shared" ca="1" si="75"/>
        <v/>
      </c>
    </row>
    <row r="1575" spans="2:17" ht="15.75" hidden="1" customHeight="1" outlineLevel="1" x14ac:dyDescent="0.25">
      <c r="C1575" s="207"/>
      <c r="D1575" s="196">
        <v>42460</v>
      </c>
      <c r="E1575" s="101" t="s">
        <v>16</v>
      </c>
      <c r="F1575" s="216" t="s">
        <v>50</v>
      </c>
      <c r="G1575" s="3" t="s">
        <v>56</v>
      </c>
      <c r="H1575" s="3" t="s">
        <v>56</v>
      </c>
      <c r="M1575" s="151" t="str">
        <f t="shared" si="76"/>
        <v/>
      </c>
      <c r="N1575" s="151" t="str">
        <f t="shared" si="77"/>
        <v>/</v>
      </c>
      <c r="Q1575" s="239" t="str">
        <f t="shared" ca="1" si="75"/>
        <v/>
      </c>
    </row>
    <row r="1576" spans="2:17" ht="15.75" hidden="1" customHeight="1" outlineLevel="1" x14ac:dyDescent="0.25">
      <c r="C1576" s="208"/>
      <c r="D1576" s="196">
        <v>42462</v>
      </c>
      <c r="E1576" s="101" t="s">
        <v>25</v>
      </c>
      <c r="F1576" s="216" t="s">
        <v>50</v>
      </c>
      <c r="G1576" s="3" t="s">
        <v>56</v>
      </c>
      <c r="H1576" s="3" t="s">
        <v>56</v>
      </c>
      <c r="M1576" s="151" t="str">
        <f t="shared" si="76"/>
        <v/>
      </c>
      <c r="N1576" s="151" t="str">
        <f t="shared" si="77"/>
        <v>/</v>
      </c>
      <c r="Q1576" s="239" t="str">
        <f t="shared" ca="1" si="75"/>
        <v/>
      </c>
    </row>
    <row r="1577" spans="2:17" ht="15.75" hidden="1" customHeight="1" outlineLevel="1" x14ac:dyDescent="0.25">
      <c r="C1577" s="208"/>
      <c r="D1577" s="196">
        <v>42465</v>
      </c>
      <c r="E1577" s="101" t="s">
        <v>15</v>
      </c>
      <c r="F1577" s="216" t="s">
        <v>49</v>
      </c>
      <c r="G1577" s="3" t="s">
        <v>56</v>
      </c>
      <c r="H1577" s="3" t="s">
        <v>56</v>
      </c>
      <c r="M1577" s="151" t="str">
        <f t="shared" si="76"/>
        <v>/</v>
      </c>
      <c r="N1577" s="151" t="str">
        <f t="shared" si="77"/>
        <v/>
      </c>
      <c r="Q1577" s="239" t="str">
        <f t="shared" ca="1" si="75"/>
        <v/>
      </c>
    </row>
    <row r="1578" spans="2:17" ht="15.75" hidden="1" customHeight="1" outlineLevel="1" x14ac:dyDescent="0.25">
      <c r="C1578" s="208"/>
      <c r="D1578" s="196">
        <v>42467</v>
      </c>
      <c r="E1578" s="101" t="s">
        <v>5</v>
      </c>
      <c r="F1578" s="216" t="s">
        <v>49</v>
      </c>
      <c r="G1578" s="3" t="s">
        <v>56</v>
      </c>
      <c r="H1578" s="3" t="s">
        <v>56</v>
      </c>
      <c r="M1578" s="151" t="str">
        <f t="shared" si="76"/>
        <v>/</v>
      </c>
      <c r="N1578" s="151" t="str">
        <f t="shared" si="77"/>
        <v/>
      </c>
      <c r="Q1578" s="239" t="str">
        <f t="shared" ca="1" si="75"/>
        <v/>
      </c>
    </row>
    <row r="1579" spans="2:17" ht="15.75" hidden="1" customHeight="1" outlineLevel="1" x14ac:dyDescent="0.25">
      <c r="C1579" s="208"/>
      <c r="D1579" s="196">
        <v>42469</v>
      </c>
      <c r="E1579" s="101" t="s">
        <v>26</v>
      </c>
      <c r="F1579" s="216" t="s">
        <v>50</v>
      </c>
      <c r="G1579" s="3" t="s">
        <v>56</v>
      </c>
      <c r="H1579" s="3" t="s">
        <v>56</v>
      </c>
      <c r="M1579" s="151" t="str">
        <f t="shared" si="76"/>
        <v/>
      </c>
      <c r="N1579" s="151" t="str">
        <f t="shared" si="77"/>
        <v>/</v>
      </c>
      <c r="Q1579" s="239" t="str">
        <f t="shared" ref="Q1579:Q1642" ca="1" si="78">IF(D1579=TODAY(),1,"")</f>
        <v/>
      </c>
    </row>
    <row r="1580" spans="2:17" ht="15.75" hidden="1" customHeight="1" outlineLevel="1" x14ac:dyDescent="0.25">
      <c r="C1580" s="208"/>
      <c r="D1580" s="196">
        <v>42470</v>
      </c>
      <c r="E1580" s="101" t="s">
        <v>18</v>
      </c>
      <c r="F1580" s="216" t="s">
        <v>50</v>
      </c>
      <c r="G1580" s="3" t="s">
        <v>56</v>
      </c>
      <c r="H1580" s="3" t="s">
        <v>56</v>
      </c>
      <c r="M1580" s="151" t="str">
        <f t="shared" si="76"/>
        <v/>
      </c>
      <c r="N1580" s="151" t="str">
        <f t="shared" si="77"/>
        <v>/</v>
      </c>
      <c r="Q1580" s="239" t="str">
        <f t="shared" ca="1" si="78"/>
        <v/>
      </c>
    </row>
    <row r="1581" spans="2:17" ht="15.75" hidden="1" customHeight="1" outlineLevel="1" x14ac:dyDescent="0.25">
      <c r="C1581" s="208"/>
      <c r="D1581" s="196">
        <v>42472</v>
      </c>
      <c r="E1581" s="102" t="s">
        <v>21</v>
      </c>
      <c r="F1581" s="217" t="s">
        <v>49</v>
      </c>
      <c r="G1581" s="3" t="s">
        <v>56</v>
      </c>
      <c r="H1581" s="3" t="s">
        <v>56</v>
      </c>
      <c r="M1581" s="151" t="str">
        <f t="shared" si="76"/>
        <v>/</v>
      </c>
      <c r="N1581" s="151" t="str">
        <f t="shared" si="77"/>
        <v/>
      </c>
      <c r="Q1581" s="239" t="str">
        <f t="shared" ca="1" si="78"/>
        <v/>
      </c>
    </row>
    <row r="1582" spans="2:17" collapsed="1" x14ac:dyDescent="0.25">
      <c r="B1582" s="404" t="e">
        <f ca="1">"- "&amp;INDEX(E1583:E1664,MATCH(TODAY(),D1583:D1664,0))</f>
        <v>#N/A</v>
      </c>
      <c r="C1582" s="404"/>
      <c r="D1582" s="406" t="s">
        <v>18</v>
      </c>
      <c r="E1582" s="407"/>
      <c r="F1582" s="408"/>
      <c r="H1582" s="3"/>
      <c r="Q1582" s="239" t="str">
        <f t="shared" ca="1" si="78"/>
        <v/>
      </c>
    </row>
    <row r="1583" spans="2:17" ht="16.5" hidden="1" customHeight="1" outlineLevel="1" x14ac:dyDescent="0.25">
      <c r="C1583" s="207"/>
      <c r="D1583" s="196">
        <v>42670</v>
      </c>
      <c r="E1583" s="103" t="s">
        <v>24</v>
      </c>
      <c r="F1583" s="215" t="s">
        <v>50</v>
      </c>
      <c r="G1583" s="3">
        <v>1</v>
      </c>
      <c r="H1583" s="3">
        <v>114</v>
      </c>
      <c r="I1583" s="151">
        <v>28</v>
      </c>
      <c r="J1583" s="151">
        <v>47</v>
      </c>
      <c r="K1583" s="151">
        <v>70</v>
      </c>
      <c r="L1583" s="151">
        <v>41</v>
      </c>
      <c r="M1583" s="151" t="str">
        <f t="shared" si="76"/>
        <v/>
      </c>
      <c r="N1583" s="151">
        <f t="shared" si="77"/>
        <v>114</v>
      </c>
      <c r="P1583" s="151">
        <v>106</v>
      </c>
      <c r="Q1583" s="239" t="str">
        <f t="shared" ca="1" si="78"/>
        <v/>
      </c>
    </row>
    <row r="1584" spans="2:17" ht="15.75" hidden="1" customHeight="1" outlineLevel="1" x14ac:dyDescent="0.25">
      <c r="C1584" s="207"/>
      <c r="D1584" s="196">
        <v>42673</v>
      </c>
      <c r="E1584" s="101" t="s">
        <v>28</v>
      </c>
      <c r="F1584" s="216" t="s">
        <v>49</v>
      </c>
      <c r="G1584" s="3" t="s">
        <v>56</v>
      </c>
      <c r="H1584" s="3" t="s">
        <v>56</v>
      </c>
      <c r="M1584" s="151" t="str">
        <f t="shared" si="76"/>
        <v>/</v>
      </c>
      <c r="N1584" s="151" t="str">
        <f t="shared" si="77"/>
        <v/>
      </c>
      <c r="Q1584" s="239" t="str">
        <f t="shared" ca="1" si="78"/>
        <v/>
      </c>
    </row>
    <row r="1585" spans="3:17" ht="15.75" hidden="1" customHeight="1" outlineLevel="1" x14ac:dyDescent="0.25">
      <c r="C1585" s="207"/>
      <c r="D1585" s="196">
        <v>42674</v>
      </c>
      <c r="E1585" s="101" t="s">
        <v>25</v>
      </c>
      <c r="F1585" s="216" t="s">
        <v>49</v>
      </c>
      <c r="G1585" s="3" t="s">
        <v>56</v>
      </c>
      <c r="H1585" s="3" t="s">
        <v>56</v>
      </c>
      <c r="M1585" s="151" t="str">
        <f t="shared" si="76"/>
        <v>/</v>
      </c>
      <c r="N1585" s="151" t="str">
        <f t="shared" si="77"/>
        <v/>
      </c>
      <c r="Q1585" s="239" t="str">
        <f t="shared" ca="1" si="78"/>
        <v/>
      </c>
    </row>
    <row r="1586" spans="3:17" ht="15.75" hidden="1" customHeight="1" outlineLevel="1" x14ac:dyDescent="0.25">
      <c r="C1586" s="207"/>
      <c r="D1586" s="196">
        <v>42676</v>
      </c>
      <c r="E1586" s="101" t="s">
        <v>23</v>
      </c>
      <c r="F1586" s="216" t="s">
        <v>49</v>
      </c>
      <c r="G1586" s="3" t="s">
        <v>56</v>
      </c>
      <c r="H1586" s="3" t="s">
        <v>56</v>
      </c>
      <c r="M1586" s="151" t="str">
        <f t="shared" si="76"/>
        <v>/</v>
      </c>
      <c r="N1586" s="151" t="str">
        <f t="shared" si="77"/>
        <v/>
      </c>
      <c r="Q1586" s="239" t="str">
        <f t="shared" ca="1" si="78"/>
        <v/>
      </c>
    </row>
    <row r="1587" spans="3:17" ht="15.75" hidden="1" customHeight="1" outlineLevel="1" x14ac:dyDescent="0.25">
      <c r="C1587" s="207"/>
      <c r="D1587" s="196">
        <v>42678</v>
      </c>
      <c r="E1587" s="101" t="s">
        <v>20</v>
      </c>
      <c r="F1587" s="216" t="s">
        <v>50</v>
      </c>
      <c r="G1587" s="3" t="s">
        <v>56</v>
      </c>
      <c r="H1587" s="3" t="s">
        <v>56</v>
      </c>
      <c r="M1587" s="151" t="str">
        <f t="shared" si="76"/>
        <v/>
      </c>
      <c r="N1587" s="151" t="str">
        <f t="shared" si="77"/>
        <v>/</v>
      </c>
      <c r="Q1587" s="239" t="str">
        <f t="shared" ca="1" si="78"/>
        <v/>
      </c>
    </row>
    <row r="1588" spans="3:17" ht="15.75" hidden="1" customHeight="1" outlineLevel="1" x14ac:dyDescent="0.25">
      <c r="C1588" s="207"/>
      <c r="D1588" s="196">
        <v>42679</v>
      </c>
      <c r="E1588" s="101" t="s">
        <v>46</v>
      </c>
      <c r="F1588" s="216" t="s">
        <v>50</v>
      </c>
      <c r="G1588" s="3" t="s">
        <v>56</v>
      </c>
      <c r="H1588" s="3" t="s">
        <v>56</v>
      </c>
      <c r="M1588" s="151" t="str">
        <f t="shared" si="76"/>
        <v/>
      </c>
      <c r="N1588" s="151" t="str">
        <f t="shared" si="77"/>
        <v>/</v>
      </c>
      <c r="Q1588" s="239" t="str">
        <f t="shared" ca="1" si="78"/>
        <v/>
      </c>
    </row>
    <row r="1589" spans="3:17" ht="15.75" hidden="1" customHeight="1" outlineLevel="1" x14ac:dyDescent="0.25">
      <c r="C1589" s="207"/>
      <c r="D1589" s="196">
        <v>42681</v>
      </c>
      <c r="E1589" s="101" t="s">
        <v>5</v>
      </c>
      <c r="F1589" s="216" t="s">
        <v>49</v>
      </c>
      <c r="G1589" s="3" t="s">
        <v>56</v>
      </c>
      <c r="H1589" s="3" t="s">
        <v>56</v>
      </c>
      <c r="M1589" s="151" t="str">
        <f t="shared" si="76"/>
        <v>/</v>
      </c>
      <c r="N1589" s="151" t="str">
        <f t="shared" si="77"/>
        <v/>
      </c>
      <c r="Q1589" s="239" t="str">
        <f t="shared" ca="1" si="78"/>
        <v/>
      </c>
    </row>
    <row r="1590" spans="3:17" ht="15.75" hidden="1" customHeight="1" outlineLevel="1" x14ac:dyDescent="0.25">
      <c r="C1590" s="207"/>
      <c r="D1590" s="196">
        <v>42683</v>
      </c>
      <c r="E1590" s="101" t="s">
        <v>24</v>
      </c>
      <c r="F1590" s="216" t="s">
        <v>49</v>
      </c>
      <c r="G1590" s="3" t="s">
        <v>56</v>
      </c>
      <c r="H1590" s="3" t="s">
        <v>56</v>
      </c>
      <c r="M1590" s="151" t="str">
        <f t="shared" si="76"/>
        <v>/</v>
      </c>
      <c r="N1590" s="151" t="str">
        <f t="shared" si="77"/>
        <v/>
      </c>
      <c r="Q1590" s="239" t="str">
        <f t="shared" ca="1" si="78"/>
        <v/>
      </c>
    </row>
    <row r="1591" spans="3:17" ht="15.75" hidden="1" customHeight="1" outlineLevel="1" x14ac:dyDescent="0.25">
      <c r="C1591" s="207"/>
      <c r="D1591" s="196">
        <v>42685</v>
      </c>
      <c r="E1591" s="101" t="s">
        <v>23</v>
      </c>
      <c r="F1591" s="216" t="s">
        <v>50</v>
      </c>
      <c r="G1591" s="3" t="s">
        <v>56</v>
      </c>
      <c r="H1591" s="3" t="s">
        <v>56</v>
      </c>
      <c r="M1591" s="151" t="str">
        <f t="shared" si="76"/>
        <v/>
      </c>
      <c r="N1591" s="151" t="str">
        <f t="shared" si="77"/>
        <v>/</v>
      </c>
      <c r="Q1591" s="239" t="str">
        <f t="shared" ca="1" si="78"/>
        <v/>
      </c>
    </row>
    <row r="1592" spans="3:17" ht="15.75" hidden="1" customHeight="1" outlineLevel="1" x14ac:dyDescent="0.25">
      <c r="C1592" s="207"/>
      <c r="D1592" s="196">
        <v>42686</v>
      </c>
      <c r="E1592" s="101" t="s">
        <v>21</v>
      </c>
      <c r="F1592" s="216" t="s">
        <v>50</v>
      </c>
      <c r="G1592" s="3" t="s">
        <v>56</v>
      </c>
      <c r="H1592" s="3" t="s">
        <v>56</v>
      </c>
      <c r="M1592" s="151" t="str">
        <f t="shared" si="76"/>
        <v/>
      </c>
      <c r="N1592" s="151" t="str">
        <f t="shared" si="77"/>
        <v>/</v>
      </c>
      <c r="Q1592" s="239" t="str">
        <f t="shared" ca="1" si="78"/>
        <v/>
      </c>
    </row>
    <row r="1593" spans="3:17" ht="15.75" hidden="1" customHeight="1" outlineLevel="1" x14ac:dyDescent="0.25">
      <c r="C1593" s="207"/>
      <c r="D1593" s="196">
        <v>42688</v>
      </c>
      <c r="E1593" s="101" t="s">
        <v>45</v>
      </c>
      <c r="F1593" s="216" t="s">
        <v>49</v>
      </c>
      <c r="G1593" s="3" t="s">
        <v>56</v>
      </c>
      <c r="H1593" s="3" t="s">
        <v>56</v>
      </c>
      <c r="M1593" s="151" t="str">
        <f t="shared" si="76"/>
        <v>/</v>
      </c>
      <c r="N1593" s="151" t="str">
        <f t="shared" si="77"/>
        <v/>
      </c>
      <c r="Q1593" s="239" t="str">
        <f t="shared" ca="1" si="78"/>
        <v/>
      </c>
    </row>
    <row r="1594" spans="3:17" ht="15.75" hidden="1" customHeight="1" outlineLevel="1" x14ac:dyDescent="0.25">
      <c r="C1594" s="207"/>
      <c r="D1594" s="196">
        <v>42690</v>
      </c>
      <c r="E1594" s="101" t="s">
        <v>20</v>
      </c>
      <c r="F1594" s="216" t="s">
        <v>49</v>
      </c>
      <c r="G1594" s="3" t="s">
        <v>56</v>
      </c>
      <c r="H1594" s="3" t="s">
        <v>56</v>
      </c>
      <c r="M1594" s="151" t="str">
        <f t="shared" si="76"/>
        <v>/</v>
      </c>
      <c r="N1594" s="151" t="str">
        <f t="shared" si="77"/>
        <v/>
      </c>
      <c r="Q1594" s="239" t="str">
        <f t="shared" ca="1" si="78"/>
        <v/>
      </c>
    </row>
    <row r="1595" spans="3:17" ht="15.75" hidden="1" customHeight="1" outlineLevel="1" x14ac:dyDescent="0.25">
      <c r="C1595" s="207"/>
      <c r="D1595" s="196">
        <v>42692</v>
      </c>
      <c r="E1595" s="101" t="s">
        <v>26</v>
      </c>
      <c r="F1595" s="216" t="s">
        <v>50</v>
      </c>
      <c r="G1595" s="3" t="s">
        <v>56</v>
      </c>
      <c r="H1595" s="3" t="s">
        <v>56</v>
      </c>
      <c r="M1595" s="151" t="str">
        <f t="shared" si="76"/>
        <v/>
      </c>
      <c r="N1595" s="151" t="str">
        <f t="shared" si="77"/>
        <v>/</v>
      </c>
      <c r="Q1595" s="239" t="str">
        <f t="shared" ca="1" si="78"/>
        <v/>
      </c>
    </row>
    <row r="1596" spans="3:17" ht="15.75" hidden="1" customHeight="1" outlineLevel="1" x14ac:dyDescent="0.25">
      <c r="C1596" s="207"/>
      <c r="D1596" s="196">
        <v>42693</v>
      </c>
      <c r="E1596" s="101" t="s">
        <v>2</v>
      </c>
      <c r="F1596" s="216" t="s">
        <v>49</v>
      </c>
      <c r="G1596" s="3" t="s">
        <v>56</v>
      </c>
      <c r="H1596" s="3" t="s">
        <v>56</v>
      </c>
      <c r="M1596" s="151" t="str">
        <f t="shared" si="76"/>
        <v>/</v>
      </c>
      <c r="N1596" s="151" t="str">
        <f t="shared" si="77"/>
        <v/>
      </c>
      <c r="Q1596" s="239" t="str">
        <f t="shared" ca="1" si="78"/>
        <v/>
      </c>
    </row>
    <row r="1597" spans="3:17" ht="15.75" hidden="1" customHeight="1" outlineLevel="1" x14ac:dyDescent="0.25">
      <c r="C1597" s="207"/>
      <c r="D1597" s="196">
        <v>42695</v>
      </c>
      <c r="E1597" s="101" t="s">
        <v>12</v>
      </c>
      <c r="F1597" s="216" t="s">
        <v>49</v>
      </c>
      <c r="G1597" s="3" t="s">
        <v>56</v>
      </c>
      <c r="H1597" s="3" t="s">
        <v>56</v>
      </c>
      <c r="M1597" s="151" t="str">
        <f t="shared" si="76"/>
        <v>/</v>
      </c>
      <c r="N1597" s="151" t="str">
        <f t="shared" si="77"/>
        <v/>
      </c>
      <c r="Q1597" s="239" t="str">
        <f t="shared" ca="1" si="78"/>
        <v/>
      </c>
    </row>
    <row r="1598" spans="3:17" ht="15.75" hidden="1" customHeight="1" outlineLevel="1" x14ac:dyDescent="0.25">
      <c r="C1598" s="207"/>
      <c r="D1598" s="196">
        <v>42697</v>
      </c>
      <c r="E1598" s="101" t="s">
        <v>645</v>
      </c>
      <c r="F1598" s="216" t="s">
        <v>50</v>
      </c>
      <c r="G1598" s="3" t="s">
        <v>56</v>
      </c>
      <c r="H1598" s="3" t="s">
        <v>56</v>
      </c>
      <c r="M1598" s="151" t="str">
        <f t="shared" si="76"/>
        <v/>
      </c>
      <c r="N1598" s="151" t="str">
        <f t="shared" si="77"/>
        <v>/</v>
      </c>
      <c r="Q1598" s="239" t="str">
        <f t="shared" ca="1" si="78"/>
        <v/>
      </c>
    </row>
    <row r="1599" spans="3:17" ht="15.75" hidden="1" customHeight="1" outlineLevel="1" x14ac:dyDescent="0.25">
      <c r="C1599" s="207"/>
      <c r="D1599" s="196">
        <v>42699</v>
      </c>
      <c r="E1599" s="101" t="s">
        <v>5</v>
      </c>
      <c r="F1599" s="216" t="s">
        <v>50</v>
      </c>
      <c r="G1599" s="3" t="s">
        <v>56</v>
      </c>
      <c r="H1599" s="3" t="s">
        <v>56</v>
      </c>
      <c r="M1599" s="151" t="str">
        <f t="shared" si="76"/>
        <v/>
      </c>
      <c r="N1599" s="151" t="str">
        <f t="shared" si="77"/>
        <v>/</v>
      </c>
      <c r="Q1599" s="239" t="str">
        <f t="shared" ca="1" si="78"/>
        <v/>
      </c>
    </row>
    <row r="1600" spans="3:17" ht="15.75" hidden="1" customHeight="1" outlineLevel="1" x14ac:dyDescent="0.25">
      <c r="C1600" s="207"/>
      <c r="D1600" s="196">
        <v>42701</v>
      </c>
      <c r="E1600" s="101" t="s">
        <v>7</v>
      </c>
      <c r="F1600" s="216" t="s">
        <v>50</v>
      </c>
      <c r="G1600" s="3" t="s">
        <v>56</v>
      </c>
      <c r="H1600" s="3" t="s">
        <v>56</v>
      </c>
      <c r="M1600" s="151" t="str">
        <f t="shared" si="76"/>
        <v/>
      </c>
      <c r="N1600" s="151" t="str">
        <f t="shared" si="77"/>
        <v>/</v>
      </c>
      <c r="Q1600" s="239" t="str">
        <f t="shared" ca="1" si="78"/>
        <v/>
      </c>
    </row>
    <row r="1601" spans="3:17" ht="15.75" hidden="1" customHeight="1" outlineLevel="1" x14ac:dyDescent="0.25">
      <c r="C1601" s="207"/>
      <c r="D1601" s="196">
        <v>42703</v>
      </c>
      <c r="E1601" s="101" t="s">
        <v>45</v>
      </c>
      <c r="F1601" s="216" t="s">
        <v>50</v>
      </c>
      <c r="G1601" s="3" t="s">
        <v>56</v>
      </c>
      <c r="H1601" s="3" t="s">
        <v>56</v>
      </c>
      <c r="M1601" s="151" t="str">
        <f t="shared" si="76"/>
        <v/>
      </c>
      <c r="N1601" s="151" t="str">
        <f t="shared" si="77"/>
        <v>/</v>
      </c>
      <c r="Q1601" s="239" t="str">
        <f t="shared" ca="1" si="78"/>
        <v/>
      </c>
    </row>
    <row r="1602" spans="3:17" ht="15.75" hidden="1" customHeight="1" outlineLevel="1" x14ac:dyDescent="0.25">
      <c r="C1602" s="208"/>
      <c r="D1602" s="196">
        <v>42705</v>
      </c>
      <c r="E1602" s="101" t="s">
        <v>4</v>
      </c>
      <c r="F1602" s="216" t="s">
        <v>50</v>
      </c>
      <c r="G1602" s="3" t="s">
        <v>56</v>
      </c>
      <c r="H1602" s="3" t="s">
        <v>56</v>
      </c>
      <c r="M1602" s="151" t="str">
        <f t="shared" si="76"/>
        <v/>
      </c>
      <c r="N1602" s="151" t="str">
        <f t="shared" si="77"/>
        <v>/</v>
      </c>
      <c r="Q1602" s="239" t="str">
        <f t="shared" ca="1" si="78"/>
        <v/>
      </c>
    </row>
    <row r="1603" spans="3:17" ht="15.75" hidden="1" customHeight="1" outlineLevel="1" x14ac:dyDescent="0.25">
      <c r="C1603" s="208"/>
      <c r="D1603" s="196">
        <v>42706</v>
      </c>
      <c r="E1603" s="101" t="s">
        <v>22</v>
      </c>
      <c r="F1603" s="216" t="s">
        <v>50</v>
      </c>
      <c r="G1603" s="3" t="s">
        <v>56</v>
      </c>
      <c r="H1603" s="3" t="s">
        <v>56</v>
      </c>
      <c r="M1603" s="151" t="str">
        <f t="shared" si="76"/>
        <v/>
      </c>
      <c r="N1603" s="151" t="str">
        <f t="shared" si="77"/>
        <v>/</v>
      </c>
      <c r="Q1603" s="239" t="str">
        <f t="shared" ca="1" si="78"/>
        <v/>
      </c>
    </row>
    <row r="1604" spans="3:17" ht="15.75" hidden="1" customHeight="1" outlineLevel="1" x14ac:dyDescent="0.25">
      <c r="C1604" s="208"/>
      <c r="D1604" s="196">
        <v>42708</v>
      </c>
      <c r="E1604" s="101" t="s">
        <v>7</v>
      </c>
      <c r="F1604" s="216" t="s">
        <v>49</v>
      </c>
      <c r="G1604" s="3" t="s">
        <v>56</v>
      </c>
      <c r="H1604" s="3" t="s">
        <v>56</v>
      </c>
      <c r="M1604" s="151" t="str">
        <f t="shared" si="76"/>
        <v>/</v>
      </c>
      <c r="N1604" s="151" t="str">
        <f t="shared" si="77"/>
        <v/>
      </c>
      <c r="Q1604" s="239" t="str">
        <f t="shared" ca="1" si="78"/>
        <v/>
      </c>
    </row>
    <row r="1605" spans="3:17" ht="15.75" hidden="1" customHeight="1" outlineLevel="1" x14ac:dyDescent="0.25">
      <c r="C1605" s="208"/>
      <c r="D1605" s="196">
        <v>42711</v>
      </c>
      <c r="E1605" s="101" t="s">
        <v>16</v>
      </c>
      <c r="F1605" s="216" t="s">
        <v>49</v>
      </c>
      <c r="G1605" s="3" t="s">
        <v>56</v>
      </c>
      <c r="H1605" s="3" t="s">
        <v>56</v>
      </c>
      <c r="M1605" s="151" t="str">
        <f t="shared" si="76"/>
        <v>/</v>
      </c>
      <c r="N1605" s="151" t="str">
        <f t="shared" si="77"/>
        <v/>
      </c>
      <c r="Q1605" s="239" t="str">
        <f t="shared" ca="1" si="78"/>
        <v/>
      </c>
    </row>
    <row r="1606" spans="3:17" ht="15.75" hidden="1" customHeight="1" outlineLevel="1" x14ac:dyDescent="0.25">
      <c r="C1606" s="208"/>
      <c r="D1606" s="196">
        <v>42714</v>
      </c>
      <c r="E1606" s="101" t="s">
        <v>22</v>
      </c>
      <c r="F1606" s="216" t="s">
        <v>49</v>
      </c>
      <c r="G1606" s="3" t="s">
        <v>56</v>
      </c>
      <c r="H1606" s="3" t="s">
        <v>56</v>
      </c>
      <c r="M1606" s="151" t="str">
        <f t="shared" si="76"/>
        <v>/</v>
      </c>
      <c r="N1606" s="151" t="str">
        <f t="shared" si="77"/>
        <v/>
      </c>
      <c r="Q1606" s="239" t="str">
        <f t="shared" ca="1" si="78"/>
        <v/>
      </c>
    </row>
    <row r="1607" spans="3:17" ht="15.75" hidden="1" customHeight="1" outlineLevel="1" x14ac:dyDescent="0.25">
      <c r="C1607" s="208"/>
      <c r="D1607" s="196">
        <v>42716</v>
      </c>
      <c r="E1607" s="101" t="s">
        <v>24</v>
      </c>
      <c r="F1607" s="216" t="s">
        <v>49</v>
      </c>
      <c r="G1607" s="3" t="s">
        <v>56</v>
      </c>
      <c r="H1607" s="3" t="s">
        <v>56</v>
      </c>
      <c r="M1607" s="151" t="str">
        <f t="shared" ref="M1607:M1670" si="79">IF(F1607="D",H1607,"")</f>
        <v>/</v>
      </c>
      <c r="N1607" s="151" t="str">
        <f t="shared" ref="N1607:N1670" si="80">IF(F1607="E",H1607,"")</f>
        <v/>
      </c>
      <c r="Q1607" s="239" t="str">
        <f t="shared" ca="1" si="78"/>
        <v/>
      </c>
    </row>
    <row r="1608" spans="3:17" ht="15.75" hidden="1" customHeight="1" outlineLevel="1" x14ac:dyDescent="0.25">
      <c r="C1608" s="208"/>
      <c r="D1608" s="196">
        <v>42718</v>
      </c>
      <c r="E1608" s="101" t="s">
        <v>10</v>
      </c>
      <c r="F1608" s="216" t="s">
        <v>50</v>
      </c>
      <c r="G1608" s="3" t="s">
        <v>56</v>
      </c>
      <c r="H1608" s="3" t="s">
        <v>56</v>
      </c>
      <c r="M1608" s="151" t="str">
        <f t="shared" si="79"/>
        <v/>
      </c>
      <c r="N1608" s="151" t="str">
        <f t="shared" si="80"/>
        <v>/</v>
      </c>
      <c r="Q1608" s="239" t="str">
        <f t="shared" ca="1" si="78"/>
        <v/>
      </c>
    </row>
    <row r="1609" spans="3:17" ht="15.75" hidden="1" customHeight="1" outlineLevel="1" x14ac:dyDescent="0.25">
      <c r="C1609" s="208"/>
      <c r="D1609" s="196">
        <v>42720</v>
      </c>
      <c r="E1609" s="101" t="s">
        <v>6</v>
      </c>
      <c r="F1609" s="216" t="s">
        <v>50</v>
      </c>
      <c r="G1609" s="3" t="s">
        <v>56</v>
      </c>
      <c r="H1609" s="3" t="s">
        <v>56</v>
      </c>
      <c r="M1609" s="151" t="str">
        <f t="shared" si="79"/>
        <v/>
      </c>
      <c r="N1609" s="151" t="str">
        <f t="shared" si="80"/>
        <v>/</v>
      </c>
      <c r="Q1609" s="239" t="str">
        <f t="shared" ca="1" si="78"/>
        <v/>
      </c>
    </row>
    <row r="1610" spans="3:17" ht="15.75" hidden="1" customHeight="1" outlineLevel="1" x14ac:dyDescent="0.25">
      <c r="C1610" s="208"/>
      <c r="D1610" s="196">
        <v>42722</v>
      </c>
      <c r="E1610" s="101" t="s">
        <v>13</v>
      </c>
      <c r="F1610" s="216" t="s">
        <v>50</v>
      </c>
      <c r="G1610" s="3" t="s">
        <v>56</v>
      </c>
      <c r="H1610" s="3" t="s">
        <v>56</v>
      </c>
      <c r="M1610" s="151" t="str">
        <f t="shared" si="79"/>
        <v/>
      </c>
      <c r="N1610" s="151" t="str">
        <f t="shared" si="80"/>
        <v>/</v>
      </c>
      <c r="Q1610" s="239" t="str">
        <f t="shared" ca="1" si="78"/>
        <v/>
      </c>
    </row>
    <row r="1611" spans="3:17" ht="15.75" hidden="1" customHeight="1" outlineLevel="1" x14ac:dyDescent="0.25">
      <c r="C1611" s="208"/>
      <c r="D1611" s="196">
        <v>42724</v>
      </c>
      <c r="E1611" s="101" t="s">
        <v>15</v>
      </c>
      <c r="F1611" s="216" t="s">
        <v>49</v>
      </c>
      <c r="G1611" s="3" t="s">
        <v>56</v>
      </c>
      <c r="H1611" s="3" t="s">
        <v>56</v>
      </c>
      <c r="M1611" s="151" t="str">
        <f t="shared" si="79"/>
        <v>/</v>
      </c>
      <c r="N1611" s="151" t="str">
        <f t="shared" si="80"/>
        <v/>
      </c>
      <c r="Q1611" s="239" t="str">
        <f t="shared" ca="1" si="78"/>
        <v/>
      </c>
    </row>
    <row r="1612" spans="3:17" ht="15.75" hidden="1" customHeight="1" outlineLevel="1" x14ac:dyDescent="0.25">
      <c r="C1612" s="208"/>
      <c r="D1612" s="196">
        <v>42726</v>
      </c>
      <c r="E1612" s="101" t="s">
        <v>46</v>
      </c>
      <c r="F1612" s="216" t="s">
        <v>49</v>
      </c>
      <c r="G1612" s="3" t="s">
        <v>56</v>
      </c>
      <c r="H1612" s="3" t="s">
        <v>56</v>
      </c>
      <c r="M1612" s="151" t="str">
        <f t="shared" si="79"/>
        <v>/</v>
      </c>
      <c r="N1612" s="151" t="str">
        <f t="shared" si="80"/>
        <v/>
      </c>
      <c r="Q1612" s="239" t="str">
        <f t="shared" ca="1" si="78"/>
        <v/>
      </c>
    </row>
    <row r="1613" spans="3:17" ht="15.75" hidden="1" customHeight="1" outlineLevel="1" x14ac:dyDescent="0.25">
      <c r="C1613" s="208"/>
      <c r="D1613" s="196">
        <v>42727</v>
      </c>
      <c r="E1613" s="101" t="s">
        <v>645</v>
      </c>
      <c r="F1613" s="216" t="s">
        <v>49</v>
      </c>
      <c r="G1613" s="3" t="s">
        <v>56</v>
      </c>
      <c r="H1613" s="3" t="s">
        <v>56</v>
      </c>
      <c r="M1613" s="151" t="str">
        <f t="shared" si="79"/>
        <v>/</v>
      </c>
      <c r="N1613" s="151" t="str">
        <f t="shared" si="80"/>
        <v/>
      </c>
      <c r="Q1613" s="239" t="str">
        <f t="shared" ca="1" si="78"/>
        <v/>
      </c>
    </row>
    <row r="1614" spans="3:17" ht="15.75" hidden="1" customHeight="1" outlineLevel="1" x14ac:dyDescent="0.25">
      <c r="C1614" s="208"/>
      <c r="D1614" s="196">
        <v>42729</v>
      </c>
      <c r="E1614" s="101" t="s">
        <v>644</v>
      </c>
      <c r="F1614" s="216" t="s">
        <v>50</v>
      </c>
      <c r="G1614" s="3" t="s">
        <v>56</v>
      </c>
      <c r="H1614" s="3" t="s">
        <v>56</v>
      </c>
      <c r="M1614" s="151" t="str">
        <f t="shared" si="79"/>
        <v/>
      </c>
      <c r="N1614" s="151" t="str">
        <f t="shared" si="80"/>
        <v>/</v>
      </c>
      <c r="Q1614" s="239" t="str">
        <f t="shared" ca="1" si="78"/>
        <v/>
      </c>
    </row>
    <row r="1615" spans="3:17" ht="15.75" hidden="1" customHeight="1" outlineLevel="1" x14ac:dyDescent="0.25">
      <c r="C1615" s="208"/>
      <c r="D1615" s="196">
        <v>42730</v>
      </c>
      <c r="E1615" s="101" t="s">
        <v>15</v>
      </c>
      <c r="F1615" s="216" t="s">
        <v>49</v>
      </c>
      <c r="G1615" s="3" t="s">
        <v>56</v>
      </c>
      <c r="H1615" s="3" t="s">
        <v>56</v>
      </c>
      <c r="M1615" s="151" t="str">
        <f t="shared" si="79"/>
        <v>/</v>
      </c>
      <c r="N1615" s="151" t="str">
        <f t="shared" si="80"/>
        <v/>
      </c>
      <c r="Q1615" s="239" t="str">
        <f t="shared" ca="1" si="78"/>
        <v/>
      </c>
    </row>
    <row r="1616" spans="3:17" ht="15.75" hidden="1" customHeight="1" outlineLevel="1" x14ac:dyDescent="0.25">
      <c r="C1616" s="208"/>
      <c r="D1616" s="196">
        <v>42732</v>
      </c>
      <c r="E1616" s="101" t="s">
        <v>22</v>
      </c>
      <c r="F1616" s="216" t="s">
        <v>50</v>
      </c>
      <c r="G1616" s="3" t="s">
        <v>56</v>
      </c>
      <c r="H1616" s="3" t="s">
        <v>56</v>
      </c>
      <c r="M1616" s="151" t="str">
        <f t="shared" si="79"/>
        <v/>
      </c>
      <c r="N1616" s="151" t="str">
        <f t="shared" si="80"/>
        <v>/</v>
      </c>
      <c r="Q1616" s="239" t="str">
        <f t="shared" ca="1" si="78"/>
        <v/>
      </c>
    </row>
    <row r="1617" spans="3:17" ht="15.75" hidden="1" customHeight="1" outlineLevel="1" x14ac:dyDescent="0.25">
      <c r="C1617" s="208"/>
      <c r="D1617" s="196">
        <v>42734</v>
      </c>
      <c r="E1617" s="101" t="s">
        <v>17</v>
      </c>
      <c r="F1617" s="216" t="s">
        <v>50</v>
      </c>
      <c r="G1617" s="3" t="s">
        <v>56</v>
      </c>
      <c r="H1617" s="3" t="s">
        <v>56</v>
      </c>
      <c r="M1617" s="151" t="str">
        <f t="shared" si="79"/>
        <v/>
      </c>
      <c r="N1617" s="151" t="str">
        <f t="shared" si="80"/>
        <v>/</v>
      </c>
      <c r="Q1617" s="239" t="str">
        <f t="shared" ca="1" si="78"/>
        <v/>
      </c>
    </row>
    <row r="1618" spans="3:17" ht="15.75" hidden="1" customHeight="1" outlineLevel="1" x14ac:dyDescent="0.25">
      <c r="C1618" s="208"/>
      <c r="D1618" s="196">
        <v>42735</v>
      </c>
      <c r="E1618" s="101" t="s">
        <v>23</v>
      </c>
      <c r="F1618" s="216" t="s">
        <v>50</v>
      </c>
      <c r="G1618" s="3" t="s">
        <v>56</v>
      </c>
      <c r="H1618" s="3" t="s">
        <v>56</v>
      </c>
      <c r="M1618" s="151" t="str">
        <f t="shared" si="79"/>
        <v/>
      </c>
      <c r="N1618" s="151" t="str">
        <f t="shared" si="80"/>
        <v>/</v>
      </c>
      <c r="Q1618" s="239" t="str">
        <f t="shared" ca="1" si="78"/>
        <v/>
      </c>
    </row>
    <row r="1619" spans="3:17" ht="15.75" hidden="1" customHeight="1" outlineLevel="1" x14ac:dyDescent="0.25">
      <c r="C1619" s="207"/>
      <c r="D1619" s="196">
        <v>42371</v>
      </c>
      <c r="E1619" s="101" t="s">
        <v>25</v>
      </c>
      <c r="F1619" s="216" t="s">
        <v>49</v>
      </c>
      <c r="G1619" s="3" t="s">
        <v>56</v>
      </c>
      <c r="H1619" s="3" t="s">
        <v>56</v>
      </c>
      <c r="M1619" s="151" t="str">
        <f t="shared" si="79"/>
        <v>/</v>
      </c>
      <c r="N1619" s="151" t="str">
        <f t="shared" si="80"/>
        <v/>
      </c>
      <c r="Q1619" s="239" t="str">
        <f t="shared" ca="1" si="78"/>
        <v/>
      </c>
    </row>
    <row r="1620" spans="3:17" ht="15.75" hidden="1" customHeight="1" outlineLevel="1" x14ac:dyDescent="0.25">
      <c r="C1620" s="207"/>
      <c r="D1620" s="196">
        <v>42373</v>
      </c>
      <c r="E1620" s="101" t="s">
        <v>20</v>
      </c>
      <c r="F1620" s="216" t="s">
        <v>49</v>
      </c>
      <c r="G1620" s="3" t="s">
        <v>56</v>
      </c>
      <c r="H1620" s="3" t="s">
        <v>56</v>
      </c>
      <c r="M1620" s="151" t="str">
        <f t="shared" si="79"/>
        <v>/</v>
      </c>
      <c r="N1620" s="151" t="str">
        <f t="shared" si="80"/>
        <v/>
      </c>
      <c r="Q1620" s="239" t="str">
        <f t="shared" ca="1" si="78"/>
        <v/>
      </c>
    </row>
    <row r="1621" spans="3:17" ht="15.75" hidden="1" customHeight="1" outlineLevel="1" x14ac:dyDescent="0.25">
      <c r="C1621" s="207"/>
      <c r="D1621" s="196">
        <v>42375</v>
      </c>
      <c r="E1621" s="101" t="s">
        <v>26</v>
      </c>
      <c r="F1621" s="216" t="s">
        <v>50</v>
      </c>
      <c r="G1621" s="3" t="s">
        <v>56</v>
      </c>
      <c r="H1621" s="3" t="s">
        <v>56</v>
      </c>
      <c r="M1621" s="151" t="str">
        <f t="shared" si="79"/>
        <v/>
      </c>
      <c r="N1621" s="151" t="str">
        <f t="shared" si="80"/>
        <v>/</v>
      </c>
      <c r="Q1621" s="239" t="str">
        <f t="shared" ca="1" si="78"/>
        <v/>
      </c>
    </row>
    <row r="1622" spans="3:17" ht="15.75" hidden="1" customHeight="1" outlineLevel="1" x14ac:dyDescent="0.25">
      <c r="C1622" s="207"/>
      <c r="D1622" s="196">
        <v>42377</v>
      </c>
      <c r="E1622" s="101" t="s">
        <v>6</v>
      </c>
      <c r="F1622" s="216" t="s">
        <v>49</v>
      </c>
      <c r="G1622" s="3" t="s">
        <v>56</v>
      </c>
      <c r="H1622" s="3" t="s">
        <v>56</v>
      </c>
      <c r="M1622" s="151" t="str">
        <f t="shared" si="79"/>
        <v>/</v>
      </c>
      <c r="N1622" s="151" t="str">
        <f t="shared" si="80"/>
        <v/>
      </c>
      <c r="Q1622" s="239" t="str">
        <f t="shared" ca="1" si="78"/>
        <v/>
      </c>
    </row>
    <row r="1623" spans="3:17" ht="15.75" hidden="1" customHeight="1" outlineLevel="1" x14ac:dyDescent="0.25">
      <c r="C1623" s="207"/>
      <c r="D1623" s="196">
        <v>42380</v>
      </c>
      <c r="E1623" s="101" t="s">
        <v>10</v>
      </c>
      <c r="F1623" s="216" t="s">
        <v>49</v>
      </c>
      <c r="G1623" s="3" t="s">
        <v>56</v>
      </c>
      <c r="H1623" s="3" t="s">
        <v>56</v>
      </c>
      <c r="M1623" s="151" t="str">
        <f t="shared" si="79"/>
        <v>/</v>
      </c>
      <c r="N1623" s="151" t="str">
        <f t="shared" si="80"/>
        <v/>
      </c>
      <c r="Q1623" s="239" t="str">
        <f t="shared" ca="1" si="78"/>
        <v/>
      </c>
    </row>
    <row r="1624" spans="3:17" ht="15.75" hidden="1" customHeight="1" outlineLevel="1" x14ac:dyDescent="0.25">
      <c r="C1624" s="207"/>
      <c r="D1624" s="196">
        <v>42383</v>
      </c>
      <c r="E1624" s="101" t="s">
        <v>644</v>
      </c>
      <c r="F1624" s="216" t="s">
        <v>49</v>
      </c>
      <c r="G1624" s="3" t="s">
        <v>56</v>
      </c>
      <c r="H1624" s="3" t="s">
        <v>56</v>
      </c>
      <c r="M1624" s="151" t="str">
        <f t="shared" si="79"/>
        <v>/</v>
      </c>
      <c r="N1624" s="151" t="str">
        <f t="shared" si="80"/>
        <v/>
      </c>
      <c r="Q1624" s="239" t="str">
        <f t="shared" ca="1" si="78"/>
        <v/>
      </c>
    </row>
    <row r="1625" spans="3:17" ht="15.75" hidden="1" customHeight="1" outlineLevel="1" x14ac:dyDescent="0.25">
      <c r="C1625" s="207"/>
      <c r="D1625" s="196">
        <v>42385</v>
      </c>
      <c r="E1625" s="101" t="s">
        <v>23</v>
      </c>
      <c r="F1625" s="216" t="s">
        <v>49</v>
      </c>
      <c r="G1625" s="3" t="s">
        <v>56</v>
      </c>
      <c r="H1625" s="3" t="s">
        <v>56</v>
      </c>
      <c r="M1625" s="151" t="str">
        <f t="shared" si="79"/>
        <v>/</v>
      </c>
      <c r="N1625" s="151" t="str">
        <f t="shared" si="80"/>
        <v/>
      </c>
      <c r="Q1625" s="239" t="str">
        <f t="shared" ca="1" si="78"/>
        <v/>
      </c>
    </row>
    <row r="1626" spans="3:17" ht="15.75" hidden="1" customHeight="1" outlineLevel="1" x14ac:dyDescent="0.25">
      <c r="C1626" s="207"/>
      <c r="D1626" s="196">
        <v>42388</v>
      </c>
      <c r="E1626" s="101" t="s">
        <v>21</v>
      </c>
      <c r="F1626" s="216" t="s">
        <v>49</v>
      </c>
      <c r="G1626" s="3" t="s">
        <v>56</v>
      </c>
      <c r="H1626" s="3" t="s">
        <v>56</v>
      </c>
      <c r="M1626" s="151" t="str">
        <f t="shared" si="79"/>
        <v>/</v>
      </c>
      <c r="N1626" s="151" t="str">
        <f t="shared" si="80"/>
        <v/>
      </c>
      <c r="Q1626" s="239" t="str">
        <f t="shared" ca="1" si="78"/>
        <v/>
      </c>
    </row>
    <row r="1627" spans="3:17" ht="15.75" hidden="1" customHeight="1" outlineLevel="1" x14ac:dyDescent="0.25">
      <c r="C1627" s="207"/>
      <c r="D1627" s="196">
        <v>42390</v>
      </c>
      <c r="E1627" s="101" t="s">
        <v>15</v>
      </c>
      <c r="F1627" s="216" t="s">
        <v>50</v>
      </c>
      <c r="G1627" s="3" t="s">
        <v>56</v>
      </c>
      <c r="H1627" s="3" t="s">
        <v>56</v>
      </c>
      <c r="M1627" s="151" t="str">
        <f t="shared" si="79"/>
        <v/>
      </c>
      <c r="N1627" s="151" t="str">
        <f t="shared" si="80"/>
        <v>/</v>
      </c>
      <c r="Q1627" s="239" t="str">
        <f t="shared" ca="1" si="78"/>
        <v/>
      </c>
    </row>
    <row r="1628" spans="3:17" ht="15.75" hidden="1" customHeight="1" outlineLevel="1" x14ac:dyDescent="0.25">
      <c r="C1628" s="207"/>
      <c r="D1628" s="196">
        <v>42392</v>
      </c>
      <c r="E1628" s="101" t="s">
        <v>0</v>
      </c>
      <c r="F1628" s="216" t="s">
        <v>50</v>
      </c>
      <c r="G1628" s="3" t="s">
        <v>56</v>
      </c>
      <c r="H1628" s="3" t="s">
        <v>56</v>
      </c>
      <c r="M1628" s="151" t="str">
        <f t="shared" si="79"/>
        <v/>
      </c>
      <c r="N1628" s="151" t="str">
        <f t="shared" si="80"/>
        <v>/</v>
      </c>
      <c r="Q1628" s="239" t="str">
        <f t="shared" ca="1" si="78"/>
        <v/>
      </c>
    </row>
    <row r="1629" spans="3:17" ht="15.75" hidden="1" customHeight="1" outlineLevel="1" x14ac:dyDescent="0.25">
      <c r="C1629" s="207"/>
      <c r="D1629" s="196">
        <v>42393</v>
      </c>
      <c r="E1629" s="101" t="s">
        <v>11</v>
      </c>
      <c r="F1629" s="216" t="s">
        <v>50</v>
      </c>
      <c r="G1629" s="3" t="s">
        <v>56</v>
      </c>
      <c r="H1629" s="3" t="s">
        <v>56</v>
      </c>
      <c r="M1629" s="151" t="str">
        <f t="shared" si="79"/>
        <v/>
      </c>
      <c r="N1629" s="151" t="str">
        <f t="shared" si="80"/>
        <v>/</v>
      </c>
      <c r="Q1629" s="239" t="str">
        <f t="shared" ca="1" si="78"/>
        <v/>
      </c>
    </row>
    <row r="1630" spans="3:17" ht="15.75" hidden="1" customHeight="1" outlineLevel="1" x14ac:dyDescent="0.25">
      <c r="C1630" s="207"/>
      <c r="D1630" s="196">
        <v>42397</v>
      </c>
      <c r="E1630" s="101" t="s">
        <v>16</v>
      </c>
      <c r="F1630" s="216" t="s">
        <v>50</v>
      </c>
      <c r="G1630" s="3" t="s">
        <v>56</v>
      </c>
      <c r="H1630" s="3" t="s">
        <v>56</v>
      </c>
      <c r="M1630" s="151" t="str">
        <f t="shared" si="79"/>
        <v/>
      </c>
      <c r="N1630" s="151" t="str">
        <f t="shared" si="80"/>
        <v>/</v>
      </c>
      <c r="Q1630" s="239" t="str">
        <f t="shared" ca="1" si="78"/>
        <v/>
      </c>
    </row>
    <row r="1631" spans="3:17" ht="15.75" hidden="1" customHeight="1" outlineLevel="1" x14ac:dyDescent="0.25">
      <c r="C1631" s="208"/>
      <c r="D1631" s="196">
        <v>42401</v>
      </c>
      <c r="E1631" s="101" t="s">
        <v>25</v>
      </c>
      <c r="F1631" s="216" t="s">
        <v>50</v>
      </c>
      <c r="G1631" s="3" t="s">
        <v>56</v>
      </c>
      <c r="H1631" s="3" t="s">
        <v>56</v>
      </c>
      <c r="M1631" s="151" t="str">
        <f t="shared" si="79"/>
        <v/>
      </c>
      <c r="N1631" s="151" t="str">
        <f t="shared" si="80"/>
        <v>/</v>
      </c>
      <c r="Q1631" s="239" t="str">
        <f t="shared" ca="1" si="78"/>
        <v/>
      </c>
    </row>
    <row r="1632" spans="3:17" ht="15.75" hidden="1" customHeight="1" outlineLevel="1" x14ac:dyDescent="0.25">
      <c r="C1632" s="208"/>
      <c r="D1632" s="196">
        <v>42402</v>
      </c>
      <c r="E1632" s="101" t="s">
        <v>16</v>
      </c>
      <c r="F1632" s="216" t="s">
        <v>49</v>
      </c>
      <c r="G1632" s="3" t="s">
        <v>56</v>
      </c>
      <c r="H1632" s="3" t="s">
        <v>56</v>
      </c>
      <c r="M1632" s="151" t="str">
        <f t="shared" si="79"/>
        <v>/</v>
      </c>
      <c r="N1632" s="151" t="str">
        <f t="shared" si="80"/>
        <v/>
      </c>
      <c r="Q1632" s="239" t="str">
        <f t="shared" ca="1" si="78"/>
        <v/>
      </c>
    </row>
    <row r="1633" spans="3:17" ht="15.75" hidden="1" customHeight="1" outlineLevel="1" x14ac:dyDescent="0.25">
      <c r="C1633" s="208"/>
      <c r="D1633" s="196">
        <v>42405</v>
      </c>
      <c r="E1633" s="101" t="s">
        <v>1</v>
      </c>
      <c r="F1633" s="216" t="s">
        <v>50</v>
      </c>
      <c r="G1633" s="3" t="s">
        <v>56</v>
      </c>
      <c r="H1633" s="3" t="s">
        <v>56</v>
      </c>
      <c r="M1633" s="151" t="str">
        <f t="shared" si="79"/>
        <v/>
      </c>
      <c r="N1633" s="151" t="str">
        <f t="shared" si="80"/>
        <v>/</v>
      </c>
      <c r="Q1633" s="239" t="str">
        <f t="shared" ca="1" si="78"/>
        <v/>
      </c>
    </row>
    <row r="1634" spans="3:17" ht="15.75" hidden="1" customHeight="1" outlineLevel="1" x14ac:dyDescent="0.25">
      <c r="C1634" s="208"/>
      <c r="D1634" s="196">
        <v>42406</v>
      </c>
      <c r="E1634" s="101" t="s">
        <v>12</v>
      </c>
      <c r="F1634" s="216" t="s">
        <v>50</v>
      </c>
      <c r="G1634" s="3" t="s">
        <v>56</v>
      </c>
      <c r="H1634" s="3" t="s">
        <v>56</v>
      </c>
      <c r="M1634" s="151" t="str">
        <f t="shared" si="79"/>
        <v/>
      </c>
      <c r="N1634" s="151" t="str">
        <f t="shared" si="80"/>
        <v>/</v>
      </c>
      <c r="Q1634" s="239" t="str">
        <f t="shared" ca="1" si="78"/>
        <v/>
      </c>
    </row>
    <row r="1635" spans="3:17" ht="15.75" hidden="1" customHeight="1" outlineLevel="1" x14ac:dyDescent="0.25">
      <c r="C1635" s="208"/>
      <c r="D1635" s="196">
        <v>42408</v>
      </c>
      <c r="E1635" s="101" t="s">
        <v>9</v>
      </c>
      <c r="F1635" s="216" t="s">
        <v>50</v>
      </c>
      <c r="G1635" s="3" t="s">
        <v>56</v>
      </c>
      <c r="H1635" s="3" t="s">
        <v>56</v>
      </c>
      <c r="M1635" s="151" t="str">
        <f t="shared" si="79"/>
        <v/>
      </c>
      <c r="N1635" s="151" t="str">
        <f t="shared" si="80"/>
        <v>/</v>
      </c>
      <c r="Q1635" s="239" t="str">
        <f t="shared" ca="1" si="78"/>
        <v/>
      </c>
    </row>
    <row r="1636" spans="3:17" ht="15.75" hidden="1" customHeight="1" outlineLevel="1" x14ac:dyDescent="0.25">
      <c r="C1636" s="208"/>
      <c r="D1636" s="196">
        <v>42411</v>
      </c>
      <c r="E1636" s="101" t="s">
        <v>3</v>
      </c>
      <c r="F1636" s="216" t="s">
        <v>50</v>
      </c>
      <c r="G1636" s="3" t="s">
        <v>56</v>
      </c>
      <c r="H1636" s="3" t="s">
        <v>56</v>
      </c>
      <c r="M1636" s="151" t="str">
        <f t="shared" si="79"/>
        <v/>
      </c>
      <c r="N1636" s="151" t="str">
        <f t="shared" si="80"/>
        <v>/</v>
      </c>
      <c r="Q1636" s="239" t="str">
        <f t="shared" ca="1" si="78"/>
        <v/>
      </c>
    </row>
    <row r="1637" spans="3:17" ht="15.75" hidden="1" customHeight="1" outlineLevel="1" x14ac:dyDescent="0.25">
      <c r="C1637" s="208"/>
      <c r="D1637" s="196">
        <v>42413</v>
      </c>
      <c r="E1637" s="101" t="s">
        <v>28</v>
      </c>
      <c r="F1637" s="216" t="s">
        <v>50</v>
      </c>
      <c r="G1637" s="3" t="s">
        <v>56</v>
      </c>
      <c r="H1637" s="3" t="s">
        <v>56</v>
      </c>
      <c r="M1637" s="151" t="str">
        <f t="shared" si="79"/>
        <v/>
      </c>
      <c r="N1637" s="151" t="str">
        <f t="shared" si="80"/>
        <v>/</v>
      </c>
      <c r="Q1637" s="239" t="str">
        <f t="shared" ca="1" si="78"/>
        <v/>
      </c>
    </row>
    <row r="1638" spans="3:17" ht="15.75" hidden="1" customHeight="1" outlineLevel="1" x14ac:dyDescent="0.25">
      <c r="C1638" s="208"/>
      <c r="D1638" s="196">
        <v>42415</v>
      </c>
      <c r="E1638" s="101" t="s">
        <v>0</v>
      </c>
      <c r="F1638" s="216" t="s">
        <v>49</v>
      </c>
      <c r="G1638" s="3" t="s">
        <v>56</v>
      </c>
      <c r="H1638" s="3" t="s">
        <v>56</v>
      </c>
      <c r="M1638" s="151" t="str">
        <f t="shared" si="79"/>
        <v>/</v>
      </c>
      <c r="N1638" s="151" t="str">
        <f t="shared" si="80"/>
        <v/>
      </c>
      <c r="Q1638" s="239" t="str">
        <f t="shared" ca="1" si="78"/>
        <v/>
      </c>
    </row>
    <row r="1639" spans="3:17" ht="15.75" hidden="1" customHeight="1" outlineLevel="1" x14ac:dyDescent="0.25">
      <c r="C1639" s="208"/>
      <c r="D1639" s="196">
        <v>42423</v>
      </c>
      <c r="E1639" s="101" t="s">
        <v>16</v>
      </c>
      <c r="F1639" s="216" t="s">
        <v>50</v>
      </c>
      <c r="G1639" s="3" t="s">
        <v>56</v>
      </c>
      <c r="H1639" s="3" t="s">
        <v>56</v>
      </c>
      <c r="M1639" s="151" t="str">
        <f t="shared" si="79"/>
        <v/>
      </c>
      <c r="N1639" s="151" t="str">
        <f t="shared" si="80"/>
        <v>/</v>
      </c>
      <c r="Q1639" s="239" t="str">
        <f t="shared" ca="1" si="78"/>
        <v/>
      </c>
    </row>
    <row r="1640" spans="3:17" ht="15.75" hidden="1" customHeight="1" outlineLevel="1" x14ac:dyDescent="0.25">
      <c r="C1640" s="208"/>
      <c r="D1640" s="196">
        <v>42424</v>
      </c>
      <c r="E1640" s="101" t="s">
        <v>46</v>
      </c>
      <c r="F1640" s="216" t="s">
        <v>49</v>
      </c>
      <c r="G1640" s="3" t="s">
        <v>56</v>
      </c>
      <c r="H1640" s="3" t="s">
        <v>56</v>
      </c>
      <c r="M1640" s="151" t="str">
        <f t="shared" si="79"/>
        <v>/</v>
      </c>
      <c r="N1640" s="151" t="str">
        <f t="shared" si="80"/>
        <v/>
      </c>
      <c r="Q1640" s="239" t="str">
        <f t="shared" ca="1" si="78"/>
        <v/>
      </c>
    </row>
    <row r="1641" spans="3:17" ht="15.75" hidden="1" customHeight="1" outlineLevel="1" x14ac:dyDescent="0.25">
      <c r="C1641" s="208"/>
      <c r="D1641" s="196">
        <v>42426</v>
      </c>
      <c r="E1641" s="101" t="s">
        <v>3</v>
      </c>
      <c r="F1641" s="216" t="s">
        <v>49</v>
      </c>
      <c r="G1641" s="3" t="s">
        <v>56</v>
      </c>
      <c r="H1641" s="3" t="s">
        <v>56</v>
      </c>
      <c r="M1641" s="151" t="str">
        <f t="shared" si="79"/>
        <v>/</v>
      </c>
      <c r="N1641" s="151" t="str">
        <f t="shared" si="80"/>
        <v/>
      </c>
      <c r="Q1641" s="239" t="str">
        <f t="shared" ca="1" si="78"/>
        <v/>
      </c>
    </row>
    <row r="1642" spans="3:17" ht="15.75" hidden="1" customHeight="1" outlineLevel="1" x14ac:dyDescent="0.25">
      <c r="C1642" s="207"/>
      <c r="D1642" s="196">
        <v>42430</v>
      </c>
      <c r="E1642" s="101" t="s">
        <v>17</v>
      </c>
      <c r="F1642" s="216" t="s">
        <v>49</v>
      </c>
      <c r="G1642" s="3" t="s">
        <v>56</v>
      </c>
      <c r="H1642" s="3" t="s">
        <v>56</v>
      </c>
      <c r="M1642" s="151" t="str">
        <f t="shared" si="79"/>
        <v>/</v>
      </c>
      <c r="N1642" s="151" t="str">
        <f t="shared" si="80"/>
        <v/>
      </c>
      <c r="Q1642" s="239" t="str">
        <f t="shared" ca="1" si="78"/>
        <v/>
      </c>
    </row>
    <row r="1643" spans="3:17" ht="15.75" hidden="1" customHeight="1" outlineLevel="1" x14ac:dyDescent="0.25">
      <c r="C1643" s="207"/>
      <c r="D1643" s="196">
        <v>42432</v>
      </c>
      <c r="E1643" s="101" t="s">
        <v>8</v>
      </c>
      <c r="F1643" s="216" t="s">
        <v>50</v>
      </c>
      <c r="G1643" s="3" t="s">
        <v>56</v>
      </c>
      <c r="H1643" s="3" t="s">
        <v>56</v>
      </c>
      <c r="M1643" s="151" t="str">
        <f t="shared" si="79"/>
        <v/>
      </c>
      <c r="N1643" s="151" t="str">
        <f t="shared" si="80"/>
        <v>/</v>
      </c>
      <c r="Q1643" s="239" t="str">
        <f t="shared" ref="Q1643:Q1706" ca="1" si="81">IF(D1643=TODAY(),1,"")</f>
        <v/>
      </c>
    </row>
    <row r="1644" spans="3:17" ht="15.75" hidden="1" customHeight="1" outlineLevel="1" x14ac:dyDescent="0.25">
      <c r="C1644" s="207"/>
      <c r="D1644" s="196">
        <v>42433</v>
      </c>
      <c r="E1644" s="101" t="s">
        <v>2</v>
      </c>
      <c r="F1644" s="216" t="s">
        <v>50</v>
      </c>
      <c r="G1644" s="3" t="s">
        <v>56</v>
      </c>
      <c r="H1644" s="3" t="s">
        <v>56</v>
      </c>
      <c r="M1644" s="151" t="str">
        <f t="shared" si="79"/>
        <v/>
      </c>
      <c r="N1644" s="151" t="str">
        <f t="shared" si="80"/>
        <v>/</v>
      </c>
      <c r="Q1644" s="239" t="str">
        <f t="shared" ca="1" si="81"/>
        <v/>
      </c>
    </row>
    <row r="1645" spans="3:17" ht="15.75" hidden="1" customHeight="1" outlineLevel="1" x14ac:dyDescent="0.25">
      <c r="C1645" s="207"/>
      <c r="D1645" s="196">
        <v>42435</v>
      </c>
      <c r="E1645" s="101" t="s">
        <v>1</v>
      </c>
      <c r="F1645" s="216" t="s">
        <v>49</v>
      </c>
      <c r="G1645" s="3" t="s">
        <v>56</v>
      </c>
      <c r="H1645" s="3" t="s">
        <v>56</v>
      </c>
      <c r="M1645" s="151" t="str">
        <f t="shared" si="79"/>
        <v>/</v>
      </c>
      <c r="N1645" s="151" t="str">
        <f t="shared" si="80"/>
        <v/>
      </c>
      <c r="Q1645" s="239" t="str">
        <f t="shared" ca="1" si="81"/>
        <v/>
      </c>
    </row>
    <row r="1646" spans="3:17" ht="15.75" hidden="1" customHeight="1" outlineLevel="1" x14ac:dyDescent="0.25">
      <c r="C1646" s="207"/>
      <c r="D1646" s="196">
        <v>42437</v>
      </c>
      <c r="E1646" s="101" t="s">
        <v>21</v>
      </c>
      <c r="F1646" s="216" t="s">
        <v>50</v>
      </c>
      <c r="G1646" s="3" t="s">
        <v>56</v>
      </c>
      <c r="H1646" s="3" t="s">
        <v>56</v>
      </c>
      <c r="M1646" s="151" t="str">
        <f t="shared" si="79"/>
        <v/>
      </c>
      <c r="N1646" s="151" t="str">
        <f t="shared" si="80"/>
        <v>/</v>
      </c>
      <c r="Q1646" s="239" t="str">
        <f t="shared" ca="1" si="81"/>
        <v/>
      </c>
    </row>
    <row r="1647" spans="3:17" ht="15.75" hidden="1" customHeight="1" outlineLevel="1" x14ac:dyDescent="0.25">
      <c r="C1647" s="207"/>
      <c r="D1647" s="196">
        <v>42438</v>
      </c>
      <c r="E1647" s="101" t="s">
        <v>20</v>
      </c>
      <c r="F1647" s="216" t="s">
        <v>50</v>
      </c>
      <c r="G1647" s="3" t="s">
        <v>56</v>
      </c>
      <c r="H1647" s="3" t="s">
        <v>56</v>
      </c>
      <c r="M1647" s="151" t="str">
        <f t="shared" si="79"/>
        <v/>
      </c>
      <c r="N1647" s="151" t="str">
        <f t="shared" si="80"/>
        <v>/</v>
      </c>
      <c r="Q1647" s="239" t="str">
        <f t="shared" ca="1" si="81"/>
        <v/>
      </c>
    </row>
    <row r="1648" spans="3:17" ht="15.75" hidden="1" customHeight="1" outlineLevel="1" x14ac:dyDescent="0.25">
      <c r="C1648" s="207"/>
      <c r="D1648" s="196">
        <v>42440</v>
      </c>
      <c r="E1648" s="101" t="s">
        <v>11</v>
      </c>
      <c r="F1648" s="216" t="s">
        <v>49</v>
      </c>
      <c r="G1648" s="3" t="s">
        <v>56</v>
      </c>
      <c r="H1648" s="3" t="s">
        <v>56</v>
      </c>
      <c r="M1648" s="151" t="str">
        <f t="shared" si="79"/>
        <v>/</v>
      </c>
      <c r="N1648" s="151" t="str">
        <f t="shared" si="80"/>
        <v/>
      </c>
      <c r="Q1648" s="239" t="str">
        <f t="shared" ca="1" si="81"/>
        <v/>
      </c>
    </row>
    <row r="1649" spans="3:17" ht="15.75" hidden="1" customHeight="1" outlineLevel="1" x14ac:dyDescent="0.25">
      <c r="C1649" s="207"/>
      <c r="D1649" s="196">
        <v>42442</v>
      </c>
      <c r="E1649" s="101" t="s">
        <v>28</v>
      </c>
      <c r="F1649" s="216" t="s">
        <v>50</v>
      </c>
      <c r="G1649" s="3" t="s">
        <v>56</v>
      </c>
      <c r="H1649" s="3" t="s">
        <v>56</v>
      </c>
      <c r="M1649" s="151" t="str">
        <f t="shared" si="79"/>
        <v/>
      </c>
      <c r="N1649" s="151" t="str">
        <f t="shared" si="80"/>
        <v>/</v>
      </c>
      <c r="Q1649" s="239" t="str">
        <f t="shared" ca="1" si="81"/>
        <v/>
      </c>
    </row>
    <row r="1650" spans="3:17" ht="15.75" hidden="1" customHeight="1" outlineLevel="1" x14ac:dyDescent="0.25">
      <c r="C1650" s="207"/>
      <c r="D1650" s="196">
        <v>42444</v>
      </c>
      <c r="E1650" s="101" t="s">
        <v>8</v>
      </c>
      <c r="F1650" s="216" t="s">
        <v>49</v>
      </c>
      <c r="G1650" s="3" t="s">
        <v>56</v>
      </c>
      <c r="H1650" s="3" t="s">
        <v>56</v>
      </c>
      <c r="M1650" s="151" t="str">
        <f t="shared" si="79"/>
        <v>/</v>
      </c>
      <c r="N1650" s="151" t="str">
        <f t="shared" si="80"/>
        <v/>
      </c>
      <c r="Q1650" s="239" t="str">
        <f t="shared" ca="1" si="81"/>
        <v/>
      </c>
    </row>
    <row r="1651" spans="3:17" ht="15.75" hidden="1" customHeight="1" outlineLevel="1" x14ac:dyDescent="0.25">
      <c r="C1651" s="207"/>
      <c r="D1651" s="196">
        <v>42445</v>
      </c>
      <c r="E1651" s="101" t="s">
        <v>15</v>
      </c>
      <c r="F1651" s="216" t="s">
        <v>50</v>
      </c>
      <c r="G1651" s="3" t="s">
        <v>56</v>
      </c>
      <c r="H1651" s="3" t="s">
        <v>56</v>
      </c>
      <c r="M1651" s="151" t="str">
        <f t="shared" si="79"/>
        <v/>
      </c>
      <c r="N1651" s="151" t="str">
        <f t="shared" si="80"/>
        <v>/</v>
      </c>
      <c r="Q1651" s="239" t="str">
        <f t="shared" ca="1" si="81"/>
        <v/>
      </c>
    </row>
    <row r="1652" spans="3:17" ht="15.75" hidden="1" customHeight="1" outlineLevel="1" x14ac:dyDescent="0.25">
      <c r="C1652" s="207"/>
      <c r="D1652" s="196">
        <v>42447</v>
      </c>
      <c r="E1652" s="101" t="s">
        <v>4</v>
      </c>
      <c r="F1652" s="216" t="s">
        <v>49</v>
      </c>
      <c r="G1652" s="3" t="s">
        <v>56</v>
      </c>
      <c r="H1652" s="3" t="s">
        <v>56</v>
      </c>
      <c r="M1652" s="151" t="str">
        <f t="shared" si="79"/>
        <v>/</v>
      </c>
      <c r="N1652" s="151" t="str">
        <f t="shared" si="80"/>
        <v/>
      </c>
      <c r="Q1652" s="239" t="str">
        <f t="shared" ca="1" si="81"/>
        <v/>
      </c>
    </row>
    <row r="1653" spans="3:17" ht="15.75" hidden="1" customHeight="1" outlineLevel="1" x14ac:dyDescent="0.25">
      <c r="C1653" s="207"/>
      <c r="D1653" s="196">
        <v>42449</v>
      </c>
      <c r="E1653" s="101" t="s">
        <v>9</v>
      </c>
      <c r="F1653" s="216" t="s">
        <v>49</v>
      </c>
      <c r="G1653" s="3" t="s">
        <v>56</v>
      </c>
      <c r="H1653" s="3" t="s">
        <v>56</v>
      </c>
      <c r="M1653" s="151" t="str">
        <f t="shared" si="79"/>
        <v>/</v>
      </c>
      <c r="N1653" s="151" t="str">
        <f t="shared" si="80"/>
        <v/>
      </c>
      <c r="Q1653" s="239" t="str">
        <f t="shared" ca="1" si="81"/>
        <v/>
      </c>
    </row>
    <row r="1654" spans="3:17" ht="15.75" hidden="1" customHeight="1" outlineLevel="1" x14ac:dyDescent="0.25">
      <c r="C1654" s="207"/>
      <c r="D1654" s="196">
        <v>42450</v>
      </c>
      <c r="E1654" s="101" t="s">
        <v>644</v>
      </c>
      <c r="F1654" s="216" t="s">
        <v>50</v>
      </c>
      <c r="G1654" s="3" t="s">
        <v>56</v>
      </c>
      <c r="H1654" s="3" t="s">
        <v>56</v>
      </c>
      <c r="M1654" s="151" t="str">
        <f t="shared" si="79"/>
        <v/>
      </c>
      <c r="N1654" s="151" t="str">
        <f t="shared" si="80"/>
        <v>/</v>
      </c>
      <c r="Q1654" s="239" t="str">
        <f t="shared" ca="1" si="81"/>
        <v/>
      </c>
    </row>
    <row r="1655" spans="3:17" ht="15.75" hidden="1" customHeight="1" outlineLevel="1" x14ac:dyDescent="0.25">
      <c r="C1655" s="207"/>
      <c r="D1655" s="196">
        <v>42452</v>
      </c>
      <c r="E1655" s="101" t="s">
        <v>645</v>
      </c>
      <c r="F1655" s="216" t="s">
        <v>50</v>
      </c>
      <c r="G1655" s="3" t="s">
        <v>56</v>
      </c>
      <c r="H1655" s="3" t="s">
        <v>56</v>
      </c>
      <c r="M1655" s="151" t="str">
        <f t="shared" si="79"/>
        <v/>
      </c>
      <c r="N1655" s="151" t="str">
        <f t="shared" si="80"/>
        <v>/</v>
      </c>
      <c r="Q1655" s="239" t="str">
        <f t="shared" ca="1" si="81"/>
        <v/>
      </c>
    </row>
    <row r="1656" spans="3:17" ht="15.75" hidden="1" customHeight="1" outlineLevel="1" x14ac:dyDescent="0.25">
      <c r="C1656" s="207"/>
      <c r="D1656" s="196">
        <v>42454</v>
      </c>
      <c r="E1656" s="101" t="s">
        <v>28</v>
      </c>
      <c r="F1656" s="216" t="s">
        <v>49</v>
      </c>
      <c r="G1656" s="3" t="s">
        <v>56</v>
      </c>
      <c r="H1656" s="3" t="s">
        <v>56</v>
      </c>
      <c r="M1656" s="151" t="str">
        <f t="shared" si="79"/>
        <v>/</v>
      </c>
      <c r="N1656" s="151" t="str">
        <f t="shared" si="80"/>
        <v/>
      </c>
      <c r="Q1656" s="239" t="str">
        <f t="shared" ca="1" si="81"/>
        <v/>
      </c>
    </row>
    <row r="1657" spans="3:17" ht="15.75" hidden="1" customHeight="1" outlineLevel="1" x14ac:dyDescent="0.25">
      <c r="C1657" s="207"/>
      <c r="D1657" s="196">
        <v>42455</v>
      </c>
      <c r="E1657" s="101" t="s">
        <v>26</v>
      </c>
      <c r="F1657" s="216" t="s">
        <v>49</v>
      </c>
      <c r="G1657" s="3" t="s">
        <v>56</v>
      </c>
      <c r="H1657" s="3" t="s">
        <v>56</v>
      </c>
      <c r="M1657" s="151" t="str">
        <f t="shared" si="79"/>
        <v>/</v>
      </c>
      <c r="N1657" s="151" t="str">
        <f t="shared" si="80"/>
        <v/>
      </c>
      <c r="Q1657" s="239" t="str">
        <f t="shared" ca="1" si="81"/>
        <v/>
      </c>
    </row>
    <row r="1658" spans="3:17" ht="15.75" hidden="1" customHeight="1" outlineLevel="1" x14ac:dyDescent="0.25">
      <c r="C1658" s="207"/>
      <c r="D1658" s="196">
        <v>42458</v>
      </c>
      <c r="E1658" s="101" t="s">
        <v>13</v>
      </c>
      <c r="F1658" s="216" t="s">
        <v>49</v>
      </c>
      <c r="G1658" s="3" t="s">
        <v>56</v>
      </c>
      <c r="H1658" s="3" t="s">
        <v>56</v>
      </c>
      <c r="M1658" s="151" t="str">
        <f t="shared" si="79"/>
        <v>/</v>
      </c>
      <c r="N1658" s="151" t="str">
        <f t="shared" si="80"/>
        <v/>
      </c>
      <c r="Q1658" s="239" t="str">
        <f t="shared" ca="1" si="81"/>
        <v/>
      </c>
    </row>
    <row r="1659" spans="3:17" ht="15.75" hidden="1" customHeight="1" outlineLevel="1" x14ac:dyDescent="0.25">
      <c r="C1659" s="207"/>
      <c r="D1659" s="196">
        <v>42459</v>
      </c>
      <c r="E1659" s="101" t="s">
        <v>25</v>
      </c>
      <c r="F1659" s="216" t="s">
        <v>50</v>
      </c>
      <c r="G1659" s="3" t="s">
        <v>56</v>
      </c>
      <c r="H1659" s="3" t="s">
        <v>56</v>
      </c>
      <c r="M1659" s="151" t="str">
        <f t="shared" si="79"/>
        <v/>
      </c>
      <c r="N1659" s="151" t="str">
        <f t="shared" si="80"/>
        <v>/</v>
      </c>
      <c r="Q1659" s="239" t="str">
        <f t="shared" ca="1" si="81"/>
        <v/>
      </c>
    </row>
    <row r="1660" spans="3:17" ht="15.75" hidden="1" customHeight="1" outlineLevel="1" x14ac:dyDescent="0.25">
      <c r="C1660" s="208"/>
      <c r="D1660" s="196">
        <v>42461</v>
      </c>
      <c r="E1660" s="101" t="s">
        <v>644</v>
      </c>
      <c r="F1660" s="216" t="s">
        <v>49</v>
      </c>
      <c r="G1660" s="3" t="s">
        <v>56</v>
      </c>
      <c r="H1660" s="3" t="s">
        <v>56</v>
      </c>
      <c r="M1660" s="151" t="str">
        <f t="shared" si="79"/>
        <v>/</v>
      </c>
      <c r="N1660" s="151" t="str">
        <f t="shared" si="80"/>
        <v/>
      </c>
      <c r="Q1660" s="239" t="str">
        <f t="shared" ca="1" si="81"/>
        <v/>
      </c>
    </row>
    <row r="1661" spans="3:17" ht="15.75" hidden="1" customHeight="1" outlineLevel="1" x14ac:dyDescent="0.25">
      <c r="C1661" s="208"/>
      <c r="D1661" s="196">
        <v>42465</v>
      </c>
      <c r="E1661" s="101" t="s">
        <v>645</v>
      </c>
      <c r="F1661" s="216" t="s">
        <v>49</v>
      </c>
      <c r="G1661" s="3" t="s">
        <v>56</v>
      </c>
      <c r="H1661" s="3" t="s">
        <v>56</v>
      </c>
      <c r="M1661" s="151" t="str">
        <f t="shared" si="79"/>
        <v>/</v>
      </c>
      <c r="N1661" s="151" t="str">
        <f t="shared" si="80"/>
        <v/>
      </c>
      <c r="Q1661" s="239" t="str">
        <f t="shared" ca="1" si="81"/>
        <v/>
      </c>
    </row>
    <row r="1662" spans="3:17" ht="15.75" hidden="1" customHeight="1" outlineLevel="1" x14ac:dyDescent="0.25">
      <c r="C1662" s="208"/>
      <c r="D1662" s="196">
        <v>42468</v>
      </c>
      <c r="E1662" s="101" t="s">
        <v>46</v>
      </c>
      <c r="F1662" s="216" t="s">
        <v>50</v>
      </c>
      <c r="G1662" s="3" t="s">
        <v>56</v>
      </c>
      <c r="H1662" s="3" t="s">
        <v>56</v>
      </c>
      <c r="M1662" s="151" t="str">
        <f t="shared" si="79"/>
        <v/>
      </c>
      <c r="N1662" s="151" t="str">
        <f t="shared" si="80"/>
        <v>/</v>
      </c>
      <c r="Q1662" s="239" t="str">
        <f t="shared" ca="1" si="81"/>
        <v/>
      </c>
    </row>
    <row r="1663" spans="3:17" ht="15.75" hidden="1" customHeight="1" outlineLevel="1" x14ac:dyDescent="0.25">
      <c r="C1663" s="208"/>
      <c r="D1663" s="196">
        <v>42470</v>
      </c>
      <c r="E1663" s="101" t="s">
        <v>17</v>
      </c>
      <c r="F1663" s="216" t="s">
        <v>49</v>
      </c>
      <c r="G1663" s="3" t="s">
        <v>56</v>
      </c>
      <c r="H1663" s="3" t="s">
        <v>56</v>
      </c>
      <c r="M1663" s="151" t="str">
        <f t="shared" si="79"/>
        <v>/</v>
      </c>
      <c r="N1663" s="151" t="str">
        <f t="shared" si="80"/>
        <v/>
      </c>
      <c r="Q1663" s="239" t="str">
        <f t="shared" ca="1" si="81"/>
        <v/>
      </c>
    </row>
    <row r="1664" spans="3:17" ht="15.75" hidden="1" customHeight="1" outlineLevel="1" x14ac:dyDescent="0.25">
      <c r="C1664" s="208"/>
      <c r="D1664" s="196">
        <v>42472</v>
      </c>
      <c r="E1664" s="102" t="s">
        <v>26</v>
      </c>
      <c r="F1664" s="217" t="s">
        <v>49</v>
      </c>
      <c r="G1664" s="3" t="s">
        <v>56</v>
      </c>
      <c r="H1664" s="3" t="s">
        <v>56</v>
      </c>
      <c r="M1664" s="151" t="str">
        <f t="shared" si="79"/>
        <v>/</v>
      </c>
      <c r="N1664" s="151" t="str">
        <f t="shared" si="80"/>
        <v/>
      </c>
      <c r="Q1664" s="239" t="str">
        <f t="shared" ca="1" si="81"/>
        <v/>
      </c>
    </row>
    <row r="1665" spans="2:17" collapsed="1" x14ac:dyDescent="0.25">
      <c r="B1665" s="404" t="str">
        <f ca="1">"- "&amp;INDEX(E1666:E1747,MATCH(TODAY(),D1666:D1747,0))</f>
        <v>- Utah</v>
      </c>
      <c r="C1665" s="404"/>
      <c r="D1665" s="406" t="s">
        <v>19</v>
      </c>
      <c r="E1665" s="407"/>
      <c r="F1665" s="408"/>
      <c r="H1665" s="3"/>
      <c r="Q1665" s="239" t="str">
        <f t="shared" ca="1" si="81"/>
        <v/>
      </c>
    </row>
    <row r="1666" spans="2:17" ht="16.5" hidden="1" customHeight="1" outlineLevel="1" x14ac:dyDescent="0.25">
      <c r="C1666" s="207"/>
      <c r="D1666" s="196">
        <v>42669</v>
      </c>
      <c r="E1666" s="103" t="s">
        <v>17</v>
      </c>
      <c r="F1666" s="215" t="s">
        <v>49</v>
      </c>
      <c r="G1666" s="3">
        <v>1</v>
      </c>
      <c r="H1666" s="3">
        <v>120</v>
      </c>
      <c r="I1666" s="151">
        <v>34</v>
      </c>
      <c r="J1666" s="151">
        <v>61</v>
      </c>
      <c r="K1666" s="151">
        <v>82</v>
      </c>
      <c r="L1666" s="151">
        <v>51</v>
      </c>
      <c r="M1666" s="151">
        <f t="shared" si="79"/>
        <v>120</v>
      </c>
      <c r="N1666" s="151" t="str">
        <f t="shared" si="80"/>
        <v/>
      </c>
      <c r="O1666" s="151">
        <v>114</v>
      </c>
      <c r="Q1666" s="239" t="str">
        <f t="shared" ca="1" si="81"/>
        <v/>
      </c>
    </row>
    <row r="1667" spans="2:17" ht="15.75" hidden="1" customHeight="1" outlineLevel="1" x14ac:dyDescent="0.25">
      <c r="C1667" s="207"/>
      <c r="D1667" s="196">
        <v>42671</v>
      </c>
      <c r="E1667" s="101" t="s">
        <v>28</v>
      </c>
      <c r="F1667" s="216" t="s">
        <v>50</v>
      </c>
      <c r="G1667" s="3" t="s">
        <v>56</v>
      </c>
      <c r="H1667" s="3" t="s">
        <v>56</v>
      </c>
      <c r="M1667" s="151" t="str">
        <f t="shared" si="79"/>
        <v/>
      </c>
      <c r="N1667" s="151" t="str">
        <f t="shared" si="80"/>
        <v>/</v>
      </c>
      <c r="Q1667" s="239">
        <f t="shared" ca="1" si="81"/>
        <v>1</v>
      </c>
    </row>
    <row r="1668" spans="2:17" ht="15.75" hidden="1" customHeight="1" outlineLevel="1" x14ac:dyDescent="0.25">
      <c r="C1668" s="207"/>
      <c r="D1668" s="196">
        <v>42673</v>
      </c>
      <c r="E1668" s="101" t="s">
        <v>23</v>
      </c>
      <c r="F1668" s="216" t="s">
        <v>50</v>
      </c>
      <c r="G1668" s="3" t="s">
        <v>56</v>
      </c>
      <c r="H1668" s="3" t="s">
        <v>56</v>
      </c>
      <c r="M1668" s="151" t="str">
        <f t="shared" si="79"/>
        <v/>
      </c>
      <c r="N1668" s="151" t="str">
        <f t="shared" si="80"/>
        <v>/</v>
      </c>
      <c r="Q1668" s="239" t="str">
        <f t="shared" ca="1" si="81"/>
        <v/>
      </c>
    </row>
    <row r="1669" spans="2:17" ht="15.75" hidden="1" customHeight="1" outlineLevel="1" x14ac:dyDescent="0.25">
      <c r="C1669" s="207"/>
      <c r="D1669" s="196">
        <v>42675</v>
      </c>
      <c r="E1669" s="101" t="s">
        <v>7</v>
      </c>
      <c r="F1669" s="216" t="s">
        <v>50</v>
      </c>
      <c r="G1669" s="3" t="s">
        <v>56</v>
      </c>
      <c r="H1669" s="3" t="s">
        <v>56</v>
      </c>
      <c r="M1669" s="151" t="str">
        <f t="shared" si="79"/>
        <v/>
      </c>
      <c r="N1669" s="151" t="str">
        <f t="shared" si="80"/>
        <v>/</v>
      </c>
      <c r="Q1669" s="239" t="str">
        <f t="shared" ca="1" si="81"/>
        <v/>
      </c>
    </row>
    <row r="1670" spans="2:17" ht="15.75" hidden="1" customHeight="1" outlineLevel="1" x14ac:dyDescent="0.25">
      <c r="C1670" s="207"/>
      <c r="D1670" s="196">
        <v>42676</v>
      </c>
      <c r="E1670" s="101" t="s">
        <v>0</v>
      </c>
      <c r="F1670" s="216" t="s">
        <v>50</v>
      </c>
      <c r="G1670" s="3" t="s">
        <v>56</v>
      </c>
      <c r="H1670" s="3" t="s">
        <v>56</v>
      </c>
      <c r="M1670" s="151" t="str">
        <f t="shared" si="79"/>
        <v/>
      </c>
      <c r="N1670" s="151" t="str">
        <f t="shared" si="80"/>
        <v>/</v>
      </c>
      <c r="Q1670" s="239" t="str">
        <f t="shared" ca="1" si="81"/>
        <v/>
      </c>
    </row>
    <row r="1671" spans="2:17" ht="15.75" hidden="1" customHeight="1" outlineLevel="1" x14ac:dyDescent="0.25">
      <c r="C1671" s="207"/>
      <c r="D1671" s="196">
        <v>42678</v>
      </c>
      <c r="E1671" s="101" t="s">
        <v>16</v>
      </c>
      <c r="F1671" s="216" t="s">
        <v>49</v>
      </c>
      <c r="G1671" s="3" t="s">
        <v>56</v>
      </c>
      <c r="H1671" s="3" t="s">
        <v>56</v>
      </c>
      <c r="M1671" s="151" t="str">
        <f t="shared" ref="M1671:M1734" si="82">IF(F1671="D",H1671,"")</f>
        <v>/</v>
      </c>
      <c r="N1671" s="151" t="str">
        <f t="shared" ref="N1671:N1734" si="83">IF(F1671="E",H1671,"")</f>
        <v/>
      </c>
      <c r="Q1671" s="239" t="str">
        <f t="shared" ca="1" si="81"/>
        <v/>
      </c>
    </row>
    <row r="1672" spans="2:17" ht="15.75" hidden="1" customHeight="1" outlineLevel="1" x14ac:dyDescent="0.25">
      <c r="C1672" s="207"/>
      <c r="D1672" s="196">
        <v>42680</v>
      </c>
      <c r="E1672" s="101" t="s">
        <v>25</v>
      </c>
      <c r="F1672" s="216" t="s">
        <v>49</v>
      </c>
      <c r="G1672" s="3" t="s">
        <v>56</v>
      </c>
      <c r="H1672" s="3" t="s">
        <v>56</v>
      </c>
      <c r="M1672" s="151" t="str">
        <f t="shared" si="82"/>
        <v>/</v>
      </c>
      <c r="N1672" s="151" t="str">
        <f t="shared" si="83"/>
        <v/>
      </c>
      <c r="Q1672" s="239" t="str">
        <f t="shared" ca="1" si="81"/>
        <v/>
      </c>
    </row>
    <row r="1673" spans="2:17" ht="15.75" hidden="1" customHeight="1" outlineLevel="1" x14ac:dyDescent="0.25">
      <c r="C1673" s="207"/>
      <c r="D1673" s="196">
        <v>42682</v>
      </c>
      <c r="E1673" s="101" t="s">
        <v>645</v>
      </c>
      <c r="F1673" s="216" t="s">
        <v>49</v>
      </c>
      <c r="G1673" s="3" t="s">
        <v>56</v>
      </c>
      <c r="H1673" s="3" t="s">
        <v>56</v>
      </c>
      <c r="M1673" s="151" t="str">
        <f t="shared" si="82"/>
        <v>/</v>
      </c>
      <c r="N1673" s="151" t="str">
        <f t="shared" si="83"/>
        <v/>
      </c>
      <c r="Q1673" s="239" t="str">
        <f t="shared" ca="1" si="81"/>
        <v/>
      </c>
    </row>
    <row r="1674" spans="2:17" ht="15.75" hidden="1" customHeight="1" outlineLevel="1" x14ac:dyDescent="0.25">
      <c r="C1674" s="207"/>
      <c r="D1674" s="196">
        <v>42684</v>
      </c>
      <c r="E1674" s="101" t="s">
        <v>26</v>
      </c>
      <c r="F1674" s="216" t="s">
        <v>50</v>
      </c>
      <c r="G1674" s="3" t="s">
        <v>56</v>
      </c>
      <c r="H1674" s="3" t="s">
        <v>56</v>
      </c>
      <c r="M1674" s="151" t="str">
        <f t="shared" si="82"/>
        <v/>
      </c>
      <c r="N1674" s="151" t="str">
        <f t="shared" si="83"/>
        <v>/</v>
      </c>
      <c r="Q1674" s="239" t="str">
        <f t="shared" ca="1" si="81"/>
        <v/>
      </c>
    </row>
    <row r="1675" spans="2:17" ht="15.75" hidden="1" customHeight="1" outlineLevel="1" x14ac:dyDescent="0.25">
      <c r="C1675" s="207"/>
      <c r="D1675" s="196">
        <v>42686</v>
      </c>
      <c r="E1675" s="101" t="s">
        <v>22</v>
      </c>
      <c r="F1675" s="216" t="s">
        <v>50</v>
      </c>
      <c r="G1675" s="3" t="s">
        <v>56</v>
      </c>
      <c r="H1675" s="3" t="s">
        <v>56</v>
      </c>
      <c r="M1675" s="151" t="str">
        <f t="shared" si="82"/>
        <v/>
      </c>
      <c r="N1675" s="151" t="str">
        <f t="shared" si="83"/>
        <v>/</v>
      </c>
      <c r="Q1675" s="239" t="str">
        <f t="shared" ca="1" si="81"/>
        <v/>
      </c>
    </row>
    <row r="1676" spans="2:17" ht="15.75" hidden="1" customHeight="1" outlineLevel="1" x14ac:dyDescent="0.25">
      <c r="C1676" s="207"/>
      <c r="D1676" s="196">
        <v>42687</v>
      </c>
      <c r="E1676" s="101" t="s">
        <v>21</v>
      </c>
      <c r="F1676" s="216" t="s">
        <v>50</v>
      </c>
      <c r="G1676" s="3" t="s">
        <v>56</v>
      </c>
      <c r="H1676" s="3" t="s">
        <v>56</v>
      </c>
      <c r="M1676" s="151" t="str">
        <f t="shared" si="82"/>
        <v/>
      </c>
      <c r="N1676" s="151" t="str">
        <f t="shared" si="83"/>
        <v>/</v>
      </c>
      <c r="Q1676" s="239" t="str">
        <f t="shared" ca="1" si="81"/>
        <v/>
      </c>
    </row>
    <row r="1677" spans="2:17" ht="15.75" hidden="1" customHeight="1" outlineLevel="1" x14ac:dyDescent="0.25">
      <c r="C1677" s="207"/>
      <c r="D1677" s="196">
        <v>42689</v>
      </c>
      <c r="E1677" s="101" t="s">
        <v>45</v>
      </c>
      <c r="F1677" s="216" t="s">
        <v>49</v>
      </c>
      <c r="G1677" s="3" t="s">
        <v>56</v>
      </c>
      <c r="H1677" s="3" t="s">
        <v>56</v>
      </c>
      <c r="M1677" s="151" t="str">
        <f t="shared" si="82"/>
        <v>/</v>
      </c>
      <c r="N1677" s="151" t="str">
        <f t="shared" si="83"/>
        <v/>
      </c>
      <c r="Q1677" s="239" t="str">
        <f t="shared" ca="1" si="81"/>
        <v/>
      </c>
    </row>
    <row r="1678" spans="2:17" ht="15.75" hidden="1" customHeight="1" outlineLevel="1" x14ac:dyDescent="0.25">
      <c r="C1678" s="207"/>
      <c r="D1678" s="196">
        <v>42692</v>
      </c>
      <c r="E1678" s="101" t="s">
        <v>46</v>
      </c>
      <c r="F1678" s="216" t="s">
        <v>49</v>
      </c>
      <c r="G1678" s="3" t="s">
        <v>56</v>
      </c>
      <c r="H1678" s="3" t="s">
        <v>56</v>
      </c>
      <c r="M1678" s="151" t="str">
        <f t="shared" si="82"/>
        <v>/</v>
      </c>
      <c r="N1678" s="151" t="str">
        <f t="shared" si="83"/>
        <v/>
      </c>
      <c r="Q1678" s="239" t="str">
        <f t="shared" ca="1" si="81"/>
        <v/>
      </c>
    </row>
    <row r="1679" spans="2:17" ht="15.75" hidden="1" customHeight="1" outlineLevel="1" x14ac:dyDescent="0.25">
      <c r="C1679" s="207"/>
      <c r="D1679" s="196">
        <v>42694</v>
      </c>
      <c r="E1679" s="101" t="s">
        <v>2</v>
      </c>
      <c r="F1679" s="216" t="s">
        <v>49</v>
      </c>
      <c r="G1679" s="3" t="s">
        <v>56</v>
      </c>
      <c r="H1679" s="3" t="s">
        <v>56</v>
      </c>
      <c r="M1679" s="151" t="str">
        <f t="shared" si="82"/>
        <v>/</v>
      </c>
      <c r="N1679" s="151" t="str">
        <f t="shared" si="83"/>
        <v/>
      </c>
      <c r="Q1679" s="239" t="str">
        <f t="shared" ca="1" si="81"/>
        <v/>
      </c>
    </row>
    <row r="1680" spans="2:17" ht="15.75" hidden="1" customHeight="1" outlineLevel="1" x14ac:dyDescent="0.25">
      <c r="C1680" s="207"/>
      <c r="D1680" s="196">
        <v>42696</v>
      </c>
      <c r="E1680" s="101" t="s">
        <v>23</v>
      </c>
      <c r="F1680" s="216" t="s">
        <v>49</v>
      </c>
      <c r="G1680" s="3" t="s">
        <v>56</v>
      </c>
      <c r="H1680" s="3" t="s">
        <v>56</v>
      </c>
      <c r="M1680" s="151" t="str">
        <f t="shared" si="82"/>
        <v>/</v>
      </c>
      <c r="N1680" s="151" t="str">
        <f t="shared" si="83"/>
        <v/>
      </c>
      <c r="Q1680" s="239" t="str">
        <f t="shared" ca="1" si="81"/>
        <v/>
      </c>
    </row>
    <row r="1681" spans="3:17" ht="15.75" hidden="1" customHeight="1" outlineLevel="1" x14ac:dyDescent="0.25">
      <c r="C1681" s="207"/>
      <c r="D1681" s="196">
        <v>42697</v>
      </c>
      <c r="E1681" s="101" t="s">
        <v>16</v>
      </c>
      <c r="F1681" s="216" t="s">
        <v>50</v>
      </c>
      <c r="G1681" s="3" t="s">
        <v>56</v>
      </c>
      <c r="H1681" s="3" t="s">
        <v>56</v>
      </c>
      <c r="M1681" s="151" t="str">
        <f t="shared" si="82"/>
        <v/>
      </c>
      <c r="N1681" s="151" t="str">
        <f t="shared" si="83"/>
        <v>/</v>
      </c>
      <c r="Q1681" s="239" t="str">
        <f t="shared" ca="1" si="81"/>
        <v/>
      </c>
    </row>
    <row r="1682" spans="3:17" ht="15.75" hidden="1" customHeight="1" outlineLevel="1" x14ac:dyDescent="0.25">
      <c r="C1682" s="207"/>
      <c r="D1682" s="196">
        <v>42699</v>
      </c>
      <c r="E1682" s="101" t="s">
        <v>16</v>
      </c>
      <c r="F1682" s="216" t="s">
        <v>49</v>
      </c>
      <c r="G1682" s="3" t="s">
        <v>56</v>
      </c>
      <c r="H1682" s="3" t="s">
        <v>56</v>
      </c>
      <c r="M1682" s="151" t="str">
        <f t="shared" si="82"/>
        <v>/</v>
      </c>
      <c r="N1682" s="151" t="str">
        <f t="shared" si="83"/>
        <v/>
      </c>
      <c r="Q1682" s="239" t="str">
        <f t="shared" ca="1" si="81"/>
        <v/>
      </c>
    </row>
    <row r="1683" spans="3:17" ht="15.75" hidden="1" customHeight="1" outlineLevel="1" x14ac:dyDescent="0.25">
      <c r="C1683" s="207"/>
      <c r="D1683" s="196">
        <v>42701</v>
      </c>
      <c r="E1683" s="101" t="s">
        <v>0</v>
      </c>
      <c r="F1683" s="216" t="s">
        <v>49</v>
      </c>
      <c r="G1683" s="3" t="s">
        <v>56</v>
      </c>
      <c r="H1683" s="3" t="s">
        <v>56</v>
      </c>
      <c r="M1683" s="151" t="str">
        <f t="shared" si="82"/>
        <v>/</v>
      </c>
      <c r="N1683" s="151" t="str">
        <f t="shared" si="83"/>
        <v/>
      </c>
      <c r="Q1683" s="239" t="str">
        <f t="shared" ca="1" si="81"/>
        <v/>
      </c>
    </row>
    <row r="1684" spans="3:17" ht="15.75" hidden="1" customHeight="1" outlineLevel="1" x14ac:dyDescent="0.25">
      <c r="C1684" s="207"/>
      <c r="D1684" s="196">
        <v>42703</v>
      </c>
      <c r="E1684" s="101" t="s">
        <v>22</v>
      </c>
      <c r="F1684" s="216" t="s">
        <v>50</v>
      </c>
      <c r="G1684" s="3" t="s">
        <v>56</v>
      </c>
      <c r="H1684" s="3" t="s">
        <v>56</v>
      </c>
      <c r="M1684" s="151" t="str">
        <f t="shared" si="82"/>
        <v/>
      </c>
      <c r="N1684" s="151" t="str">
        <f t="shared" si="83"/>
        <v>/</v>
      </c>
      <c r="Q1684" s="239" t="str">
        <f t="shared" ca="1" si="81"/>
        <v/>
      </c>
    </row>
    <row r="1685" spans="3:17" ht="15.75" hidden="1" customHeight="1" outlineLevel="1" x14ac:dyDescent="0.25">
      <c r="C1685" s="207"/>
      <c r="D1685" s="196">
        <v>42704</v>
      </c>
      <c r="E1685" s="101" t="s">
        <v>2</v>
      </c>
      <c r="F1685" s="216" t="s">
        <v>50</v>
      </c>
      <c r="G1685" s="3" t="s">
        <v>56</v>
      </c>
      <c r="H1685" s="3" t="s">
        <v>56</v>
      </c>
      <c r="M1685" s="151" t="str">
        <f t="shared" si="82"/>
        <v/>
      </c>
      <c r="N1685" s="151" t="str">
        <f t="shared" si="83"/>
        <v>/</v>
      </c>
      <c r="Q1685" s="239" t="str">
        <f t="shared" ca="1" si="81"/>
        <v/>
      </c>
    </row>
    <row r="1686" spans="3:17" ht="15.75" hidden="1" customHeight="1" outlineLevel="1" x14ac:dyDescent="0.25">
      <c r="C1686" s="208"/>
      <c r="D1686" s="196">
        <v>42706</v>
      </c>
      <c r="E1686" s="101" t="s">
        <v>12</v>
      </c>
      <c r="F1686" s="216" t="s">
        <v>50</v>
      </c>
      <c r="G1686" s="3" t="s">
        <v>56</v>
      </c>
      <c r="H1686" s="3" t="s">
        <v>56</v>
      </c>
      <c r="M1686" s="151" t="str">
        <f t="shared" si="82"/>
        <v/>
      </c>
      <c r="N1686" s="151" t="str">
        <f t="shared" si="83"/>
        <v>/</v>
      </c>
      <c r="Q1686" s="239" t="str">
        <f t="shared" ca="1" si="81"/>
        <v/>
      </c>
    </row>
    <row r="1687" spans="3:17" ht="15.75" hidden="1" customHeight="1" outlineLevel="1" x14ac:dyDescent="0.25">
      <c r="C1687" s="208"/>
      <c r="D1687" s="196">
        <v>42707</v>
      </c>
      <c r="E1687" s="101" t="s">
        <v>20</v>
      </c>
      <c r="F1687" s="216" t="s">
        <v>50</v>
      </c>
      <c r="G1687" s="3" t="s">
        <v>56</v>
      </c>
      <c r="H1687" s="3" t="s">
        <v>56</v>
      </c>
      <c r="M1687" s="151" t="str">
        <f t="shared" si="82"/>
        <v/>
      </c>
      <c r="N1687" s="151" t="str">
        <f t="shared" si="83"/>
        <v>/</v>
      </c>
      <c r="Q1687" s="239" t="str">
        <f t="shared" ca="1" si="81"/>
        <v/>
      </c>
    </row>
    <row r="1688" spans="3:17" ht="15.75" hidden="1" customHeight="1" outlineLevel="1" x14ac:dyDescent="0.25">
      <c r="C1688" s="208"/>
      <c r="D1688" s="196">
        <v>42709</v>
      </c>
      <c r="E1688" s="101" t="s">
        <v>28</v>
      </c>
      <c r="F1688" s="216" t="s">
        <v>49</v>
      </c>
      <c r="G1688" s="3" t="s">
        <v>56</v>
      </c>
      <c r="H1688" s="3" t="s">
        <v>56</v>
      </c>
      <c r="M1688" s="151" t="str">
        <f t="shared" si="82"/>
        <v>/</v>
      </c>
      <c r="N1688" s="151" t="str">
        <f t="shared" si="83"/>
        <v/>
      </c>
      <c r="Q1688" s="239" t="str">
        <f t="shared" ca="1" si="81"/>
        <v/>
      </c>
    </row>
    <row r="1689" spans="3:17" ht="15.75" hidden="1" customHeight="1" outlineLevel="1" x14ac:dyDescent="0.25">
      <c r="C1689" s="208"/>
      <c r="D1689" s="196">
        <v>42711</v>
      </c>
      <c r="E1689" s="101" t="s">
        <v>17</v>
      </c>
      <c r="F1689" s="216" t="s">
        <v>50</v>
      </c>
      <c r="G1689" s="3" t="s">
        <v>56</v>
      </c>
      <c r="H1689" s="3" t="s">
        <v>56</v>
      </c>
      <c r="M1689" s="151" t="str">
        <f t="shared" si="82"/>
        <v/>
      </c>
      <c r="N1689" s="151" t="str">
        <f t="shared" si="83"/>
        <v>/</v>
      </c>
      <c r="Q1689" s="239" t="str">
        <f t="shared" ca="1" si="81"/>
        <v/>
      </c>
    </row>
    <row r="1690" spans="3:17" ht="15.75" hidden="1" customHeight="1" outlineLevel="1" x14ac:dyDescent="0.25">
      <c r="C1690" s="208"/>
      <c r="D1690" s="196">
        <v>42713</v>
      </c>
      <c r="E1690" s="101" t="s">
        <v>25</v>
      </c>
      <c r="F1690" s="216" t="s">
        <v>49</v>
      </c>
      <c r="G1690" s="3" t="s">
        <v>56</v>
      </c>
      <c r="H1690" s="3" t="s">
        <v>56</v>
      </c>
      <c r="M1690" s="151" t="str">
        <f t="shared" si="82"/>
        <v>/</v>
      </c>
      <c r="N1690" s="151" t="str">
        <f t="shared" si="83"/>
        <v/>
      </c>
      <c r="Q1690" s="239" t="str">
        <f t="shared" ca="1" si="81"/>
        <v/>
      </c>
    </row>
    <row r="1691" spans="3:17" ht="15.75" hidden="1" customHeight="1" outlineLevel="1" x14ac:dyDescent="0.25">
      <c r="C1691" s="208"/>
      <c r="D1691" s="196">
        <v>42715</v>
      </c>
      <c r="E1691" s="101" t="s">
        <v>9</v>
      </c>
      <c r="F1691" s="216" t="s">
        <v>49</v>
      </c>
      <c r="G1691" s="3" t="s">
        <v>56</v>
      </c>
      <c r="H1691" s="3" t="s">
        <v>56</v>
      </c>
      <c r="M1691" s="151" t="str">
        <f t="shared" si="82"/>
        <v>/</v>
      </c>
      <c r="N1691" s="151" t="str">
        <f t="shared" si="83"/>
        <v/>
      </c>
      <c r="Q1691" s="239" t="str">
        <f t="shared" ca="1" si="81"/>
        <v/>
      </c>
    </row>
    <row r="1692" spans="3:17" ht="15.75" hidden="1" customHeight="1" outlineLevel="1" x14ac:dyDescent="0.25">
      <c r="C1692" s="208"/>
      <c r="D1692" s="196">
        <v>42716</v>
      </c>
      <c r="E1692" s="101" t="s">
        <v>26</v>
      </c>
      <c r="F1692" s="216" t="s">
        <v>50</v>
      </c>
      <c r="G1692" s="3" t="s">
        <v>56</v>
      </c>
      <c r="H1692" s="3" t="s">
        <v>56</v>
      </c>
      <c r="M1692" s="151" t="str">
        <f t="shared" si="82"/>
        <v/>
      </c>
      <c r="N1692" s="151" t="str">
        <f t="shared" si="83"/>
        <v>/</v>
      </c>
      <c r="Q1692" s="239" t="str">
        <f t="shared" ca="1" si="81"/>
        <v/>
      </c>
    </row>
    <row r="1693" spans="3:17" ht="15.75" hidden="1" customHeight="1" outlineLevel="1" x14ac:dyDescent="0.25">
      <c r="C1693" s="208"/>
      <c r="D1693" s="196">
        <v>42718</v>
      </c>
      <c r="E1693" s="101" t="s">
        <v>45</v>
      </c>
      <c r="F1693" s="216" t="s">
        <v>50</v>
      </c>
      <c r="G1693" s="3" t="s">
        <v>56</v>
      </c>
      <c r="H1693" s="3" t="s">
        <v>56</v>
      </c>
      <c r="M1693" s="151" t="str">
        <f t="shared" si="82"/>
        <v/>
      </c>
      <c r="N1693" s="151" t="str">
        <f t="shared" si="83"/>
        <v>/</v>
      </c>
      <c r="Q1693" s="239" t="str">
        <f t="shared" ca="1" si="81"/>
        <v/>
      </c>
    </row>
    <row r="1694" spans="3:17" ht="15.75" hidden="1" customHeight="1" outlineLevel="1" x14ac:dyDescent="0.25">
      <c r="C1694" s="208"/>
      <c r="D1694" s="196">
        <v>42720</v>
      </c>
      <c r="E1694" s="101" t="s">
        <v>11</v>
      </c>
      <c r="F1694" s="216" t="s">
        <v>50</v>
      </c>
      <c r="G1694" s="3" t="s">
        <v>56</v>
      </c>
      <c r="H1694" s="3" t="s">
        <v>56</v>
      </c>
      <c r="M1694" s="151" t="str">
        <f t="shared" si="82"/>
        <v/>
      </c>
      <c r="N1694" s="151" t="str">
        <f t="shared" si="83"/>
        <v>/</v>
      </c>
      <c r="Q1694" s="239" t="str">
        <f t="shared" ca="1" si="81"/>
        <v/>
      </c>
    </row>
    <row r="1695" spans="3:17" ht="15.75" hidden="1" customHeight="1" outlineLevel="1" x14ac:dyDescent="0.25">
      <c r="C1695" s="208"/>
      <c r="D1695" s="196">
        <v>42721</v>
      </c>
      <c r="E1695" s="101" t="s">
        <v>4</v>
      </c>
      <c r="F1695" s="216" t="s">
        <v>50</v>
      </c>
      <c r="G1695" s="3" t="s">
        <v>56</v>
      </c>
      <c r="H1695" s="3" t="s">
        <v>56</v>
      </c>
      <c r="M1695" s="151" t="str">
        <f t="shared" si="82"/>
        <v/>
      </c>
      <c r="N1695" s="151" t="str">
        <f t="shared" si="83"/>
        <v>/</v>
      </c>
      <c r="Q1695" s="239" t="str">
        <f t="shared" ca="1" si="81"/>
        <v/>
      </c>
    </row>
    <row r="1696" spans="3:17" ht="15.75" hidden="1" customHeight="1" outlineLevel="1" x14ac:dyDescent="0.25">
      <c r="C1696" s="208"/>
      <c r="D1696" s="196">
        <v>42724</v>
      </c>
      <c r="E1696" s="101" t="s">
        <v>3</v>
      </c>
      <c r="F1696" s="216" t="s">
        <v>50</v>
      </c>
      <c r="G1696" s="3" t="s">
        <v>56</v>
      </c>
      <c r="H1696" s="3" t="s">
        <v>56</v>
      </c>
      <c r="M1696" s="151" t="str">
        <f t="shared" si="82"/>
        <v/>
      </c>
      <c r="N1696" s="151" t="str">
        <f t="shared" si="83"/>
        <v>/</v>
      </c>
      <c r="Q1696" s="239" t="str">
        <f t="shared" ca="1" si="81"/>
        <v/>
      </c>
    </row>
    <row r="1697" spans="3:17" ht="15.75" hidden="1" customHeight="1" outlineLevel="1" x14ac:dyDescent="0.25">
      <c r="C1697" s="208"/>
      <c r="D1697" s="196">
        <v>42726</v>
      </c>
      <c r="E1697" s="101" t="s">
        <v>6</v>
      </c>
      <c r="F1697" s="216" t="s">
        <v>50</v>
      </c>
      <c r="G1697" s="3" t="s">
        <v>56</v>
      </c>
      <c r="H1697" s="3" t="s">
        <v>56</v>
      </c>
      <c r="M1697" s="151" t="str">
        <f t="shared" si="82"/>
        <v/>
      </c>
      <c r="N1697" s="151" t="str">
        <f t="shared" si="83"/>
        <v>/</v>
      </c>
      <c r="Q1697" s="239" t="str">
        <f t="shared" ca="1" si="81"/>
        <v/>
      </c>
    </row>
    <row r="1698" spans="3:17" ht="15.75" hidden="1" customHeight="1" outlineLevel="1" x14ac:dyDescent="0.25">
      <c r="C1698" s="208"/>
      <c r="D1698" s="196">
        <v>42727</v>
      </c>
      <c r="E1698" s="101" t="s">
        <v>10</v>
      </c>
      <c r="F1698" s="216" t="s">
        <v>50</v>
      </c>
      <c r="G1698" s="3" t="s">
        <v>56</v>
      </c>
      <c r="H1698" s="3" t="s">
        <v>56</v>
      </c>
      <c r="M1698" s="151" t="str">
        <f t="shared" si="82"/>
        <v/>
      </c>
      <c r="N1698" s="151" t="str">
        <f t="shared" si="83"/>
        <v>/</v>
      </c>
      <c r="Q1698" s="239" t="str">
        <f t="shared" ca="1" si="81"/>
        <v/>
      </c>
    </row>
    <row r="1699" spans="3:17" ht="15.75" hidden="1" customHeight="1" outlineLevel="1" x14ac:dyDescent="0.25">
      <c r="C1699" s="208"/>
      <c r="D1699" s="196">
        <v>42729</v>
      </c>
      <c r="E1699" s="101" t="s">
        <v>18</v>
      </c>
      <c r="F1699" s="216" t="s">
        <v>49</v>
      </c>
      <c r="G1699" s="3" t="s">
        <v>56</v>
      </c>
      <c r="H1699" s="3" t="s">
        <v>56</v>
      </c>
      <c r="M1699" s="151" t="str">
        <f t="shared" si="82"/>
        <v>/</v>
      </c>
      <c r="N1699" s="151" t="str">
        <f t="shared" si="83"/>
        <v/>
      </c>
      <c r="Q1699" s="239" t="str">
        <f t="shared" ca="1" si="81"/>
        <v/>
      </c>
    </row>
    <row r="1700" spans="3:17" ht="15.75" hidden="1" customHeight="1" outlineLevel="1" x14ac:dyDescent="0.25">
      <c r="C1700" s="208"/>
      <c r="D1700" s="196">
        <v>42731</v>
      </c>
      <c r="E1700" s="101" t="s">
        <v>28</v>
      </c>
      <c r="F1700" s="216" t="s">
        <v>49</v>
      </c>
      <c r="G1700" s="3" t="s">
        <v>56</v>
      </c>
      <c r="H1700" s="3" t="s">
        <v>56</v>
      </c>
      <c r="M1700" s="151" t="str">
        <f t="shared" si="82"/>
        <v>/</v>
      </c>
      <c r="N1700" s="151" t="str">
        <f t="shared" si="83"/>
        <v/>
      </c>
      <c r="Q1700" s="239" t="str">
        <f t="shared" ca="1" si="81"/>
        <v/>
      </c>
    </row>
    <row r="1701" spans="3:17" ht="15.75" hidden="1" customHeight="1" outlineLevel="1" x14ac:dyDescent="0.25">
      <c r="C1701" s="208"/>
      <c r="D1701" s="196">
        <v>42733</v>
      </c>
      <c r="E1701" s="101" t="s">
        <v>645</v>
      </c>
      <c r="F1701" s="216" t="s">
        <v>49</v>
      </c>
      <c r="G1701" s="3" t="s">
        <v>56</v>
      </c>
      <c r="H1701" s="3" t="s">
        <v>56</v>
      </c>
      <c r="M1701" s="151" t="str">
        <f t="shared" si="82"/>
        <v>/</v>
      </c>
      <c r="N1701" s="151" t="str">
        <f t="shared" si="83"/>
        <v/>
      </c>
      <c r="Q1701" s="239" t="str">
        <f t="shared" ca="1" si="81"/>
        <v/>
      </c>
    </row>
    <row r="1702" spans="3:17" ht="15.75" hidden="1" customHeight="1" outlineLevel="1" x14ac:dyDescent="0.25">
      <c r="C1702" s="207"/>
      <c r="D1702" s="196">
        <v>42370</v>
      </c>
      <c r="E1702" s="101" t="s">
        <v>12</v>
      </c>
      <c r="F1702" s="216" t="s">
        <v>49</v>
      </c>
      <c r="G1702" s="3" t="s">
        <v>56</v>
      </c>
      <c r="H1702" s="3" t="s">
        <v>56</v>
      </c>
      <c r="M1702" s="151" t="str">
        <f t="shared" si="82"/>
        <v>/</v>
      </c>
      <c r="N1702" s="151" t="str">
        <f t="shared" si="83"/>
        <v/>
      </c>
      <c r="Q1702" s="239" t="str">
        <f t="shared" ca="1" si="81"/>
        <v/>
      </c>
    </row>
    <row r="1703" spans="3:17" ht="15.75" hidden="1" customHeight="1" outlineLevel="1" x14ac:dyDescent="0.25">
      <c r="C1703" s="207"/>
      <c r="D1703" s="196">
        <v>42372</v>
      </c>
      <c r="E1703" s="101" t="s">
        <v>20</v>
      </c>
      <c r="F1703" s="216" t="s">
        <v>49</v>
      </c>
      <c r="G1703" s="3" t="s">
        <v>56</v>
      </c>
      <c r="H1703" s="3" t="s">
        <v>56</v>
      </c>
      <c r="M1703" s="151" t="str">
        <f t="shared" si="82"/>
        <v>/</v>
      </c>
      <c r="N1703" s="151" t="str">
        <f t="shared" si="83"/>
        <v/>
      </c>
      <c r="Q1703" s="239" t="str">
        <f t="shared" ca="1" si="81"/>
        <v/>
      </c>
    </row>
    <row r="1704" spans="3:17" ht="15.75" hidden="1" customHeight="1" outlineLevel="1" x14ac:dyDescent="0.25">
      <c r="C1704" s="207"/>
      <c r="D1704" s="196">
        <v>42374</v>
      </c>
      <c r="E1704" s="101" t="s">
        <v>24</v>
      </c>
      <c r="F1704" s="216" t="s">
        <v>50</v>
      </c>
      <c r="G1704" s="3" t="s">
        <v>56</v>
      </c>
      <c r="H1704" s="3" t="s">
        <v>56</v>
      </c>
      <c r="M1704" s="151" t="str">
        <f t="shared" si="82"/>
        <v/>
      </c>
      <c r="N1704" s="151" t="str">
        <f t="shared" si="83"/>
        <v>/</v>
      </c>
      <c r="Q1704" s="239" t="str">
        <f t="shared" ca="1" si="81"/>
        <v/>
      </c>
    </row>
    <row r="1705" spans="3:17" ht="15.75" hidden="1" customHeight="1" outlineLevel="1" x14ac:dyDescent="0.25">
      <c r="C1705" s="207"/>
      <c r="D1705" s="196">
        <v>42375</v>
      </c>
      <c r="E1705" s="101" t="s">
        <v>6</v>
      </c>
      <c r="F1705" s="216" t="s">
        <v>49</v>
      </c>
      <c r="G1705" s="3" t="s">
        <v>56</v>
      </c>
      <c r="H1705" s="3" t="s">
        <v>56</v>
      </c>
      <c r="M1705" s="151" t="str">
        <f t="shared" si="82"/>
        <v>/</v>
      </c>
      <c r="N1705" s="151" t="str">
        <f t="shared" si="83"/>
        <v/>
      </c>
      <c r="Q1705" s="239" t="str">
        <f t="shared" ca="1" si="81"/>
        <v/>
      </c>
    </row>
    <row r="1706" spans="3:17" ht="15.75" hidden="1" customHeight="1" outlineLevel="1" x14ac:dyDescent="0.25">
      <c r="C1706" s="207"/>
      <c r="D1706" s="196">
        <v>42377</v>
      </c>
      <c r="E1706" s="101" t="s">
        <v>10</v>
      </c>
      <c r="F1706" s="216" t="s">
        <v>49</v>
      </c>
      <c r="G1706" s="3" t="s">
        <v>56</v>
      </c>
      <c r="H1706" s="3" t="s">
        <v>56</v>
      </c>
      <c r="M1706" s="151" t="str">
        <f t="shared" si="82"/>
        <v>/</v>
      </c>
      <c r="N1706" s="151" t="str">
        <f t="shared" si="83"/>
        <v/>
      </c>
      <c r="Q1706" s="239" t="str">
        <f t="shared" ca="1" si="81"/>
        <v/>
      </c>
    </row>
    <row r="1707" spans="3:17" ht="15.75" hidden="1" customHeight="1" outlineLevel="1" x14ac:dyDescent="0.25">
      <c r="C1707" s="207"/>
      <c r="D1707" s="196">
        <v>42379</v>
      </c>
      <c r="E1707" s="101" t="s">
        <v>24</v>
      </c>
      <c r="F1707" s="216" t="s">
        <v>49</v>
      </c>
      <c r="G1707" s="3" t="s">
        <v>56</v>
      </c>
      <c r="H1707" s="3" t="s">
        <v>56</v>
      </c>
      <c r="M1707" s="151" t="str">
        <f t="shared" si="82"/>
        <v>/</v>
      </c>
      <c r="N1707" s="151" t="str">
        <f t="shared" si="83"/>
        <v/>
      </c>
      <c r="Q1707" s="239" t="str">
        <f t="shared" ref="Q1707:Q1770" ca="1" si="84">IF(D1707=TODAY(),1,"")</f>
        <v/>
      </c>
    </row>
    <row r="1708" spans="3:17" ht="15.75" hidden="1" customHeight="1" outlineLevel="1" x14ac:dyDescent="0.25">
      <c r="C1708" s="207"/>
      <c r="D1708" s="196">
        <v>42381</v>
      </c>
      <c r="E1708" s="101" t="s">
        <v>46</v>
      </c>
      <c r="F1708" s="216" t="s">
        <v>50</v>
      </c>
      <c r="G1708" s="3" t="s">
        <v>56</v>
      </c>
      <c r="H1708" s="3" t="s">
        <v>56</v>
      </c>
      <c r="M1708" s="151" t="str">
        <f t="shared" si="82"/>
        <v/>
      </c>
      <c r="N1708" s="151" t="str">
        <f t="shared" si="83"/>
        <v>/</v>
      </c>
      <c r="Q1708" s="239" t="str">
        <f t="shared" ca="1" si="84"/>
        <v/>
      </c>
    </row>
    <row r="1709" spans="3:17" ht="15.75" hidden="1" customHeight="1" outlineLevel="1" x14ac:dyDescent="0.25">
      <c r="C1709" s="207"/>
      <c r="D1709" s="196">
        <v>42383</v>
      </c>
      <c r="E1709" s="101" t="s">
        <v>18</v>
      </c>
      <c r="F1709" s="216" t="s">
        <v>50</v>
      </c>
      <c r="G1709" s="3" t="s">
        <v>56</v>
      </c>
      <c r="H1709" s="3" t="s">
        <v>56</v>
      </c>
      <c r="M1709" s="151" t="str">
        <f t="shared" si="82"/>
        <v/>
      </c>
      <c r="N1709" s="151" t="str">
        <f t="shared" si="83"/>
        <v>/</v>
      </c>
      <c r="Q1709" s="239" t="str">
        <f t="shared" ca="1" si="84"/>
        <v/>
      </c>
    </row>
    <row r="1710" spans="3:17" ht="15.75" hidden="1" customHeight="1" outlineLevel="1" x14ac:dyDescent="0.25">
      <c r="C1710" s="207"/>
      <c r="D1710" s="196">
        <v>42384</v>
      </c>
      <c r="E1710" s="101" t="s">
        <v>5</v>
      </c>
      <c r="F1710" s="216" t="s">
        <v>49</v>
      </c>
      <c r="G1710" s="3" t="s">
        <v>56</v>
      </c>
      <c r="H1710" s="3" t="s">
        <v>56</v>
      </c>
      <c r="M1710" s="151" t="str">
        <f t="shared" si="82"/>
        <v>/</v>
      </c>
      <c r="N1710" s="151" t="str">
        <f t="shared" si="83"/>
        <v/>
      </c>
      <c r="Q1710" s="239" t="str">
        <f t="shared" ca="1" si="84"/>
        <v/>
      </c>
    </row>
    <row r="1711" spans="3:17" ht="15.75" hidden="1" customHeight="1" outlineLevel="1" x14ac:dyDescent="0.25">
      <c r="C1711" s="207"/>
      <c r="D1711" s="196">
        <v>42386</v>
      </c>
      <c r="E1711" s="101" t="s">
        <v>15</v>
      </c>
      <c r="F1711" s="216" t="s">
        <v>49</v>
      </c>
      <c r="G1711" s="3" t="s">
        <v>56</v>
      </c>
      <c r="H1711" s="3" t="s">
        <v>56</v>
      </c>
      <c r="M1711" s="151" t="str">
        <f t="shared" si="82"/>
        <v>/</v>
      </c>
      <c r="N1711" s="151" t="str">
        <f t="shared" si="83"/>
        <v/>
      </c>
      <c r="Q1711" s="239" t="str">
        <f t="shared" ca="1" si="84"/>
        <v/>
      </c>
    </row>
    <row r="1712" spans="3:17" ht="15.75" hidden="1" customHeight="1" outlineLevel="1" x14ac:dyDescent="0.25">
      <c r="C1712" s="207"/>
      <c r="D1712" s="196">
        <v>42389</v>
      </c>
      <c r="E1712" s="101" t="s">
        <v>7</v>
      </c>
      <c r="F1712" s="216" t="s">
        <v>49</v>
      </c>
      <c r="G1712" s="3" t="s">
        <v>56</v>
      </c>
      <c r="H1712" s="3" t="s">
        <v>56</v>
      </c>
      <c r="M1712" s="151" t="str">
        <f t="shared" si="82"/>
        <v>/</v>
      </c>
      <c r="N1712" s="151" t="str">
        <f t="shared" si="83"/>
        <v/>
      </c>
      <c r="Q1712" s="239" t="str">
        <f t="shared" ca="1" si="84"/>
        <v/>
      </c>
    </row>
    <row r="1713" spans="3:17" ht="15.75" hidden="1" customHeight="1" outlineLevel="1" x14ac:dyDescent="0.25">
      <c r="C1713" s="207"/>
      <c r="D1713" s="196">
        <v>42391</v>
      </c>
      <c r="E1713" s="101" t="s">
        <v>645</v>
      </c>
      <c r="F1713" s="216" t="s">
        <v>50</v>
      </c>
      <c r="G1713" s="3" t="s">
        <v>56</v>
      </c>
      <c r="H1713" s="3" t="s">
        <v>56</v>
      </c>
      <c r="M1713" s="151" t="str">
        <f t="shared" si="82"/>
        <v/>
      </c>
      <c r="N1713" s="151" t="str">
        <f t="shared" si="83"/>
        <v>/</v>
      </c>
      <c r="Q1713" s="239" t="str">
        <f t="shared" ca="1" si="84"/>
        <v/>
      </c>
    </row>
    <row r="1714" spans="3:17" ht="15.75" hidden="1" customHeight="1" outlineLevel="1" x14ac:dyDescent="0.25">
      <c r="C1714" s="207"/>
      <c r="D1714" s="196">
        <v>42394</v>
      </c>
      <c r="E1714" s="101" t="s">
        <v>24</v>
      </c>
      <c r="F1714" s="216" t="s">
        <v>50</v>
      </c>
      <c r="G1714" s="3" t="s">
        <v>56</v>
      </c>
      <c r="H1714" s="3" t="s">
        <v>56</v>
      </c>
      <c r="M1714" s="151" t="str">
        <f t="shared" si="82"/>
        <v/>
      </c>
      <c r="N1714" s="151" t="str">
        <f t="shared" si="83"/>
        <v>/</v>
      </c>
      <c r="Q1714" s="239" t="str">
        <f t="shared" ca="1" si="84"/>
        <v/>
      </c>
    </row>
    <row r="1715" spans="3:17" ht="15.75" hidden="1" customHeight="1" outlineLevel="1" x14ac:dyDescent="0.25">
      <c r="C1715" s="207"/>
      <c r="D1715" s="196">
        <v>42395</v>
      </c>
      <c r="E1715" s="101" t="s">
        <v>28</v>
      </c>
      <c r="F1715" s="216" t="s">
        <v>50</v>
      </c>
      <c r="G1715" s="3" t="s">
        <v>56</v>
      </c>
      <c r="H1715" s="3" t="s">
        <v>56</v>
      </c>
      <c r="M1715" s="151" t="str">
        <f t="shared" si="82"/>
        <v/>
      </c>
      <c r="N1715" s="151" t="str">
        <f t="shared" si="83"/>
        <v>/</v>
      </c>
      <c r="Q1715" s="239" t="str">
        <f t="shared" ca="1" si="84"/>
        <v/>
      </c>
    </row>
    <row r="1716" spans="3:17" ht="15.75" hidden="1" customHeight="1" outlineLevel="1" x14ac:dyDescent="0.25">
      <c r="C1716" s="207"/>
      <c r="D1716" s="196">
        <v>42400</v>
      </c>
      <c r="E1716" s="101" t="s">
        <v>15</v>
      </c>
      <c r="F1716" s="216" t="s">
        <v>49</v>
      </c>
      <c r="G1716" s="3" t="s">
        <v>56</v>
      </c>
      <c r="H1716" s="3" t="s">
        <v>56</v>
      </c>
      <c r="M1716" s="151" t="str">
        <f t="shared" si="82"/>
        <v>/</v>
      </c>
      <c r="N1716" s="151" t="str">
        <f t="shared" si="83"/>
        <v/>
      </c>
      <c r="Q1716" s="239" t="str">
        <f t="shared" ca="1" si="84"/>
        <v/>
      </c>
    </row>
    <row r="1717" spans="3:17" ht="15.75" hidden="1" customHeight="1" outlineLevel="1" x14ac:dyDescent="0.25">
      <c r="C1717" s="208"/>
      <c r="D1717" s="196">
        <v>42402</v>
      </c>
      <c r="E1717" s="101" t="s">
        <v>13</v>
      </c>
      <c r="F1717" s="216" t="s">
        <v>50</v>
      </c>
      <c r="G1717" s="3" t="s">
        <v>56</v>
      </c>
      <c r="H1717" s="3" t="s">
        <v>56</v>
      </c>
      <c r="M1717" s="151" t="str">
        <f t="shared" si="82"/>
        <v/>
      </c>
      <c r="N1717" s="151" t="str">
        <f t="shared" si="83"/>
        <v>/</v>
      </c>
      <c r="Q1717" s="239" t="str">
        <f t="shared" ca="1" si="84"/>
        <v/>
      </c>
    </row>
    <row r="1718" spans="3:17" ht="15.75" hidden="1" customHeight="1" outlineLevel="1" x14ac:dyDescent="0.25">
      <c r="C1718" s="208"/>
      <c r="D1718" s="196">
        <v>42403</v>
      </c>
      <c r="E1718" s="101" t="s">
        <v>1</v>
      </c>
      <c r="F1718" s="216" t="s">
        <v>50</v>
      </c>
      <c r="G1718" s="3" t="s">
        <v>56</v>
      </c>
      <c r="H1718" s="3" t="s">
        <v>56</v>
      </c>
      <c r="M1718" s="151" t="str">
        <f t="shared" si="82"/>
        <v/>
      </c>
      <c r="N1718" s="151" t="str">
        <f t="shared" si="83"/>
        <v>/</v>
      </c>
      <c r="Q1718" s="239" t="str">
        <f t="shared" ca="1" si="84"/>
        <v/>
      </c>
    </row>
    <row r="1719" spans="3:17" ht="15.75" hidden="1" customHeight="1" outlineLevel="1" x14ac:dyDescent="0.25">
      <c r="C1719" s="208"/>
      <c r="D1719" s="196">
        <v>42406</v>
      </c>
      <c r="E1719" s="101" t="s">
        <v>9</v>
      </c>
      <c r="F1719" s="216" t="s">
        <v>50</v>
      </c>
      <c r="G1719" s="3" t="s">
        <v>56</v>
      </c>
      <c r="H1719" s="3" t="s">
        <v>56</v>
      </c>
      <c r="M1719" s="151" t="str">
        <f t="shared" si="82"/>
        <v/>
      </c>
      <c r="N1719" s="151" t="str">
        <f t="shared" si="83"/>
        <v>/</v>
      </c>
      <c r="Q1719" s="239" t="str">
        <f t="shared" ca="1" si="84"/>
        <v/>
      </c>
    </row>
    <row r="1720" spans="3:17" ht="15.75" hidden="1" customHeight="1" outlineLevel="1" x14ac:dyDescent="0.25">
      <c r="C1720" s="208"/>
      <c r="D1720" s="196">
        <v>42408</v>
      </c>
      <c r="E1720" s="101" t="s">
        <v>5</v>
      </c>
      <c r="F1720" s="216" t="s">
        <v>50</v>
      </c>
      <c r="G1720" s="3" t="s">
        <v>56</v>
      </c>
      <c r="H1720" s="3" t="s">
        <v>56</v>
      </c>
      <c r="M1720" s="151" t="str">
        <f t="shared" si="82"/>
        <v/>
      </c>
      <c r="N1720" s="151" t="str">
        <f t="shared" si="83"/>
        <v>/</v>
      </c>
      <c r="Q1720" s="239" t="str">
        <f t="shared" ca="1" si="84"/>
        <v/>
      </c>
    </row>
    <row r="1721" spans="3:17" ht="15.75" hidden="1" customHeight="1" outlineLevel="1" x14ac:dyDescent="0.25">
      <c r="C1721" s="208"/>
      <c r="D1721" s="196">
        <v>42410</v>
      </c>
      <c r="E1721" s="101" t="s">
        <v>8</v>
      </c>
      <c r="F1721" s="216" t="s">
        <v>50</v>
      </c>
      <c r="G1721" s="3" t="s">
        <v>56</v>
      </c>
      <c r="H1721" s="3" t="s">
        <v>56</v>
      </c>
      <c r="M1721" s="151" t="str">
        <f t="shared" si="82"/>
        <v/>
      </c>
      <c r="N1721" s="151" t="str">
        <f t="shared" si="83"/>
        <v>/</v>
      </c>
      <c r="Q1721" s="239" t="str">
        <f t="shared" ca="1" si="84"/>
        <v/>
      </c>
    </row>
    <row r="1722" spans="3:17" ht="15.75" hidden="1" customHeight="1" outlineLevel="1" x14ac:dyDescent="0.25">
      <c r="C1722" s="208"/>
      <c r="D1722" s="196">
        <v>42414</v>
      </c>
      <c r="E1722" s="101" t="s">
        <v>26</v>
      </c>
      <c r="F1722" s="216" t="s">
        <v>49</v>
      </c>
      <c r="G1722" s="3" t="s">
        <v>56</v>
      </c>
      <c r="H1722" s="3" t="s">
        <v>56</v>
      </c>
      <c r="M1722" s="151" t="str">
        <f t="shared" si="82"/>
        <v>/</v>
      </c>
      <c r="N1722" s="151" t="str">
        <f t="shared" si="83"/>
        <v/>
      </c>
      <c r="Q1722" s="239" t="str">
        <f t="shared" ca="1" si="84"/>
        <v/>
      </c>
    </row>
    <row r="1723" spans="3:17" ht="15.75" hidden="1" customHeight="1" outlineLevel="1" x14ac:dyDescent="0.25">
      <c r="C1723" s="208"/>
      <c r="D1723" s="196">
        <v>42415</v>
      </c>
      <c r="E1723" s="101" t="s">
        <v>25</v>
      </c>
      <c r="F1723" s="216" t="s">
        <v>50</v>
      </c>
      <c r="G1723" s="3" t="s">
        <v>56</v>
      </c>
      <c r="H1723" s="3" t="s">
        <v>56</v>
      </c>
      <c r="M1723" s="151" t="str">
        <f t="shared" si="82"/>
        <v/>
      </c>
      <c r="N1723" s="151" t="str">
        <f t="shared" si="83"/>
        <v>/</v>
      </c>
      <c r="Q1723" s="239" t="str">
        <f t="shared" ca="1" si="84"/>
        <v/>
      </c>
    </row>
    <row r="1724" spans="3:17" ht="15.75" hidden="1" customHeight="1" outlineLevel="1" x14ac:dyDescent="0.25">
      <c r="C1724" s="208"/>
      <c r="D1724" s="196">
        <v>42424</v>
      </c>
      <c r="E1724" s="101" t="s">
        <v>23</v>
      </c>
      <c r="F1724" s="216" t="s">
        <v>50</v>
      </c>
      <c r="G1724" s="3" t="s">
        <v>56</v>
      </c>
      <c r="H1724" s="3" t="s">
        <v>56</v>
      </c>
      <c r="M1724" s="151" t="str">
        <f t="shared" si="82"/>
        <v/>
      </c>
      <c r="N1724" s="151" t="str">
        <f t="shared" si="83"/>
        <v>/</v>
      </c>
      <c r="Q1724" s="239" t="str">
        <f t="shared" ca="1" si="84"/>
        <v/>
      </c>
    </row>
    <row r="1725" spans="3:17" ht="15.75" hidden="1" customHeight="1" outlineLevel="1" x14ac:dyDescent="0.25">
      <c r="C1725" s="208"/>
      <c r="D1725" s="196">
        <v>42426</v>
      </c>
      <c r="E1725" s="101" t="s">
        <v>46</v>
      </c>
      <c r="F1725" s="216" t="s">
        <v>49</v>
      </c>
      <c r="G1725" s="3" t="s">
        <v>56</v>
      </c>
      <c r="H1725" s="3" t="s">
        <v>56</v>
      </c>
      <c r="M1725" s="151" t="str">
        <f t="shared" si="82"/>
        <v>/</v>
      </c>
      <c r="N1725" s="151" t="str">
        <f t="shared" si="83"/>
        <v/>
      </c>
      <c r="Q1725" s="239" t="str">
        <f t="shared" ca="1" si="84"/>
        <v/>
      </c>
    </row>
    <row r="1726" spans="3:17" ht="15.75" hidden="1" customHeight="1" outlineLevel="1" x14ac:dyDescent="0.25">
      <c r="C1726" s="208"/>
      <c r="D1726" s="196">
        <v>42428</v>
      </c>
      <c r="E1726" s="101" t="s">
        <v>3</v>
      </c>
      <c r="F1726" s="216" t="s">
        <v>49</v>
      </c>
      <c r="G1726" s="3" t="s">
        <v>56</v>
      </c>
      <c r="H1726" s="3" t="s">
        <v>56</v>
      </c>
      <c r="M1726" s="151" t="str">
        <f t="shared" si="82"/>
        <v>/</v>
      </c>
      <c r="N1726" s="151" t="str">
        <f t="shared" si="83"/>
        <v/>
      </c>
      <c r="Q1726" s="239" t="str">
        <f t="shared" ca="1" si="84"/>
        <v/>
      </c>
    </row>
    <row r="1727" spans="3:17" ht="15.75" hidden="1" customHeight="1" outlineLevel="1" x14ac:dyDescent="0.25">
      <c r="C1727" s="207"/>
      <c r="D1727" s="196">
        <v>42432</v>
      </c>
      <c r="E1727" s="101" t="s">
        <v>1</v>
      </c>
      <c r="F1727" s="216" t="s">
        <v>49</v>
      </c>
      <c r="G1727" s="3" t="s">
        <v>56</v>
      </c>
      <c r="H1727" s="3" t="s">
        <v>56</v>
      </c>
      <c r="M1727" s="151" t="str">
        <f t="shared" si="82"/>
        <v>/</v>
      </c>
      <c r="N1727" s="151" t="str">
        <f t="shared" si="83"/>
        <v/>
      </c>
      <c r="Q1727" s="239" t="str">
        <f t="shared" ca="1" si="84"/>
        <v/>
      </c>
    </row>
    <row r="1728" spans="3:17" ht="15.75" hidden="1" customHeight="1" outlineLevel="1" x14ac:dyDescent="0.25">
      <c r="C1728" s="207"/>
      <c r="D1728" s="196">
        <v>42434</v>
      </c>
      <c r="E1728" s="101" t="s">
        <v>22</v>
      </c>
      <c r="F1728" s="216" t="s">
        <v>49</v>
      </c>
      <c r="G1728" s="3" t="s">
        <v>56</v>
      </c>
      <c r="H1728" s="3" t="s">
        <v>56</v>
      </c>
      <c r="M1728" s="151" t="str">
        <f t="shared" si="82"/>
        <v>/</v>
      </c>
      <c r="N1728" s="151" t="str">
        <f t="shared" si="83"/>
        <v/>
      </c>
      <c r="Q1728" s="239" t="str">
        <f t="shared" ca="1" si="84"/>
        <v/>
      </c>
    </row>
    <row r="1729" spans="3:17" ht="15.75" hidden="1" customHeight="1" outlineLevel="1" x14ac:dyDescent="0.25">
      <c r="C1729" s="207"/>
      <c r="D1729" s="196">
        <v>42436</v>
      </c>
      <c r="E1729" s="101" t="s">
        <v>645</v>
      </c>
      <c r="F1729" s="216" t="s">
        <v>50</v>
      </c>
      <c r="G1729" s="3" t="s">
        <v>56</v>
      </c>
      <c r="H1729" s="3" t="s">
        <v>56</v>
      </c>
      <c r="M1729" s="151" t="str">
        <f t="shared" si="82"/>
        <v/>
      </c>
      <c r="N1729" s="151" t="str">
        <f t="shared" si="83"/>
        <v>/</v>
      </c>
      <c r="Q1729" s="239" t="str">
        <f t="shared" ca="1" si="84"/>
        <v/>
      </c>
    </row>
    <row r="1730" spans="3:17" ht="15.75" hidden="1" customHeight="1" outlineLevel="1" x14ac:dyDescent="0.25">
      <c r="C1730" s="207"/>
      <c r="D1730" s="196">
        <v>42438</v>
      </c>
      <c r="E1730" s="101" t="s">
        <v>25</v>
      </c>
      <c r="F1730" s="216" t="s">
        <v>50</v>
      </c>
      <c r="G1730" s="3" t="s">
        <v>56</v>
      </c>
      <c r="H1730" s="3" t="s">
        <v>56</v>
      </c>
      <c r="M1730" s="151" t="str">
        <f t="shared" si="82"/>
        <v/>
      </c>
      <c r="N1730" s="151" t="str">
        <f t="shared" si="83"/>
        <v>/</v>
      </c>
      <c r="Q1730" s="239" t="str">
        <f t="shared" ca="1" si="84"/>
        <v/>
      </c>
    </row>
    <row r="1731" spans="3:17" ht="15.75" hidden="1" customHeight="1" outlineLevel="1" x14ac:dyDescent="0.25">
      <c r="C1731" s="207"/>
      <c r="D1731" s="196">
        <v>42441</v>
      </c>
      <c r="E1731" s="101" t="s">
        <v>11</v>
      </c>
      <c r="F1731" s="216" t="s">
        <v>49</v>
      </c>
      <c r="G1731" s="3" t="s">
        <v>56</v>
      </c>
      <c r="H1731" s="3" t="s">
        <v>56</v>
      </c>
      <c r="M1731" s="151" t="str">
        <f t="shared" si="82"/>
        <v>/</v>
      </c>
      <c r="N1731" s="151" t="str">
        <f t="shared" si="83"/>
        <v/>
      </c>
      <c r="Q1731" s="239" t="str">
        <f t="shared" ca="1" si="84"/>
        <v/>
      </c>
    </row>
    <row r="1732" spans="3:17" ht="15.75" hidden="1" customHeight="1" outlineLevel="1" x14ac:dyDescent="0.25">
      <c r="C1732" s="207"/>
      <c r="D1732" s="196">
        <v>42442</v>
      </c>
      <c r="E1732" s="101" t="s">
        <v>15</v>
      </c>
      <c r="F1732" s="216" t="s">
        <v>50</v>
      </c>
      <c r="G1732" s="3" t="s">
        <v>56</v>
      </c>
      <c r="H1732" s="3" t="s">
        <v>56</v>
      </c>
      <c r="M1732" s="151" t="str">
        <f t="shared" si="82"/>
        <v/>
      </c>
      <c r="N1732" s="151" t="str">
        <f t="shared" si="83"/>
        <v>/</v>
      </c>
      <c r="Q1732" s="239" t="str">
        <f t="shared" ca="1" si="84"/>
        <v/>
      </c>
    </row>
    <row r="1733" spans="3:17" ht="15.75" hidden="1" customHeight="1" outlineLevel="1" x14ac:dyDescent="0.25">
      <c r="C1733" s="207"/>
      <c r="D1733" s="196">
        <v>42444</v>
      </c>
      <c r="E1733" s="101" t="s">
        <v>17</v>
      </c>
      <c r="F1733" s="216" t="s">
        <v>50</v>
      </c>
      <c r="G1733" s="3" t="s">
        <v>56</v>
      </c>
      <c r="H1733" s="3" t="s">
        <v>56</v>
      </c>
      <c r="M1733" s="151" t="str">
        <f t="shared" si="82"/>
        <v/>
      </c>
      <c r="N1733" s="151" t="str">
        <f t="shared" si="83"/>
        <v>/</v>
      </c>
      <c r="Q1733" s="239" t="str">
        <f t="shared" ca="1" si="84"/>
        <v/>
      </c>
    </row>
    <row r="1734" spans="3:17" ht="15.75" hidden="1" customHeight="1" outlineLevel="1" x14ac:dyDescent="0.25">
      <c r="C1734" s="207"/>
      <c r="D1734" s="196">
        <v>42446</v>
      </c>
      <c r="E1734" s="101" t="s">
        <v>8</v>
      </c>
      <c r="F1734" s="216" t="s">
        <v>49</v>
      </c>
      <c r="G1734" s="3" t="s">
        <v>56</v>
      </c>
      <c r="H1734" s="3" t="s">
        <v>56</v>
      </c>
      <c r="M1734" s="151" t="str">
        <f t="shared" si="82"/>
        <v>/</v>
      </c>
      <c r="N1734" s="151" t="str">
        <f t="shared" si="83"/>
        <v/>
      </c>
      <c r="Q1734" s="239" t="str">
        <f t="shared" ca="1" si="84"/>
        <v/>
      </c>
    </row>
    <row r="1735" spans="3:17" ht="15.75" hidden="1" customHeight="1" outlineLevel="1" x14ac:dyDescent="0.25">
      <c r="C1735" s="207"/>
      <c r="D1735" s="196">
        <v>42448</v>
      </c>
      <c r="E1735" s="101" t="s">
        <v>4</v>
      </c>
      <c r="F1735" s="216" t="s">
        <v>49</v>
      </c>
      <c r="G1735" s="3" t="s">
        <v>56</v>
      </c>
      <c r="H1735" s="3" t="s">
        <v>56</v>
      </c>
      <c r="M1735" s="151" t="str">
        <f t="shared" ref="M1735:M1798" si="85">IF(F1735="D",H1735,"")</f>
        <v>/</v>
      </c>
      <c r="N1735" s="151" t="str">
        <f t="shared" ref="N1735:N1798" si="86">IF(F1735="E",H1735,"")</f>
        <v/>
      </c>
      <c r="Q1735" s="239" t="str">
        <f t="shared" ca="1" si="84"/>
        <v/>
      </c>
    </row>
    <row r="1736" spans="3:17" ht="15.75" hidden="1" customHeight="1" outlineLevel="1" x14ac:dyDescent="0.25">
      <c r="C1736" s="207"/>
      <c r="D1736" s="196">
        <v>42450</v>
      </c>
      <c r="E1736" s="101" t="s">
        <v>18</v>
      </c>
      <c r="F1736" s="216" t="s">
        <v>49</v>
      </c>
      <c r="G1736" s="3" t="s">
        <v>56</v>
      </c>
      <c r="H1736" s="3" t="s">
        <v>56</v>
      </c>
      <c r="M1736" s="151" t="str">
        <f t="shared" si="85"/>
        <v>/</v>
      </c>
      <c r="N1736" s="151" t="str">
        <f t="shared" si="86"/>
        <v/>
      </c>
      <c r="Q1736" s="239" t="str">
        <f t="shared" ca="1" si="84"/>
        <v/>
      </c>
    </row>
    <row r="1737" spans="3:17" ht="15.75" hidden="1" customHeight="1" outlineLevel="1" x14ac:dyDescent="0.25">
      <c r="C1737" s="207"/>
      <c r="D1737" s="196">
        <v>42453</v>
      </c>
      <c r="E1737" s="101" t="s">
        <v>21</v>
      </c>
      <c r="F1737" s="216" t="s">
        <v>49</v>
      </c>
      <c r="G1737" s="3" t="s">
        <v>56</v>
      </c>
      <c r="H1737" s="3" t="s">
        <v>56</v>
      </c>
      <c r="M1737" s="151" t="str">
        <f t="shared" si="85"/>
        <v>/</v>
      </c>
      <c r="N1737" s="151" t="str">
        <f t="shared" si="86"/>
        <v/>
      </c>
      <c r="Q1737" s="239" t="str">
        <f t="shared" ca="1" si="84"/>
        <v/>
      </c>
    </row>
    <row r="1738" spans="3:17" ht="15.75" hidden="1" customHeight="1" outlineLevel="1" x14ac:dyDescent="0.25">
      <c r="C1738" s="207"/>
      <c r="D1738" s="196">
        <v>42455</v>
      </c>
      <c r="E1738" s="101" t="s">
        <v>24</v>
      </c>
      <c r="F1738" s="216" t="s">
        <v>49</v>
      </c>
      <c r="G1738" s="3" t="s">
        <v>56</v>
      </c>
      <c r="H1738" s="3" t="s">
        <v>56</v>
      </c>
      <c r="M1738" s="151" t="str">
        <f t="shared" si="85"/>
        <v>/</v>
      </c>
      <c r="N1738" s="151" t="str">
        <f t="shared" si="86"/>
        <v/>
      </c>
      <c r="Q1738" s="239" t="str">
        <f t="shared" ca="1" si="84"/>
        <v/>
      </c>
    </row>
    <row r="1739" spans="3:17" ht="15.75" hidden="1" customHeight="1" outlineLevel="1" x14ac:dyDescent="0.25">
      <c r="C1739" s="207"/>
      <c r="D1739" s="196">
        <v>42457</v>
      </c>
      <c r="E1739" s="101" t="s">
        <v>13</v>
      </c>
      <c r="F1739" s="216" t="s">
        <v>49</v>
      </c>
      <c r="G1739" s="3" t="s">
        <v>56</v>
      </c>
      <c r="H1739" s="3" t="s">
        <v>56</v>
      </c>
      <c r="M1739" s="151" t="str">
        <f t="shared" si="85"/>
        <v>/</v>
      </c>
      <c r="N1739" s="151" t="str">
        <f t="shared" si="86"/>
        <v/>
      </c>
      <c r="Q1739" s="239" t="str">
        <f t="shared" ca="1" si="84"/>
        <v/>
      </c>
    </row>
    <row r="1740" spans="3:17" ht="15.75" hidden="1" customHeight="1" outlineLevel="1" x14ac:dyDescent="0.25">
      <c r="C1740" s="207"/>
      <c r="D1740" s="196">
        <v>42459</v>
      </c>
      <c r="E1740" s="101" t="s">
        <v>21</v>
      </c>
      <c r="F1740" s="216" t="s">
        <v>50</v>
      </c>
      <c r="G1740" s="3" t="s">
        <v>56</v>
      </c>
      <c r="H1740" s="3" t="s">
        <v>56</v>
      </c>
      <c r="M1740" s="151" t="str">
        <f t="shared" si="85"/>
        <v/>
      </c>
      <c r="N1740" s="151" t="str">
        <f t="shared" si="86"/>
        <v>/</v>
      </c>
      <c r="Q1740" s="239" t="str">
        <f t="shared" ca="1" si="84"/>
        <v/>
      </c>
    </row>
    <row r="1741" spans="3:17" ht="15.75" hidden="1" customHeight="1" outlineLevel="1" x14ac:dyDescent="0.25">
      <c r="C1741" s="208"/>
      <c r="D1741" s="196">
        <v>42461</v>
      </c>
      <c r="E1741" s="101" t="s">
        <v>18</v>
      </c>
      <c r="F1741" s="216" t="s">
        <v>50</v>
      </c>
      <c r="G1741" s="3" t="s">
        <v>56</v>
      </c>
      <c r="H1741" s="3" t="s">
        <v>56</v>
      </c>
      <c r="M1741" s="151" t="str">
        <f t="shared" si="85"/>
        <v/>
      </c>
      <c r="N1741" s="151" t="str">
        <f t="shared" si="86"/>
        <v>/</v>
      </c>
      <c r="Q1741" s="239" t="str">
        <f t="shared" ca="1" si="84"/>
        <v/>
      </c>
    </row>
    <row r="1742" spans="3:17" ht="15.75" hidden="1" customHeight="1" outlineLevel="1" x14ac:dyDescent="0.25">
      <c r="C1742" s="208"/>
      <c r="D1742" s="196">
        <v>42462</v>
      </c>
      <c r="E1742" s="101" t="s">
        <v>20</v>
      </c>
      <c r="F1742" s="216" t="s">
        <v>49</v>
      </c>
      <c r="G1742" s="3" t="s">
        <v>56</v>
      </c>
      <c r="H1742" s="3" t="s">
        <v>56</v>
      </c>
      <c r="M1742" s="151" t="str">
        <f t="shared" si="85"/>
        <v>/</v>
      </c>
      <c r="N1742" s="151" t="str">
        <f t="shared" si="86"/>
        <v/>
      </c>
      <c r="Q1742" s="239" t="str">
        <f t="shared" ca="1" si="84"/>
        <v/>
      </c>
    </row>
    <row r="1743" spans="3:17" ht="15.75" hidden="1" customHeight="1" outlineLevel="1" x14ac:dyDescent="0.25">
      <c r="C1743" s="208"/>
      <c r="D1743" s="196">
        <v>42465</v>
      </c>
      <c r="E1743" s="101" t="s">
        <v>46</v>
      </c>
      <c r="F1743" s="216" t="s">
        <v>50</v>
      </c>
      <c r="G1743" s="3" t="s">
        <v>56</v>
      </c>
      <c r="H1743" s="3" t="s">
        <v>56</v>
      </c>
      <c r="M1743" s="151" t="str">
        <f t="shared" si="85"/>
        <v/>
      </c>
      <c r="N1743" s="151" t="str">
        <f t="shared" si="86"/>
        <v>/</v>
      </c>
      <c r="Q1743" s="239" t="str">
        <f t="shared" ca="1" si="84"/>
        <v/>
      </c>
    </row>
    <row r="1744" spans="3:17" ht="15.75" hidden="1" customHeight="1" outlineLevel="1" x14ac:dyDescent="0.25">
      <c r="C1744" s="208"/>
      <c r="D1744" s="196">
        <v>42467</v>
      </c>
      <c r="E1744" s="101" t="s">
        <v>26</v>
      </c>
      <c r="F1744" s="216" t="s">
        <v>49</v>
      </c>
      <c r="G1744" s="3" t="s">
        <v>56</v>
      </c>
      <c r="H1744" s="3" t="s">
        <v>56</v>
      </c>
      <c r="M1744" s="151" t="str">
        <f t="shared" si="85"/>
        <v>/</v>
      </c>
      <c r="N1744" s="151" t="str">
        <f t="shared" si="86"/>
        <v/>
      </c>
      <c r="Q1744" s="239" t="str">
        <f t="shared" ca="1" si="84"/>
        <v/>
      </c>
    </row>
    <row r="1745" spans="2:17" ht="15.75" hidden="1" customHeight="1" outlineLevel="1" x14ac:dyDescent="0.25">
      <c r="C1745" s="208"/>
      <c r="D1745" s="196">
        <v>42469</v>
      </c>
      <c r="E1745" s="101" t="s">
        <v>21</v>
      </c>
      <c r="F1745" s="216" t="s">
        <v>49</v>
      </c>
      <c r="G1745" s="3" t="s">
        <v>56</v>
      </c>
      <c r="H1745" s="3" t="s">
        <v>56</v>
      </c>
      <c r="M1745" s="151" t="str">
        <f t="shared" si="85"/>
        <v>/</v>
      </c>
      <c r="N1745" s="151" t="str">
        <f t="shared" si="86"/>
        <v/>
      </c>
      <c r="Q1745" s="239" t="str">
        <f t="shared" ca="1" si="84"/>
        <v/>
      </c>
    </row>
    <row r="1746" spans="2:17" ht="15.75" hidden="1" customHeight="1" outlineLevel="1" x14ac:dyDescent="0.25">
      <c r="C1746" s="208"/>
      <c r="D1746" s="196">
        <v>42471</v>
      </c>
      <c r="E1746" s="101" t="s">
        <v>22</v>
      </c>
      <c r="F1746" s="216" t="s">
        <v>49</v>
      </c>
      <c r="G1746" s="3" t="s">
        <v>56</v>
      </c>
      <c r="H1746" s="3" t="s">
        <v>56</v>
      </c>
      <c r="M1746" s="151" t="str">
        <f t="shared" si="85"/>
        <v>/</v>
      </c>
      <c r="N1746" s="151" t="str">
        <f t="shared" si="86"/>
        <v/>
      </c>
      <c r="Q1746" s="239" t="str">
        <f t="shared" ca="1" si="84"/>
        <v/>
      </c>
    </row>
    <row r="1747" spans="2:17" ht="15.75" hidden="1" customHeight="1" outlineLevel="1" x14ac:dyDescent="0.25">
      <c r="C1747" s="208"/>
      <c r="D1747" s="196">
        <v>42472</v>
      </c>
      <c r="E1747" s="102" t="s">
        <v>16</v>
      </c>
      <c r="F1747" s="217" t="s">
        <v>50</v>
      </c>
      <c r="G1747" s="3" t="s">
        <v>56</v>
      </c>
      <c r="H1747" s="3" t="s">
        <v>56</v>
      </c>
      <c r="M1747" s="151" t="str">
        <f t="shared" si="85"/>
        <v/>
      </c>
      <c r="N1747" s="151" t="str">
        <f t="shared" si="86"/>
        <v>/</v>
      </c>
      <c r="Q1747" s="239" t="str">
        <f t="shared" ca="1" si="84"/>
        <v/>
      </c>
    </row>
    <row r="1748" spans="2:17" collapsed="1" x14ac:dyDescent="0.25">
      <c r="B1748" s="404" t="e">
        <f ca="1">"- "&amp;INDEX(E1749:E1830,MATCH(TODAY(),D1749:D1830,0))</f>
        <v>#N/A</v>
      </c>
      <c r="C1748" s="404"/>
      <c r="D1748" s="406" t="s">
        <v>20</v>
      </c>
      <c r="E1748" s="407"/>
      <c r="F1748" s="408"/>
      <c r="H1748" s="3"/>
      <c r="Q1748" s="239" t="str">
        <f t="shared" ca="1" si="84"/>
        <v/>
      </c>
    </row>
    <row r="1749" spans="2:17" ht="16.5" hidden="1" customHeight="1" outlineLevel="1" x14ac:dyDescent="0.25">
      <c r="C1749" s="207"/>
      <c r="D1749" s="196">
        <v>42669</v>
      </c>
      <c r="E1749" s="103" t="s">
        <v>21</v>
      </c>
      <c r="F1749" s="215" t="s">
        <v>49</v>
      </c>
      <c r="G1749" s="3">
        <v>1</v>
      </c>
      <c r="H1749" s="3">
        <v>102</v>
      </c>
      <c r="I1749" s="151">
        <v>48</v>
      </c>
      <c r="J1749" s="151">
        <v>45</v>
      </c>
      <c r="K1749" s="151">
        <v>70</v>
      </c>
      <c r="L1749" s="151">
        <v>46</v>
      </c>
      <c r="M1749" s="151">
        <f t="shared" si="85"/>
        <v>102</v>
      </c>
      <c r="N1749" s="151" t="str">
        <f t="shared" si="86"/>
        <v/>
      </c>
      <c r="O1749" s="151">
        <v>98</v>
      </c>
      <c r="Q1749" s="239" t="str">
        <f t="shared" ca="1" si="84"/>
        <v/>
      </c>
    </row>
    <row r="1750" spans="2:17" ht="15.75" hidden="1" customHeight="1" outlineLevel="1" x14ac:dyDescent="0.25">
      <c r="C1750" s="207"/>
      <c r="D1750" s="196">
        <v>42672</v>
      </c>
      <c r="E1750" s="101" t="s">
        <v>9</v>
      </c>
      <c r="F1750" s="216" t="s">
        <v>50</v>
      </c>
      <c r="G1750" s="3" t="s">
        <v>56</v>
      </c>
      <c r="H1750" s="3" t="s">
        <v>56</v>
      </c>
      <c r="M1750" s="151" t="str">
        <f t="shared" si="85"/>
        <v/>
      </c>
      <c r="N1750" s="151" t="str">
        <f t="shared" si="86"/>
        <v>/</v>
      </c>
      <c r="Q1750" s="239" t="str">
        <f t="shared" ca="1" si="84"/>
        <v/>
      </c>
    </row>
    <row r="1751" spans="2:17" ht="15.75" hidden="1" customHeight="1" outlineLevel="1" x14ac:dyDescent="0.25">
      <c r="C1751" s="207"/>
      <c r="D1751" s="196">
        <v>42673</v>
      </c>
      <c r="E1751" s="101" t="s">
        <v>13</v>
      </c>
      <c r="F1751" s="216" t="s">
        <v>49</v>
      </c>
      <c r="G1751" s="3" t="s">
        <v>56</v>
      </c>
      <c r="H1751" s="3" t="s">
        <v>56</v>
      </c>
      <c r="M1751" s="151" t="str">
        <f t="shared" si="85"/>
        <v>/</v>
      </c>
      <c r="N1751" s="151" t="str">
        <f t="shared" si="86"/>
        <v/>
      </c>
      <c r="Q1751" s="239" t="str">
        <f t="shared" ca="1" si="84"/>
        <v/>
      </c>
    </row>
    <row r="1752" spans="2:17" ht="15.75" hidden="1" customHeight="1" outlineLevel="1" x14ac:dyDescent="0.25">
      <c r="C1752" s="207"/>
      <c r="D1752" s="196">
        <v>42675</v>
      </c>
      <c r="E1752" s="101" t="s">
        <v>21</v>
      </c>
      <c r="F1752" s="216" t="s">
        <v>50</v>
      </c>
      <c r="G1752" s="3" t="s">
        <v>56</v>
      </c>
      <c r="H1752" s="3" t="s">
        <v>56</v>
      </c>
      <c r="M1752" s="151" t="str">
        <f t="shared" si="85"/>
        <v/>
      </c>
      <c r="N1752" s="151" t="str">
        <f t="shared" si="86"/>
        <v>/</v>
      </c>
      <c r="Q1752" s="239" t="str">
        <f t="shared" ca="1" si="84"/>
        <v/>
      </c>
    </row>
    <row r="1753" spans="2:17" ht="15.75" hidden="1" customHeight="1" outlineLevel="1" x14ac:dyDescent="0.25">
      <c r="C1753" s="207"/>
      <c r="D1753" s="196">
        <v>42676</v>
      </c>
      <c r="E1753" s="101" t="s">
        <v>22</v>
      </c>
      <c r="F1753" s="216" t="s">
        <v>49</v>
      </c>
      <c r="G1753" s="3" t="s">
        <v>56</v>
      </c>
      <c r="H1753" s="3" t="s">
        <v>56</v>
      </c>
      <c r="M1753" s="151" t="str">
        <f t="shared" si="85"/>
        <v>/</v>
      </c>
      <c r="N1753" s="151" t="str">
        <f t="shared" si="86"/>
        <v/>
      </c>
      <c r="Q1753" s="239" t="str">
        <f t="shared" ca="1" si="84"/>
        <v/>
      </c>
    </row>
    <row r="1754" spans="2:17" ht="15.75" hidden="1" customHeight="1" outlineLevel="1" x14ac:dyDescent="0.25">
      <c r="C1754" s="207"/>
      <c r="D1754" s="196">
        <v>42678</v>
      </c>
      <c r="E1754" s="101" t="s">
        <v>18</v>
      </c>
      <c r="F1754" s="216" t="s">
        <v>49</v>
      </c>
      <c r="G1754" s="3" t="s">
        <v>56</v>
      </c>
      <c r="H1754" s="3" t="s">
        <v>56</v>
      </c>
      <c r="M1754" s="151" t="str">
        <f t="shared" si="85"/>
        <v>/</v>
      </c>
      <c r="N1754" s="151" t="str">
        <f t="shared" si="86"/>
        <v/>
      </c>
      <c r="Q1754" s="239" t="str">
        <f t="shared" ca="1" si="84"/>
        <v/>
      </c>
    </row>
    <row r="1755" spans="2:17" ht="15.75" hidden="1" customHeight="1" outlineLevel="1" x14ac:dyDescent="0.25">
      <c r="C1755" s="207"/>
      <c r="D1755" s="196">
        <v>42680</v>
      </c>
      <c r="E1755" s="101" t="s">
        <v>24</v>
      </c>
      <c r="F1755" s="216" t="s">
        <v>49</v>
      </c>
      <c r="G1755" s="3" t="s">
        <v>56</v>
      </c>
      <c r="H1755" s="3" t="s">
        <v>56</v>
      </c>
      <c r="M1755" s="151" t="str">
        <f t="shared" si="85"/>
        <v>/</v>
      </c>
      <c r="N1755" s="151" t="str">
        <f t="shared" si="86"/>
        <v/>
      </c>
      <c r="Q1755" s="239" t="str">
        <f t="shared" ca="1" si="84"/>
        <v/>
      </c>
    </row>
    <row r="1756" spans="2:17" ht="15.75" hidden="1" customHeight="1" outlineLevel="1" x14ac:dyDescent="0.25">
      <c r="C1756" s="207"/>
      <c r="D1756" s="196">
        <v>42682</v>
      </c>
      <c r="E1756" s="101" t="s">
        <v>15</v>
      </c>
      <c r="F1756" s="216" t="s">
        <v>49</v>
      </c>
      <c r="G1756" s="3" t="s">
        <v>56</v>
      </c>
      <c r="H1756" s="3" t="s">
        <v>56</v>
      </c>
      <c r="M1756" s="151" t="str">
        <f t="shared" si="85"/>
        <v>/</v>
      </c>
      <c r="N1756" s="151" t="str">
        <f t="shared" si="86"/>
        <v/>
      </c>
      <c r="Q1756" s="239" t="str">
        <f t="shared" ca="1" si="84"/>
        <v/>
      </c>
    </row>
    <row r="1757" spans="2:17" ht="15.75" hidden="1" customHeight="1" outlineLevel="1" x14ac:dyDescent="0.25">
      <c r="C1757" s="207"/>
      <c r="D1757" s="196">
        <v>42686</v>
      </c>
      <c r="E1757" s="101" t="s">
        <v>8</v>
      </c>
      <c r="F1757" s="216" t="s">
        <v>50</v>
      </c>
      <c r="G1757" s="3" t="s">
        <v>56</v>
      </c>
      <c r="H1757" s="3" t="s">
        <v>56</v>
      </c>
      <c r="M1757" s="151" t="str">
        <f t="shared" si="85"/>
        <v/>
      </c>
      <c r="N1757" s="151" t="str">
        <f t="shared" si="86"/>
        <v>/</v>
      </c>
      <c r="Q1757" s="239" t="str">
        <f t="shared" ca="1" si="84"/>
        <v/>
      </c>
    </row>
    <row r="1758" spans="2:17" ht="15.75" hidden="1" customHeight="1" outlineLevel="1" x14ac:dyDescent="0.25">
      <c r="C1758" s="207"/>
      <c r="D1758" s="196">
        <v>42688</v>
      </c>
      <c r="E1758" s="101" t="s">
        <v>28</v>
      </c>
      <c r="F1758" s="216" t="s">
        <v>50</v>
      </c>
      <c r="G1758" s="3" t="s">
        <v>56</v>
      </c>
      <c r="H1758" s="3" t="s">
        <v>56</v>
      </c>
      <c r="M1758" s="151" t="str">
        <f t="shared" si="85"/>
        <v/>
      </c>
      <c r="N1758" s="151" t="str">
        <f t="shared" si="86"/>
        <v>/</v>
      </c>
      <c r="Q1758" s="239" t="str">
        <f t="shared" ca="1" si="84"/>
        <v/>
      </c>
    </row>
    <row r="1759" spans="2:17" ht="15.75" hidden="1" customHeight="1" outlineLevel="1" x14ac:dyDescent="0.25">
      <c r="C1759" s="207"/>
      <c r="D1759" s="196">
        <v>42690</v>
      </c>
      <c r="E1759" s="101" t="s">
        <v>18</v>
      </c>
      <c r="F1759" s="216" t="s">
        <v>50</v>
      </c>
      <c r="G1759" s="3" t="s">
        <v>56</v>
      </c>
      <c r="H1759" s="3" t="s">
        <v>56</v>
      </c>
      <c r="M1759" s="151" t="str">
        <f t="shared" si="85"/>
        <v/>
      </c>
      <c r="N1759" s="151" t="str">
        <f t="shared" si="86"/>
        <v>/</v>
      </c>
      <c r="Q1759" s="239" t="str">
        <f t="shared" ca="1" si="84"/>
        <v/>
      </c>
    </row>
    <row r="1760" spans="2:17" ht="15.75" hidden="1" customHeight="1" outlineLevel="1" x14ac:dyDescent="0.25">
      <c r="C1760" s="207"/>
      <c r="D1760" s="196">
        <v>42692</v>
      </c>
      <c r="E1760" s="101" t="s">
        <v>645</v>
      </c>
      <c r="F1760" s="216" t="s">
        <v>50</v>
      </c>
      <c r="G1760" s="3" t="s">
        <v>56</v>
      </c>
      <c r="H1760" s="3" t="s">
        <v>56</v>
      </c>
      <c r="M1760" s="151" t="str">
        <f t="shared" si="85"/>
        <v/>
      </c>
      <c r="N1760" s="151" t="str">
        <f t="shared" si="86"/>
        <v>/</v>
      </c>
      <c r="Q1760" s="239" t="str">
        <f t="shared" ca="1" si="84"/>
        <v/>
      </c>
    </row>
    <row r="1761" spans="3:17" ht="15.75" hidden="1" customHeight="1" outlineLevel="1" x14ac:dyDescent="0.25">
      <c r="C1761" s="207"/>
      <c r="D1761" s="196">
        <v>42693</v>
      </c>
      <c r="E1761" s="101" t="s">
        <v>21</v>
      </c>
      <c r="F1761" s="216" t="s">
        <v>49</v>
      </c>
      <c r="G1761" s="3" t="s">
        <v>56</v>
      </c>
      <c r="H1761" s="3" t="s">
        <v>56</v>
      </c>
      <c r="M1761" s="151" t="str">
        <f t="shared" si="85"/>
        <v>/</v>
      </c>
      <c r="N1761" s="151" t="str">
        <f t="shared" si="86"/>
        <v/>
      </c>
      <c r="Q1761" s="239" t="str">
        <f t="shared" ca="1" si="84"/>
        <v/>
      </c>
    </row>
    <row r="1762" spans="3:17" ht="15.75" hidden="1" customHeight="1" outlineLevel="1" x14ac:dyDescent="0.25">
      <c r="C1762" s="207"/>
      <c r="D1762" s="196">
        <v>42695</v>
      </c>
      <c r="E1762" s="101" t="s">
        <v>3</v>
      </c>
      <c r="F1762" s="216" t="s">
        <v>50</v>
      </c>
      <c r="G1762" s="3" t="s">
        <v>56</v>
      </c>
      <c r="H1762" s="3" t="s">
        <v>56</v>
      </c>
      <c r="M1762" s="151" t="str">
        <f t="shared" si="85"/>
        <v/>
      </c>
      <c r="N1762" s="151" t="str">
        <f t="shared" si="86"/>
        <v>/</v>
      </c>
      <c r="Q1762" s="239" t="str">
        <f t="shared" ca="1" si="84"/>
        <v/>
      </c>
    </row>
    <row r="1763" spans="3:17" ht="15.75" hidden="1" customHeight="1" outlineLevel="1" x14ac:dyDescent="0.25">
      <c r="C1763" s="207"/>
      <c r="D1763" s="196">
        <v>42697</v>
      </c>
      <c r="E1763" s="101" t="s">
        <v>11</v>
      </c>
      <c r="F1763" s="216" t="s">
        <v>50</v>
      </c>
      <c r="G1763" s="3" t="s">
        <v>56</v>
      </c>
      <c r="H1763" s="3" t="s">
        <v>56</v>
      </c>
      <c r="M1763" s="151" t="str">
        <f t="shared" si="85"/>
        <v/>
      </c>
      <c r="N1763" s="151" t="str">
        <f t="shared" si="86"/>
        <v>/</v>
      </c>
      <c r="Q1763" s="239" t="str">
        <f t="shared" ca="1" si="84"/>
        <v/>
      </c>
    </row>
    <row r="1764" spans="3:17" ht="15.75" hidden="1" customHeight="1" outlineLevel="1" x14ac:dyDescent="0.25">
      <c r="C1764" s="207"/>
      <c r="D1764" s="196">
        <v>42699</v>
      </c>
      <c r="E1764" s="101" t="s">
        <v>6</v>
      </c>
      <c r="F1764" s="216" t="s">
        <v>49</v>
      </c>
      <c r="G1764" s="3" t="s">
        <v>56</v>
      </c>
      <c r="H1764" s="3" t="s">
        <v>56</v>
      </c>
      <c r="M1764" s="151" t="str">
        <f t="shared" si="85"/>
        <v>/</v>
      </c>
      <c r="N1764" s="151" t="str">
        <f t="shared" si="86"/>
        <v/>
      </c>
      <c r="Q1764" s="239" t="str">
        <f t="shared" ca="1" si="84"/>
        <v/>
      </c>
    </row>
    <row r="1765" spans="3:17" ht="15.75" hidden="1" customHeight="1" outlineLevel="1" x14ac:dyDescent="0.25">
      <c r="C1765" s="207"/>
      <c r="D1765" s="196">
        <v>42700</v>
      </c>
      <c r="E1765" s="101" t="s">
        <v>6</v>
      </c>
      <c r="F1765" s="216" t="s">
        <v>50</v>
      </c>
      <c r="G1765" s="3" t="s">
        <v>56</v>
      </c>
      <c r="H1765" s="3" t="s">
        <v>56</v>
      </c>
      <c r="M1765" s="151" t="str">
        <f t="shared" si="85"/>
        <v/>
      </c>
      <c r="N1765" s="151" t="str">
        <f t="shared" si="86"/>
        <v>/</v>
      </c>
      <c r="Q1765" s="239" t="str">
        <f t="shared" ca="1" si="84"/>
        <v/>
      </c>
    </row>
    <row r="1766" spans="3:17" ht="15.75" hidden="1" customHeight="1" outlineLevel="1" x14ac:dyDescent="0.25">
      <c r="C1766" s="207"/>
      <c r="D1766" s="196">
        <v>42702</v>
      </c>
      <c r="E1766" s="101" t="s">
        <v>3</v>
      </c>
      <c r="F1766" s="216" t="s">
        <v>49</v>
      </c>
      <c r="G1766" s="3" t="s">
        <v>56</v>
      </c>
      <c r="H1766" s="3" t="s">
        <v>56</v>
      </c>
      <c r="M1766" s="151" t="str">
        <f t="shared" si="85"/>
        <v>/</v>
      </c>
      <c r="N1766" s="151" t="str">
        <f t="shared" si="86"/>
        <v/>
      </c>
      <c r="Q1766" s="239" t="str">
        <f t="shared" ca="1" si="84"/>
        <v/>
      </c>
    </row>
    <row r="1767" spans="3:17" ht="15.75" hidden="1" customHeight="1" outlineLevel="1" x14ac:dyDescent="0.25">
      <c r="C1767" s="207"/>
      <c r="D1767" s="196">
        <v>42704</v>
      </c>
      <c r="E1767" s="101" t="s">
        <v>12</v>
      </c>
      <c r="F1767" s="216" t="s">
        <v>50</v>
      </c>
      <c r="G1767" s="3" t="s">
        <v>56</v>
      </c>
      <c r="H1767" s="3" t="s">
        <v>56</v>
      </c>
      <c r="M1767" s="151" t="str">
        <f t="shared" si="85"/>
        <v/>
      </c>
      <c r="N1767" s="151" t="str">
        <f t="shared" si="86"/>
        <v>/</v>
      </c>
      <c r="Q1767" s="239" t="str">
        <f t="shared" ca="1" si="84"/>
        <v/>
      </c>
    </row>
    <row r="1768" spans="3:17" ht="15.75" hidden="1" customHeight="1" outlineLevel="1" x14ac:dyDescent="0.25">
      <c r="C1768" s="208"/>
      <c r="D1768" s="196">
        <v>42705</v>
      </c>
      <c r="E1768" s="101" t="s">
        <v>10</v>
      </c>
      <c r="F1768" s="216" t="s">
        <v>49</v>
      </c>
      <c r="G1768" s="3" t="s">
        <v>56</v>
      </c>
      <c r="H1768" s="3" t="s">
        <v>56</v>
      </c>
      <c r="M1768" s="151" t="str">
        <f t="shared" si="85"/>
        <v>/</v>
      </c>
      <c r="N1768" s="151" t="str">
        <f t="shared" si="86"/>
        <v/>
      </c>
      <c r="Q1768" s="239" t="str">
        <f t="shared" ca="1" si="84"/>
        <v/>
      </c>
    </row>
    <row r="1769" spans="3:17" ht="15.75" hidden="1" customHeight="1" outlineLevel="1" x14ac:dyDescent="0.25">
      <c r="C1769" s="208"/>
      <c r="D1769" s="196">
        <v>42707</v>
      </c>
      <c r="E1769" s="101" t="s">
        <v>644</v>
      </c>
      <c r="F1769" s="216" t="s">
        <v>49</v>
      </c>
      <c r="G1769" s="3" t="s">
        <v>56</v>
      </c>
      <c r="H1769" s="3" t="s">
        <v>56</v>
      </c>
      <c r="M1769" s="151" t="str">
        <f t="shared" si="85"/>
        <v>/</v>
      </c>
      <c r="N1769" s="151" t="str">
        <f t="shared" si="86"/>
        <v/>
      </c>
      <c r="Q1769" s="239" t="str">
        <f t="shared" ca="1" si="84"/>
        <v/>
      </c>
    </row>
    <row r="1770" spans="3:17" ht="15.75" hidden="1" customHeight="1" outlineLevel="1" x14ac:dyDescent="0.25">
      <c r="C1770" s="208"/>
      <c r="D1770" s="196">
        <v>42709</v>
      </c>
      <c r="E1770" s="101" t="s">
        <v>22</v>
      </c>
      <c r="F1770" s="216" t="s">
        <v>50</v>
      </c>
      <c r="G1770" s="3" t="s">
        <v>56</v>
      </c>
      <c r="H1770" s="3" t="s">
        <v>56</v>
      </c>
      <c r="M1770" s="151" t="str">
        <f t="shared" si="85"/>
        <v/>
      </c>
      <c r="N1770" s="151" t="str">
        <f t="shared" si="86"/>
        <v>/</v>
      </c>
      <c r="Q1770" s="239" t="str">
        <f t="shared" ca="1" si="84"/>
        <v/>
      </c>
    </row>
    <row r="1771" spans="3:17" ht="15.75" hidden="1" customHeight="1" outlineLevel="1" x14ac:dyDescent="0.25">
      <c r="C1771" s="208"/>
      <c r="D1771" s="196">
        <v>42710</v>
      </c>
      <c r="E1771" s="101" t="s">
        <v>11</v>
      </c>
      <c r="F1771" s="216" t="s">
        <v>49</v>
      </c>
      <c r="G1771" s="3" t="s">
        <v>56</v>
      </c>
      <c r="H1771" s="3" t="s">
        <v>56</v>
      </c>
      <c r="M1771" s="151" t="str">
        <f t="shared" si="85"/>
        <v>/</v>
      </c>
      <c r="N1771" s="151" t="str">
        <f t="shared" si="86"/>
        <v/>
      </c>
      <c r="Q1771" s="239" t="str">
        <f t="shared" ref="Q1771:Q1834" ca="1" si="87">IF(D1771=TODAY(),1,"")</f>
        <v/>
      </c>
    </row>
    <row r="1772" spans="3:17" ht="15.75" hidden="1" customHeight="1" outlineLevel="1" x14ac:dyDescent="0.25">
      <c r="C1772" s="208"/>
      <c r="D1772" s="196">
        <v>42712</v>
      </c>
      <c r="E1772" s="101" t="s">
        <v>24</v>
      </c>
      <c r="F1772" s="216" t="s">
        <v>49</v>
      </c>
      <c r="G1772" s="3" t="s">
        <v>56</v>
      </c>
      <c r="H1772" s="3" t="s">
        <v>56</v>
      </c>
      <c r="M1772" s="151" t="str">
        <f t="shared" si="85"/>
        <v>/</v>
      </c>
      <c r="N1772" s="151" t="str">
        <f t="shared" si="86"/>
        <v/>
      </c>
      <c r="Q1772" s="239" t="str">
        <f t="shared" ca="1" si="87"/>
        <v/>
      </c>
    </row>
    <row r="1773" spans="3:17" ht="15.75" hidden="1" customHeight="1" outlineLevel="1" x14ac:dyDescent="0.25">
      <c r="C1773" s="208"/>
      <c r="D1773" s="196">
        <v>42714</v>
      </c>
      <c r="E1773" s="101" t="s">
        <v>16</v>
      </c>
      <c r="F1773" s="216" t="s">
        <v>49</v>
      </c>
      <c r="G1773" s="3" t="s">
        <v>56</v>
      </c>
      <c r="H1773" s="3" t="s">
        <v>56</v>
      </c>
      <c r="M1773" s="151" t="str">
        <f t="shared" si="85"/>
        <v>/</v>
      </c>
      <c r="N1773" s="151" t="str">
        <f t="shared" si="86"/>
        <v/>
      </c>
      <c r="Q1773" s="239" t="str">
        <f t="shared" ca="1" si="87"/>
        <v/>
      </c>
    </row>
    <row r="1774" spans="3:17" ht="15.75" hidden="1" customHeight="1" outlineLevel="1" x14ac:dyDescent="0.25">
      <c r="C1774" s="208"/>
      <c r="D1774" s="196">
        <v>42717</v>
      </c>
      <c r="E1774" s="101" t="s">
        <v>4</v>
      </c>
      <c r="F1774" s="216" t="s">
        <v>50</v>
      </c>
      <c r="G1774" s="3" t="s">
        <v>56</v>
      </c>
      <c r="H1774" s="3" t="s">
        <v>56</v>
      </c>
      <c r="M1774" s="151" t="str">
        <f t="shared" si="85"/>
        <v/>
      </c>
      <c r="N1774" s="151" t="str">
        <f t="shared" si="86"/>
        <v>/</v>
      </c>
      <c r="Q1774" s="239" t="str">
        <f t="shared" ca="1" si="87"/>
        <v/>
      </c>
    </row>
    <row r="1775" spans="3:17" ht="15.75" hidden="1" customHeight="1" outlineLevel="1" x14ac:dyDescent="0.25">
      <c r="C1775" s="208"/>
      <c r="D1775" s="196">
        <v>42718</v>
      </c>
      <c r="E1775" s="101" t="s">
        <v>4</v>
      </c>
      <c r="F1775" s="216" t="s">
        <v>49</v>
      </c>
      <c r="G1775" s="3" t="s">
        <v>56</v>
      </c>
      <c r="H1775" s="3" t="s">
        <v>56</v>
      </c>
      <c r="M1775" s="151" t="str">
        <f t="shared" si="85"/>
        <v>/</v>
      </c>
      <c r="N1775" s="151" t="str">
        <f t="shared" si="86"/>
        <v/>
      </c>
      <c r="Q1775" s="239" t="str">
        <f t="shared" ca="1" si="87"/>
        <v/>
      </c>
    </row>
    <row r="1776" spans="3:17" ht="15.75" hidden="1" customHeight="1" outlineLevel="1" x14ac:dyDescent="0.25">
      <c r="C1776" s="208"/>
      <c r="D1776" s="196">
        <v>42720</v>
      </c>
      <c r="E1776" s="101" t="s">
        <v>26</v>
      </c>
      <c r="F1776" s="216" t="s">
        <v>49</v>
      </c>
      <c r="G1776" s="3" t="s">
        <v>56</v>
      </c>
      <c r="H1776" s="3" t="s">
        <v>56</v>
      </c>
      <c r="M1776" s="151" t="str">
        <f t="shared" si="85"/>
        <v>/</v>
      </c>
      <c r="N1776" s="151" t="str">
        <f t="shared" si="86"/>
        <v/>
      </c>
      <c r="Q1776" s="239" t="str">
        <f t="shared" ca="1" si="87"/>
        <v/>
      </c>
    </row>
    <row r="1777" spans="3:17" ht="15.75" hidden="1" customHeight="1" outlineLevel="1" x14ac:dyDescent="0.25">
      <c r="C1777" s="208"/>
      <c r="D1777" s="196">
        <v>42722</v>
      </c>
      <c r="E1777" s="101" t="s">
        <v>28</v>
      </c>
      <c r="F1777" s="216" t="s">
        <v>49</v>
      </c>
      <c r="G1777" s="3" t="s">
        <v>56</v>
      </c>
      <c r="H1777" s="3" t="s">
        <v>56</v>
      </c>
      <c r="M1777" s="151" t="str">
        <f t="shared" si="85"/>
        <v>/</v>
      </c>
      <c r="N1777" s="151" t="str">
        <f t="shared" si="86"/>
        <v/>
      </c>
      <c r="Q1777" s="239" t="str">
        <f t="shared" ca="1" si="87"/>
        <v/>
      </c>
    </row>
    <row r="1778" spans="3:17" ht="15.75" hidden="1" customHeight="1" outlineLevel="1" x14ac:dyDescent="0.25">
      <c r="C1778" s="208"/>
      <c r="D1778" s="196">
        <v>42724</v>
      </c>
      <c r="E1778" s="101" t="s">
        <v>1</v>
      </c>
      <c r="F1778" s="216" t="s">
        <v>49</v>
      </c>
      <c r="G1778" s="3" t="s">
        <v>56</v>
      </c>
      <c r="H1778" s="3" t="s">
        <v>56</v>
      </c>
      <c r="M1778" s="151" t="str">
        <f t="shared" si="85"/>
        <v>/</v>
      </c>
      <c r="N1778" s="151" t="str">
        <f t="shared" si="86"/>
        <v/>
      </c>
      <c r="Q1778" s="239" t="str">
        <f t="shared" ca="1" si="87"/>
        <v/>
      </c>
    </row>
    <row r="1779" spans="3:17" ht="15.75" hidden="1" customHeight="1" outlineLevel="1" x14ac:dyDescent="0.25">
      <c r="C1779" s="208"/>
      <c r="D1779" s="196">
        <v>42725</v>
      </c>
      <c r="E1779" s="101" t="s">
        <v>5</v>
      </c>
      <c r="F1779" s="216" t="s">
        <v>50</v>
      </c>
      <c r="G1779" s="3" t="s">
        <v>56</v>
      </c>
      <c r="H1779" s="3" t="s">
        <v>56</v>
      </c>
      <c r="M1779" s="151" t="str">
        <f t="shared" si="85"/>
        <v/>
      </c>
      <c r="N1779" s="151" t="str">
        <f t="shared" si="86"/>
        <v>/</v>
      </c>
      <c r="Q1779" s="239" t="str">
        <f t="shared" ca="1" si="87"/>
        <v/>
      </c>
    </row>
    <row r="1780" spans="3:17" ht="15.75" hidden="1" customHeight="1" outlineLevel="1" x14ac:dyDescent="0.25">
      <c r="C1780" s="208"/>
      <c r="D1780" s="196">
        <v>42727</v>
      </c>
      <c r="E1780" s="101" t="s">
        <v>17</v>
      </c>
      <c r="F1780" s="216" t="s">
        <v>49</v>
      </c>
      <c r="G1780" s="3" t="s">
        <v>56</v>
      </c>
      <c r="H1780" s="3" t="s">
        <v>56</v>
      </c>
      <c r="M1780" s="151" t="str">
        <f t="shared" si="85"/>
        <v>/</v>
      </c>
      <c r="N1780" s="151" t="str">
        <f t="shared" si="86"/>
        <v/>
      </c>
      <c r="Q1780" s="239" t="str">
        <f t="shared" ca="1" si="87"/>
        <v/>
      </c>
    </row>
    <row r="1781" spans="3:17" ht="15.75" hidden="1" customHeight="1" outlineLevel="1" x14ac:dyDescent="0.25">
      <c r="C1781" s="208"/>
      <c r="D1781" s="196">
        <v>42730</v>
      </c>
      <c r="E1781" s="101" t="s">
        <v>10</v>
      </c>
      <c r="F1781" s="216" t="s">
        <v>50</v>
      </c>
      <c r="G1781" s="3" t="s">
        <v>56</v>
      </c>
      <c r="H1781" s="3" t="s">
        <v>56</v>
      </c>
      <c r="M1781" s="151" t="str">
        <f t="shared" si="85"/>
        <v/>
      </c>
      <c r="N1781" s="151" t="str">
        <f t="shared" si="86"/>
        <v>/</v>
      </c>
      <c r="Q1781" s="239" t="str">
        <f t="shared" ca="1" si="87"/>
        <v/>
      </c>
    </row>
    <row r="1782" spans="3:17" ht="15.75" hidden="1" customHeight="1" outlineLevel="1" x14ac:dyDescent="0.25">
      <c r="C1782" s="208"/>
      <c r="D1782" s="196">
        <v>42731</v>
      </c>
      <c r="E1782" s="101" t="s">
        <v>1</v>
      </c>
      <c r="F1782" s="216" t="s">
        <v>50</v>
      </c>
      <c r="G1782" s="3" t="s">
        <v>56</v>
      </c>
      <c r="H1782" s="3" t="s">
        <v>56</v>
      </c>
      <c r="M1782" s="151" t="str">
        <f t="shared" si="85"/>
        <v/>
      </c>
      <c r="N1782" s="151" t="str">
        <f t="shared" si="86"/>
        <v>/</v>
      </c>
      <c r="Q1782" s="239" t="str">
        <f t="shared" ca="1" si="87"/>
        <v/>
      </c>
    </row>
    <row r="1783" spans="3:17" ht="15.75" hidden="1" customHeight="1" outlineLevel="1" x14ac:dyDescent="0.25">
      <c r="C1783" s="208"/>
      <c r="D1783" s="196">
        <v>42733</v>
      </c>
      <c r="E1783" s="101" t="s">
        <v>23</v>
      </c>
      <c r="F1783" s="216" t="s">
        <v>49</v>
      </c>
      <c r="G1783" s="3" t="s">
        <v>56</v>
      </c>
      <c r="H1783" s="3" t="s">
        <v>56</v>
      </c>
      <c r="M1783" s="151" t="str">
        <f t="shared" si="85"/>
        <v>/</v>
      </c>
      <c r="N1783" s="151" t="str">
        <f t="shared" si="86"/>
        <v/>
      </c>
      <c r="Q1783" s="239" t="str">
        <f t="shared" ca="1" si="87"/>
        <v/>
      </c>
    </row>
    <row r="1784" spans="3:17" ht="15.75" hidden="1" customHeight="1" outlineLevel="1" x14ac:dyDescent="0.25">
      <c r="C1784" s="208"/>
      <c r="D1784" s="196">
        <v>42735</v>
      </c>
      <c r="E1784" s="101" t="s">
        <v>26</v>
      </c>
      <c r="F1784" s="216" t="s">
        <v>50</v>
      </c>
      <c r="G1784" s="3" t="s">
        <v>56</v>
      </c>
      <c r="H1784" s="3" t="s">
        <v>56</v>
      </c>
      <c r="M1784" s="151" t="str">
        <f t="shared" si="85"/>
        <v/>
      </c>
      <c r="N1784" s="151" t="str">
        <f t="shared" si="86"/>
        <v>/</v>
      </c>
      <c r="Q1784" s="239" t="str">
        <f t="shared" ca="1" si="87"/>
        <v/>
      </c>
    </row>
    <row r="1785" spans="3:17" ht="15.75" hidden="1" customHeight="1" outlineLevel="1" x14ac:dyDescent="0.25">
      <c r="C1785" s="207"/>
      <c r="D1785" s="196">
        <v>42372</v>
      </c>
      <c r="E1785" s="101" t="s">
        <v>644</v>
      </c>
      <c r="F1785" s="216" t="s">
        <v>50</v>
      </c>
      <c r="G1785" s="3" t="s">
        <v>56</v>
      </c>
      <c r="H1785" s="3" t="s">
        <v>56</v>
      </c>
      <c r="M1785" s="151" t="str">
        <f t="shared" si="85"/>
        <v/>
      </c>
      <c r="N1785" s="151" t="str">
        <f t="shared" si="86"/>
        <v>/</v>
      </c>
      <c r="Q1785" s="239" t="str">
        <f t="shared" ca="1" si="87"/>
        <v/>
      </c>
    </row>
    <row r="1786" spans="3:17" ht="15.75" hidden="1" customHeight="1" outlineLevel="1" x14ac:dyDescent="0.25">
      <c r="C1786" s="207"/>
      <c r="D1786" s="196">
        <v>42373</v>
      </c>
      <c r="E1786" s="101" t="s">
        <v>18</v>
      </c>
      <c r="F1786" s="216" t="s">
        <v>50</v>
      </c>
      <c r="G1786" s="3" t="s">
        <v>56</v>
      </c>
      <c r="H1786" s="3" t="s">
        <v>56</v>
      </c>
      <c r="M1786" s="151" t="str">
        <f t="shared" si="85"/>
        <v/>
      </c>
      <c r="N1786" s="151" t="str">
        <f t="shared" si="86"/>
        <v>/</v>
      </c>
      <c r="Q1786" s="239" t="str">
        <f t="shared" ca="1" si="87"/>
        <v/>
      </c>
    </row>
    <row r="1787" spans="3:17" ht="15.75" hidden="1" customHeight="1" outlineLevel="1" x14ac:dyDescent="0.25">
      <c r="C1787" s="207"/>
      <c r="D1787" s="196">
        <v>42375</v>
      </c>
      <c r="E1787" s="101" t="s">
        <v>16</v>
      </c>
      <c r="F1787" s="216" t="s">
        <v>50</v>
      </c>
      <c r="G1787" s="3" t="s">
        <v>56</v>
      </c>
      <c r="H1787" s="3" t="s">
        <v>56</v>
      </c>
      <c r="M1787" s="151" t="str">
        <f t="shared" si="85"/>
        <v/>
      </c>
      <c r="N1787" s="151" t="str">
        <f t="shared" si="86"/>
        <v>/</v>
      </c>
      <c r="Q1787" s="239" t="str">
        <f t="shared" ca="1" si="87"/>
        <v/>
      </c>
    </row>
    <row r="1788" spans="3:17" ht="15.75" hidden="1" customHeight="1" outlineLevel="1" x14ac:dyDescent="0.25">
      <c r="C1788" s="207"/>
      <c r="D1788" s="196">
        <v>42377</v>
      </c>
      <c r="E1788" s="101" t="s">
        <v>28</v>
      </c>
      <c r="F1788" s="216" t="s">
        <v>49</v>
      </c>
      <c r="G1788" s="3" t="s">
        <v>56</v>
      </c>
      <c r="H1788" s="3" t="s">
        <v>56</v>
      </c>
      <c r="M1788" s="151" t="str">
        <f t="shared" si="85"/>
        <v>/</v>
      </c>
      <c r="N1788" s="151" t="str">
        <f t="shared" si="86"/>
        <v/>
      </c>
      <c r="Q1788" s="239" t="str">
        <f t="shared" ca="1" si="87"/>
        <v/>
      </c>
    </row>
    <row r="1789" spans="3:17" ht="15.75" hidden="1" customHeight="1" outlineLevel="1" x14ac:dyDescent="0.25">
      <c r="C1789" s="207"/>
      <c r="D1789" s="196">
        <v>42380</v>
      </c>
      <c r="E1789" s="101" t="s">
        <v>23</v>
      </c>
      <c r="F1789" s="216" t="s">
        <v>50</v>
      </c>
      <c r="G1789" s="3" t="s">
        <v>56</v>
      </c>
      <c r="H1789" s="3" t="s">
        <v>56</v>
      </c>
      <c r="M1789" s="151" t="str">
        <f t="shared" si="85"/>
        <v/>
      </c>
      <c r="N1789" s="151" t="str">
        <f t="shared" si="86"/>
        <v>/</v>
      </c>
      <c r="Q1789" s="239" t="str">
        <f t="shared" ca="1" si="87"/>
        <v/>
      </c>
    </row>
    <row r="1790" spans="3:17" ht="15.75" hidden="1" customHeight="1" outlineLevel="1" x14ac:dyDescent="0.25">
      <c r="C1790" s="207"/>
      <c r="D1790" s="196">
        <v>42382</v>
      </c>
      <c r="E1790" s="101" t="s">
        <v>17</v>
      </c>
      <c r="F1790" s="216" t="s">
        <v>50</v>
      </c>
      <c r="G1790" s="3" t="s">
        <v>56</v>
      </c>
      <c r="H1790" s="3" t="s">
        <v>56</v>
      </c>
      <c r="M1790" s="151" t="str">
        <f t="shared" si="85"/>
        <v/>
      </c>
      <c r="N1790" s="151" t="str">
        <f t="shared" si="86"/>
        <v>/</v>
      </c>
      <c r="Q1790" s="239" t="str">
        <f t="shared" ca="1" si="87"/>
        <v/>
      </c>
    </row>
    <row r="1791" spans="3:17" ht="15.75" hidden="1" customHeight="1" outlineLevel="1" x14ac:dyDescent="0.25">
      <c r="C1791" s="207"/>
      <c r="D1791" s="196">
        <v>42384</v>
      </c>
      <c r="E1791" s="101" t="s">
        <v>2</v>
      </c>
      <c r="F1791" s="216" t="s">
        <v>49</v>
      </c>
      <c r="G1791" s="3" t="s">
        <v>56</v>
      </c>
      <c r="H1791" s="3" t="s">
        <v>56</v>
      </c>
      <c r="M1791" s="151" t="str">
        <f t="shared" si="85"/>
        <v>/</v>
      </c>
      <c r="N1791" s="151" t="str">
        <f t="shared" si="86"/>
        <v/>
      </c>
      <c r="Q1791" s="239" t="str">
        <f t="shared" ca="1" si="87"/>
        <v/>
      </c>
    </row>
    <row r="1792" spans="3:17" ht="15.75" hidden="1" customHeight="1" outlineLevel="1" x14ac:dyDescent="0.25">
      <c r="C1792" s="207"/>
      <c r="D1792" s="196">
        <v>42387</v>
      </c>
      <c r="E1792" s="101" t="s">
        <v>13</v>
      </c>
      <c r="F1792" s="216" t="s">
        <v>50</v>
      </c>
      <c r="G1792" s="3" t="s">
        <v>56</v>
      </c>
      <c r="H1792" s="3" t="s">
        <v>56</v>
      </c>
      <c r="M1792" s="151" t="str">
        <f t="shared" si="85"/>
        <v/>
      </c>
      <c r="N1792" s="151" t="str">
        <f t="shared" si="86"/>
        <v>/</v>
      </c>
      <c r="Q1792" s="239" t="str">
        <f t="shared" ca="1" si="87"/>
        <v/>
      </c>
    </row>
    <row r="1793" spans="3:17" ht="15.75" hidden="1" customHeight="1" outlineLevel="1" x14ac:dyDescent="0.25">
      <c r="C1793" s="207"/>
      <c r="D1793" s="196">
        <v>42389</v>
      </c>
      <c r="E1793" s="101" t="s">
        <v>26</v>
      </c>
      <c r="F1793" s="216" t="s">
        <v>49</v>
      </c>
      <c r="G1793" s="3" t="s">
        <v>56</v>
      </c>
      <c r="H1793" s="3" t="s">
        <v>56</v>
      </c>
      <c r="M1793" s="151" t="str">
        <f t="shared" si="85"/>
        <v>/</v>
      </c>
      <c r="N1793" s="151" t="str">
        <f t="shared" si="86"/>
        <v/>
      </c>
      <c r="Q1793" s="239" t="str">
        <f t="shared" ca="1" si="87"/>
        <v/>
      </c>
    </row>
    <row r="1794" spans="3:17" ht="15.75" hidden="1" customHeight="1" outlineLevel="1" x14ac:dyDescent="0.25">
      <c r="C1794" s="207"/>
      <c r="D1794" s="196">
        <v>42390</v>
      </c>
      <c r="E1794" s="101" t="s">
        <v>17</v>
      </c>
      <c r="F1794" s="216" t="s">
        <v>49</v>
      </c>
      <c r="G1794" s="3" t="s">
        <v>56</v>
      </c>
      <c r="H1794" s="3" t="s">
        <v>56</v>
      </c>
      <c r="M1794" s="151" t="str">
        <f t="shared" si="85"/>
        <v>/</v>
      </c>
      <c r="N1794" s="151" t="str">
        <f t="shared" si="86"/>
        <v/>
      </c>
      <c r="Q1794" s="239" t="str">
        <f t="shared" ca="1" si="87"/>
        <v/>
      </c>
    </row>
    <row r="1795" spans="3:17" ht="15.75" hidden="1" customHeight="1" outlineLevel="1" x14ac:dyDescent="0.25">
      <c r="C1795" s="207"/>
      <c r="D1795" s="196">
        <v>42394</v>
      </c>
      <c r="E1795" s="101" t="s">
        <v>12</v>
      </c>
      <c r="F1795" s="216" t="s">
        <v>49</v>
      </c>
      <c r="G1795" s="3" t="s">
        <v>56</v>
      </c>
      <c r="H1795" s="3" t="s">
        <v>56</v>
      </c>
      <c r="M1795" s="151" t="str">
        <f t="shared" si="85"/>
        <v>/</v>
      </c>
      <c r="N1795" s="151" t="str">
        <f t="shared" si="86"/>
        <v/>
      </c>
      <c r="Q1795" s="239" t="str">
        <f t="shared" ca="1" si="87"/>
        <v/>
      </c>
    </row>
    <row r="1796" spans="3:17" ht="15.75" hidden="1" customHeight="1" outlineLevel="1" x14ac:dyDescent="0.25">
      <c r="C1796" s="207"/>
      <c r="D1796" s="196">
        <v>42396</v>
      </c>
      <c r="E1796" s="101" t="s">
        <v>24</v>
      </c>
      <c r="F1796" s="216" t="s">
        <v>50</v>
      </c>
      <c r="G1796" s="3" t="s">
        <v>56</v>
      </c>
      <c r="H1796" s="3" t="s">
        <v>56</v>
      </c>
      <c r="M1796" s="151" t="str">
        <f t="shared" si="85"/>
        <v/>
      </c>
      <c r="N1796" s="151" t="str">
        <f t="shared" si="86"/>
        <v>/</v>
      </c>
      <c r="Q1796" s="239" t="str">
        <f t="shared" ca="1" si="87"/>
        <v/>
      </c>
    </row>
    <row r="1797" spans="3:17" ht="15.75" hidden="1" customHeight="1" outlineLevel="1" x14ac:dyDescent="0.25">
      <c r="C1797" s="207"/>
      <c r="D1797" s="196">
        <v>42397</v>
      </c>
      <c r="E1797" s="101" t="s">
        <v>28</v>
      </c>
      <c r="F1797" s="216" t="s">
        <v>50</v>
      </c>
      <c r="G1797" s="3" t="s">
        <v>56</v>
      </c>
      <c r="H1797" s="3" t="s">
        <v>56</v>
      </c>
      <c r="M1797" s="151" t="str">
        <f t="shared" si="85"/>
        <v/>
      </c>
      <c r="N1797" s="151" t="str">
        <f t="shared" si="86"/>
        <v>/</v>
      </c>
      <c r="Q1797" s="239" t="str">
        <f t="shared" ca="1" si="87"/>
        <v/>
      </c>
    </row>
    <row r="1798" spans="3:17" ht="15.75" hidden="1" customHeight="1" outlineLevel="1" x14ac:dyDescent="0.25">
      <c r="C1798" s="207"/>
      <c r="D1798" s="196">
        <v>42399</v>
      </c>
      <c r="E1798" s="101" t="s">
        <v>25</v>
      </c>
      <c r="F1798" s="216" t="s">
        <v>50</v>
      </c>
      <c r="G1798" s="3" t="s">
        <v>56</v>
      </c>
      <c r="H1798" s="3" t="s">
        <v>56</v>
      </c>
      <c r="M1798" s="151" t="str">
        <f t="shared" si="85"/>
        <v/>
      </c>
      <c r="N1798" s="151" t="str">
        <f t="shared" si="86"/>
        <v>/</v>
      </c>
      <c r="Q1798" s="239" t="str">
        <f t="shared" ca="1" si="87"/>
        <v/>
      </c>
    </row>
    <row r="1799" spans="3:17" ht="15.75" hidden="1" customHeight="1" outlineLevel="1" x14ac:dyDescent="0.25">
      <c r="C1799" s="208"/>
      <c r="D1799" s="196">
        <v>42401</v>
      </c>
      <c r="E1799" s="101" t="s">
        <v>15</v>
      </c>
      <c r="F1799" s="216" t="s">
        <v>50</v>
      </c>
      <c r="G1799" s="3" t="s">
        <v>56</v>
      </c>
      <c r="H1799" s="3" t="s">
        <v>56</v>
      </c>
      <c r="M1799" s="151" t="str">
        <f t="shared" ref="M1799:M1862" si="88">IF(F1799="D",H1799,"")</f>
        <v/>
      </c>
      <c r="N1799" s="151" t="str">
        <f t="shared" ref="N1799:N1862" si="89">IF(F1799="E",H1799,"")</f>
        <v>/</v>
      </c>
      <c r="Q1799" s="239" t="str">
        <f t="shared" ca="1" si="87"/>
        <v/>
      </c>
    </row>
    <row r="1800" spans="3:17" ht="15.75" hidden="1" customHeight="1" outlineLevel="1" x14ac:dyDescent="0.25">
      <c r="C1800" s="208"/>
      <c r="D1800" s="196">
        <v>42403</v>
      </c>
      <c r="E1800" s="101" t="s">
        <v>23</v>
      </c>
      <c r="F1800" s="216" t="s">
        <v>50</v>
      </c>
      <c r="G1800" s="3" t="s">
        <v>56</v>
      </c>
      <c r="H1800" s="3" t="s">
        <v>56</v>
      </c>
      <c r="M1800" s="151" t="str">
        <f t="shared" si="88"/>
        <v/>
      </c>
      <c r="N1800" s="151" t="str">
        <f t="shared" si="89"/>
        <v>/</v>
      </c>
      <c r="Q1800" s="239" t="str">
        <f t="shared" ca="1" si="87"/>
        <v/>
      </c>
    </row>
    <row r="1801" spans="3:17" ht="15.75" hidden="1" customHeight="1" outlineLevel="1" x14ac:dyDescent="0.25">
      <c r="C1801" s="208"/>
      <c r="D1801" s="196">
        <v>42404</v>
      </c>
      <c r="E1801" s="101" t="s">
        <v>21</v>
      </c>
      <c r="F1801" s="216" t="s">
        <v>50</v>
      </c>
      <c r="G1801" s="3" t="s">
        <v>56</v>
      </c>
      <c r="H1801" s="3" t="s">
        <v>56</v>
      </c>
      <c r="M1801" s="151" t="str">
        <f t="shared" si="88"/>
        <v/>
      </c>
      <c r="N1801" s="151" t="str">
        <f t="shared" si="89"/>
        <v>/</v>
      </c>
      <c r="Q1801" s="239" t="str">
        <f t="shared" ca="1" si="87"/>
        <v/>
      </c>
    </row>
    <row r="1802" spans="3:17" ht="15.75" hidden="1" customHeight="1" outlineLevel="1" x14ac:dyDescent="0.25">
      <c r="C1802" s="208"/>
      <c r="D1802" s="196">
        <v>42406</v>
      </c>
      <c r="E1802" s="101" t="s">
        <v>46</v>
      </c>
      <c r="F1802" s="216" t="s">
        <v>49</v>
      </c>
      <c r="G1802" s="3" t="s">
        <v>56</v>
      </c>
      <c r="H1802" s="3" t="s">
        <v>56</v>
      </c>
      <c r="M1802" s="151" t="str">
        <f t="shared" si="88"/>
        <v>/</v>
      </c>
      <c r="N1802" s="151" t="str">
        <f t="shared" si="89"/>
        <v/>
      </c>
      <c r="Q1802" s="239" t="str">
        <f t="shared" ca="1" si="87"/>
        <v/>
      </c>
    </row>
    <row r="1803" spans="3:17" ht="15.75" hidden="1" customHeight="1" outlineLevel="1" x14ac:dyDescent="0.25">
      <c r="C1803" s="208"/>
      <c r="D1803" s="196">
        <v>42408</v>
      </c>
      <c r="E1803" s="101" t="s">
        <v>25</v>
      </c>
      <c r="F1803" s="216" t="s">
        <v>49</v>
      </c>
      <c r="G1803" s="3" t="s">
        <v>56</v>
      </c>
      <c r="H1803" s="3" t="s">
        <v>56</v>
      </c>
      <c r="M1803" s="151" t="str">
        <f t="shared" si="88"/>
        <v>/</v>
      </c>
      <c r="N1803" s="151" t="str">
        <f t="shared" si="89"/>
        <v/>
      </c>
      <c r="Q1803" s="239" t="str">
        <f t="shared" ca="1" si="87"/>
        <v/>
      </c>
    </row>
    <row r="1804" spans="3:17" ht="15.75" hidden="1" customHeight="1" outlineLevel="1" x14ac:dyDescent="0.25">
      <c r="C1804" s="208"/>
      <c r="D1804" s="196">
        <v>42410</v>
      </c>
      <c r="E1804" s="101" t="s">
        <v>16</v>
      </c>
      <c r="F1804" s="216" t="s">
        <v>49</v>
      </c>
      <c r="G1804" s="3" t="s">
        <v>56</v>
      </c>
      <c r="H1804" s="3" t="s">
        <v>56</v>
      </c>
      <c r="M1804" s="151" t="str">
        <f t="shared" si="88"/>
        <v>/</v>
      </c>
      <c r="N1804" s="151" t="str">
        <f t="shared" si="89"/>
        <v/>
      </c>
      <c r="Q1804" s="239" t="str">
        <f t="shared" ca="1" si="87"/>
        <v/>
      </c>
    </row>
    <row r="1805" spans="3:17" ht="15.75" hidden="1" customHeight="1" outlineLevel="1" x14ac:dyDescent="0.25">
      <c r="C1805" s="208"/>
      <c r="D1805" s="196">
        <v>42413</v>
      </c>
      <c r="E1805" s="101" t="s">
        <v>45</v>
      </c>
      <c r="F1805" s="216" t="s">
        <v>50</v>
      </c>
      <c r="G1805" s="3" t="s">
        <v>56</v>
      </c>
      <c r="H1805" s="3" t="s">
        <v>56</v>
      </c>
      <c r="M1805" s="151" t="str">
        <f t="shared" si="88"/>
        <v/>
      </c>
      <c r="N1805" s="151" t="str">
        <f t="shared" si="89"/>
        <v>/</v>
      </c>
      <c r="Q1805" s="239" t="str">
        <f t="shared" ca="1" si="87"/>
        <v/>
      </c>
    </row>
    <row r="1806" spans="3:17" ht="15.75" hidden="1" customHeight="1" outlineLevel="1" x14ac:dyDescent="0.25">
      <c r="C1806" s="208"/>
      <c r="D1806" s="196">
        <v>42415</v>
      </c>
      <c r="E1806" s="101" t="s">
        <v>22</v>
      </c>
      <c r="F1806" s="216" t="s">
        <v>49</v>
      </c>
      <c r="G1806" s="3" t="s">
        <v>56</v>
      </c>
      <c r="H1806" s="3" t="s">
        <v>56</v>
      </c>
      <c r="M1806" s="151" t="str">
        <f t="shared" si="88"/>
        <v>/</v>
      </c>
      <c r="N1806" s="151" t="str">
        <f t="shared" si="89"/>
        <v/>
      </c>
      <c r="Q1806" s="239" t="str">
        <f t="shared" ca="1" si="87"/>
        <v/>
      </c>
    </row>
    <row r="1807" spans="3:17" ht="15.75" hidden="1" customHeight="1" outlineLevel="1" x14ac:dyDescent="0.25">
      <c r="C1807" s="208"/>
      <c r="D1807" s="196">
        <v>42424</v>
      </c>
      <c r="E1807" s="101" t="s">
        <v>7</v>
      </c>
      <c r="F1807" s="216" t="s">
        <v>50</v>
      </c>
      <c r="G1807" s="3" t="s">
        <v>56</v>
      </c>
      <c r="H1807" s="3" t="s">
        <v>56</v>
      </c>
      <c r="M1807" s="151" t="str">
        <f t="shared" si="88"/>
        <v/>
      </c>
      <c r="N1807" s="151" t="str">
        <f t="shared" si="89"/>
        <v>/</v>
      </c>
      <c r="Q1807" s="239" t="str">
        <f t="shared" ca="1" si="87"/>
        <v/>
      </c>
    </row>
    <row r="1808" spans="3:17" ht="15.75" hidden="1" customHeight="1" outlineLevel="1" x14ac:dyDescent="0.25">
      <c r="C1808" s="208"/>
      <c r="D1808" s="196">
        <v>42426</v>
      </c>
      <c r="E1808" s="101" t="s">
        <v>15</v>
      </c>
      <c r="F1808" s="216" t="s">
        <v>50</v>
      </c>
      <c r="G1808" s="3" t="s">
        <v>56</v>
      </c>
      <c r="H1808" s="3" t="s">
        <v>56</v>
      </c>
      <c r="M1808" s="151" t="str">
        <f t="shared" si="88"/>
        <v/>
      </c>
      <c r="N1808" s="151" t="str">
        <f t="shared" si="89"/>
        <v>/</v>
      </c>
      <c r="Q1808" s="239" t="str">
        <f t="shared" ca="1" si="87"/>
        <v/>
      </c>
    </row>
    <row r="1809" spans="3:17" ht="15.75" hidden="1" customHeight="1" outlineLevel="1" x14ac:dyDescent="0.25">
      <c r="C1809" s="208"/>
      <c r="D1809" s="196">
        <v>42428</v>
      </c>
      <c r="E1809" s="101" t="s">
        <v>25</v>
      </c>
      <c r="F1809" s="216" t="s">
        <v>49</v>
      </c>
      <c r="G1809" s="3" t="s">
        <v>56</v>
      </c>
      <c r="H1809" s="3" t="s">
        <v>56</v>
      </c>
      <c r="M1809" s="151" t="str">
        <f t="shared" si="88"/>
        <v>/</v>
      </c>
      <c r="N1809" s="151" t="str">
        <f t="shared" si="89"/>
        <v/>
      </c>
      <c r="Q1809" s="239" t="str">
        <f t="shared" ca="1" si="87"/>
        <v/>
      </c>
    </row>
    <row r="1810" spans="3:17" ht="15.75" hidden="1" customHeight="1" outlineLevel="1" x14ac:dyDescent="0.25">
      <c r="C1810" s="207"/>
      <c r="D1810" s="196">
        <v>42432</v>
      </c>
      <c r="E1810" s="101" t="s">
        <v>645</v>
      </c>
      <c r="F1810" s="216" t="s">
        <v>50</v>
      </c>
      <c r="G1810" s="3" t="s">
        <v>56</v>
      </c>
      <c r="H1810" s="3" t="s">
        <v>56</v>
      </c>
      <c r="M1810" s="151" t="str">
        <f t="shared" si="88"/>
        <v/>
      </c>
      <c r="N1810" s="151" t="str">
        <f t="shared" si="89"/>
        <v>/</v>
      </c>
      <c r="Q1810" s="239" t="str">
        <f t="shared" ca="1" si="87"/>
        <v/>
      </c>
    </row>
    <row r="1811" spans="3:17" ht="15.75" hidden="1" customHeight="1" outlineLevel="1" x14ac:dyDescent="0.25">
      <c r="C1811" s="207"/>
      <c r="D1811" s="196">
        <v>42433</v>
      </c>
      <c r="E1811" s="101" t="s">
        <v>17</v>
      </c>
      <c r="F1811" s="216" t="s">
        <v>50</v>
      </c>
      <c r="G1811" s="3" t="s">
        <v>56</v>
      </c>
      <c r="H1811" s="3" t="s">
        <v>56</v>
      </c>
      <c r="M1811" s="151" t="str">
        <f t="shared" si="88"/>
        <v/>
      </c>
      <c r="N1811" s="151" t="str">
        <f t="shared" si="89"/>
        <v>/</v>
      </c>
      <c r="Q1811" s="239" t="str">
        <f t="shared" ca="1" si="87"/>
        <v/>
      </c>
    </row>
    <row r="1812" spans="3:17" ht="15.75" hidden="1" customHeight="1" outlineLevel="1" x14ac:dyDescent="0.25">
      <c r="C1812" s="207"/>
      <c r="D1812" s="196">
        <v>42435</v>
      </c>
      <c r="E1812" s="101" t="s">
        <v>45</v>
      </c>
      <c r="F1812" s="216" t="s">
        <v>49</v>
      </c>
      <c r="G1812" s="3" t="s">
        <v>56</v>
      </c>
      <c r="H1812" s="3" t="s">
        <v>56</v>
      </c>
      <c r="M1812" s="151" t="str">
        <f t="shared" si="88"/>
        <v>/</v>
      </c>
      <c r="N1812" s="151" t="str">
        <f t="shared" si="89"/>
        <v/>
      </c>
      <c r="Q1812" s="239" t="str">
        <f t="shared" ca="1" si="87"/>
        <v/>
      </c>
    </row>
    <row r="1813" spans="3:17" ht="15.75" hidden="1" customHeight="1" outlineLevel="1" x14ac:dyDescent="0.25">
      <c r="C1813" s="207"/>
      <c r="D1813" s="196">
        <v>42438</v>
      </c>
      <c r="E1813" s="101" t="s">
        <v>18</v>
      </c>
      <c r="F1813" s="216" t="s">
        <v>49</v>
      </c>
      <c r="G1813" s="3" t="s">
        <v>56</v>
      </c>
      <c r="H1813" s="3" t="s">
        <v>56</v>
      </c>
      <c r="M1813" s="151" t="str">
        <f t="shared" si="88"/>
        <v>/</v>
      </c>
      <c r="N1813" s="151" t="str">
        <f t="shared" si="89"/>
        <v/>
      </c>
      <c r="Q1813" s="239" t="str">
        <f t="shared" ca="1" si="87"/>
        <v/>
      </c>
    </row>
    <row r="1814" spans="3:17" ht="15.75" hidden="1" customHeight="1" outlineLevel="1" x14ac:dyDescent="0.25">
      <c r="C1814" s="207"/>
      <c r="D1814" s="196">
        <v>42440</v>
      </c>
      <c r="E1814" s="101" t="s">
        <v>0</v>
      </c>
      <c r="F1814" s="216" t="s">
        <v>49</v>
      </c>
      <c r="G1814" s="3" t="s">
        <v>56</v>
      </c>
      <c r="H1814" s="3" t="s">
        <v>56</v>
      </c>
      <c r="M1814" s="151" t="str">
        <f t="shared" si="88"/>
        <v>/</v>
      </c>
      <c r="N1814" s="151" t="str">
        <f t="shared" si="89"/>
        <v/>
      </c>
      <c r="Q1814" s="239" t="str">
        <f t="shared" ca="1" si="87"/>
        <v/>
      </c>
    </row>
    <row r="1815" spans="3:17" ht="15.75" hidden="1" customHeight="1" outlineLevel="1" x14ac:dyDescent="0.25">
      <c r="C1815" s="207"/>
      <c r="D1815" s="196">
        <v>42442</v>
      </c>
      <c r="E1815" s="101" t="s">
        <v>8</v>
      </c>
      <c r="F1815" s="216" t="s">
        <v>49</v>
      </c>
      <c r="G1815" s="3" t="s">
        <v>56</v>
      </c>
      <c r="H1815" s="3" t="s">
        <v>56</v>
      </c>
      <c r="M1815" s="151" t="str">
        <f t="shared" si="88"/>
        <v>/</v>
      </c>
      <c r="N1815" s="151" t="str">
        <f t="shared" si="89"/>
        <v/>
      </c>
      <c r="Q1815" s="239" t="str">
        <f t="shared" ca="1" si="87"/>
        <v/>
      </c>
    </row>
    <row r="1816" spans="3:17" ht="15.75" hidden="1" customHeight="1" outlineLevel="1" x14ac:dyDescent="0.25">
      <c r="C1816" s="207"/>
      <c r="D1816" s="196">
        <v>42444</v>
      </c>
      <c r="E1816" s="101" t="s">
        <v>2</v>
      </c>
      <c r="F1816" s="216" t="s">
        <v>50</v>
      </c>
      <c r="G1816" s="3" t="s">
        <v>56</v>
      </c>
      <c r="H1816" s="3" t="s">
        <v>56</v>
      </c>
      <c r="M1816" s="151" t="str">
        <f t="shared" si="88"/>
        <v/>
      </c>
      <c r="N1816" s="151" t="str">
        <f t="shared" si="89"/>
        <v>/</v>
      </c>
      <c r="Q1816" s="239" t="str">
        <f t="shared" ca="1" si="87"/>
        <v/>
      </c>
    </row>
    <row r="1817" spans="3:17" ht="15.75" hidden="1" customHeight="1" outlineLevel="1" x14ac:dyDescent="0.25">
      <c r="C1817" s="207"/>
      <c r="D1817" s="196">
        <v>42445</v>
      </c>
      <c r="E1817" s="101" t="s">
        <v>0</v>
      </c>
      <c r="F1817" s="216" t="s">
        <v>50</v>
      </c>
      <c r="G1817" s="3" t="s">
        <v>56</v>
      </c>
      <c r="H1817" s="3" t="s">
        <v>56</v>
      </c>
      <c r="M1817" s="151" t="str">
        <f t="shared" si="88"/>
        <v/>
      </c>
      <c r="N1817" s="151" t="str">
        <f t="shared" si="89"/>
        <v>/</v>
      </c>
      <c r="Q1817" s="239" t="str">
        <f t="shared" ca="1" si="87"/>
        <v/>
      </c>
    </row>
    <row r="1818" spans="3:17" ht="15.75" hidden="1" customHeight="1" outlineLevel="1" x14ac:dyDescent="0.25">
      <c r="C1818" s="207"/>
      <c r="D1818" s="196">
        <v>42447</v>
      </c>
      <c r="E1818" s="101" t="s">
        <v>46</v>
      </c>
      <c r="F1818" s="216" t="s">
        <v>49</v>
      </c>
      <c r="G1818" s="3" t="s">
        <v>56</v>
      </c>
      <c r="H1818" s="3" t="s">
        <v>56</v>
      </c>
      <c r="M1818" s="151" t="str">
        <f t="shared" si="88"/>
        <v>/</v>
      </c>
      <c r="N1818" s="151" t="str">
        <f t="shared" si="89"/>
        <v/>
      </c>
      <c r="Q1818" s="239" t="str">
        <f t="shared" ca="1" si="87"/>
        <v/>
      </c>
    </row>
    <row r="1819" spans="3:17" ht="15.75" hidden="1" customHeight="1" outlineLevel="1" x14ac:dyDescent="0.25">
      <c r="C1819" s="207"/>
      <c r="D1819" s="196">
        <v>42450</v>
      </c>
      <c r="E1819" s="101" t="s">
        <v>22</v>
      </c>
      <c r="F1819" s="216" t="s">
        <v>50</v>
      </c>
      <c r="G1819" s="3" t="s">
        <v>56</v>
      </c>
      <c r="H1819" s="3" t="s">
        <v>56</v>
      </c>
      <c r="M1819" s="151" t="str">
        <f t="shared" si="88"/>
        <v/>
      </c>
      <c r="N1819" s="151" t="str">
        <f t="shared" si="89"/>
        <v>/</v>
      </c>
      <c r="Q1819" s="239" t="str">
        <f t="shared" ca="1" si="87"/>
        <v/>
      </c>
    </row>
    <row r="1820" spans="3:17" ht="15.75" hidden="1" customHeight="1" outlineLevel="1" x14ac:dyDescent="0.25">
      <c r="C1820" s="207"/>
      <c r="D1820" s="196">
        <v>42452</v>
      </c>
      <c r="E1820" s="101" t="s">
        <v>46</v>
      </c>
      <c r="F1820" s="216" t="s">
        <v>50</v>
      </c>
      <c r="G1820" s="3" t="s">
        <v>56</v>
      </c>
      <c r="H1820" s="3" t="s">
        <v>56</v>
      </c>
      <c r="M1820" s="151" t="str">
        <f t="shared" si="88"/>
        <v/>
      </c>
      <c r="N1820" s="151" t="str">
        <f t="shared" si="89"/>
        <v>/</v>
      </c>
      <c r="Q1820" s="239" t="str">
        <f t="shared" ca="1" si="87"/>
        <v/>
      </c>
    </row>
    <row r="1821" spans="3:17" ht="15.75" hidden="1" customHeight="1" outlineLevel="1" x14ac:dyDescent="0.25">
      <c r="C1821" s="207"/>
      <c r="D1821" s="196">
        <v>42455</v>
      </c>
      <c r="E1821" s="101" t="s">
        <v>16</v>
      </c>
      <c r="F1821" s="216" t="s">
        <v>50</v>
      </c>
      <c r="G1821" s="3" t="s">
        <v>56</v>
      </c>
      <c r="H1821" s="3" t="s">
        <v>56</v>
      </c>
      <c r="M1821" s="151" t="str">
        <f t="shared" si="88"/>
        <v/>
      </c>
      <c r="N1821" s="151" t="str">
        <f t="shared" si="89"/>
        <v>/</v>
      </c>
      <c r="Q1821" s="239" t="str">
        <f t="shared" ca="1" si="87"/>
        <v/>
      </c>
    </row>
    <row r="1822" spans="3:17" ht="15.75" hidden="1" customHeight="1" outlineLevel="1" x14ac:dyDescent="0.25">
      <c r="C1822" s="207"/>
      <c r="D1822" s="196">
        <v>42456</v>
      </c>
      <c r="E1822" s="101" t="s">
        <v>26</v>
      </c>
      <c r="F1822" s="216" t="s">
        <v>50</v>
      </c>
      <c r="G1822" s="3" t="s">
        <v>56</v>
      </c>
      <c r="H1822" s="3" t="s">
        <v>56</v>
      </c>
      <c r="M1822" s="151" t="str">
        <f t="shared" si="88"/>
        <v/>
      </c>
      <c r="N1822" s="151" t="str">
        <f t="shared" si="89"/>
        <v>/</v>
      </c>
      <c r="Q1822" s="239" t="str">
        <f t="shared" ca="1" si="87"/>
        <v/>
      </c>
    </row>
    <row r="1823" spans="3:17" ht="15.75" hidden="1" customHeight="1" outlineLevel="1" x14ac:dyDescent="0.25">
      <c r="C1823" s="207"/>
      <c r="D1823" s="196">
        <v>42458</v>
      </c>
      <c r="E1823" s="101" t="s">
        <v>7</v>
      </c>
      <c r="F1823" s="216" t="s">
        <v>49</v>
      </c>
      <c r="G1823" s="3" t="s">
        <v>56</v>
      </c>
      <c r="H1823" s="3" t="s">
        <v>56</v>
      </c>
      <c r="M1823" s="151" t="str">
        <f t="shared" si="88"/>
        <v>/</v>
      </c>
      <c r="N1823" s="151" t="str">
        <f t="shared" si="89"/>
        <v/>
      </c>
      <c r="Q1823" s="239" t="str">
        <f t="shared" ca="1" si="87"/>
        <v/>
      </c>
    </row>
    <row r="1824" spans="3:17" ht="15.75" hidden="1" customHeight="1" outlineLevel="1" x14ac:dyDescent="0.25">
      <c r="C1824" s="207"/>
      <c r="D1824" s="196">
        <v>42460</v>
      </c>
      <c r="E1824" s="101" t="s">
        <v>645</v>
      </c>
      <c r="F1824" s="216" t="s">
        <v>49</v>
      </c>
      <c r="G1824" s="3" t="s">
        <v>56</v>
      </c>
      <c r="H1824" s="3" t="s">
        <v>56</v>
      </c>
      <c r="M1824" s="151" t="str">
        <f t="shared" si="88"/>
        <v>/</v>
      </c>
      <c r="N1824" s="151" t="str">
        <f t="shared" si="89"/>
        <v/>
      </c>
      <c r="Q1824" s="239" t="str">
        <f t="shared" ca="1" si="87"/>
        <v/>
      </c>
    </row>
    <row r="1825" spans="2:17" ht="15.75" hidden="1" customHeight="1" outlineLevel="1" x14ac:dyDescent="0.25">
      <c r="C1825" s="208"/>
      <c r="D1825" s="196">
        <v>42462</v>
      </c>
      <c r="E1825" s="101" t="s">
        <v>644</v>
      </c>
      <c r="F1825" s="216" t="s">
        <v>50</v>
      </c>
      <c r="G1825" s="3" t="s">
        <v>56</v>
      </c>
      <c r="H1825" s="3" t="s">
        <v>56</v>
      </c>
      <c r="M1825" s="151" t="str">
        <f t="shared" si="88"/>
        <v/>
      </c>
      <c r="N1825" s="151" t="str">
        <f t="shared" si="89"/>
        <v>/</v>
      </c>
      <c r="Q1825" s="239" t="str">
        <f t="shared" ca="1" si="87"/>
        <v/>
      </c>
    </row>
    <row r="1826" spans="2:17" ht="15.75" hidden="1" customHeight="1" outlineLevel="1" x14ac:dyDescent="0.25">
      <c r="C1826" s="208"/>
      <c r="D1826" s="196">
        <v>42464</v>
      </c>
      <c r="E1826" s="101" t="s">
        <v>46</v>
      </c>
      <c r="F1826" s="216" t="s">
        <v>50</v>
      </c>
      <c r="G1826" s="3" t="s">
        <v>56</v>
      </c>
      <c r="H1826" s="3" t="s">
        <v>56</v>
      </c>
      <c r="M1826" s="151" t="str">
        <f t="shared" si="88"/>
        <v/>
      </c>
      <c r="N1826" s="151" t="str">
        <f t="shared" si="89"/>
        <v>/</v>
      </c>
      <c r="Q1826" s="239" t="str">
        <f t="shared" ca="1" si="87"/>
        <v/>
      </c>
    </row>
    <row r="1827" spans="2:17" ht="15.75" hidden="1" customHeight="1" outlineLevel="1" x14ac:dyDescent="0.25">
      <c r="C1827" s="208"/>
      <c r="D1827" s="196">
        <v>42465</v>
      </c>
      <c r="E1827" s="101" t="s">
        <v>23</v>
      </c>
      <c r="F1827" s="216" t="s">
        <v>49</v>
      </c>
      <c r="G1827" s="3" t="s">
        <v>56</v>
      </c>
      <c r="H1827" s="3" t="s">
        <v>56</v>
      </c>
      <c r="M1827" s="151" t="str">
        <f t="shared" si="88"/>
        <v>/</v>
      </c>
      <c r="N1827" s="151" t="str">
        <f t="shared" si="89"/>
        <v/>
      </c>
      <c r="Q1827" s="239" t="str">
        <f t="shared" ca="1" si="87"/>
        <v/>
      </c>
    </row>
    <row r="1828" spans="2:17" ht="15.75" hidden="1" customHeight="1" outlineLevel="1" x14ac:dyDescent="0.25">
      <c r="C1828" s="208"/>
      <c r="D1828" s="196">
        <v>42467</v>
      </c>
      <c r="E1828" s="101" t="s">
        <v>9</v>
      </c>
      <c r="F1828" s="216" t="s">
        <v>49</v>
      </c>
      <c r="G1828" s="3" t="s">
        <v>56</v>
      </c>
      <c r="H1828" s="3" t="s">
        <v>56</v>
      </c>
      <c r="M1828" s="151" t="str">
        <f t="shared" si="88"/>
        <v>/</v>
      </c>
      <c r="N1828" s="151" t="str">
        <f t="shared" si="89"/>
        <v/>
      </c>
      <c r="Q1828" s="239" t="str">
        <f t="shared" ca="1" si="87"/>
        <v/>
      </c>
    </row>
    <row r="1829" spans="2:17" ht="15.75" hidden="1" customHeight="1" outlineLevel="1" x14ac:dyDescent="0.25">
      <c r="C1829" s="208"/>
      <c r="D1829" s="196">
        <v>42469</v>
      </c>
      <c r="E1829" s="101" t="s">
        <v>5</v>
      </c>
      <c r="F1829" s="216" t="s">
        <v>49</v>
      </c>
      <c r="G1829" s="3" t="s">
        <v>56</v>
      </c>
      <c r="H1829" s="3" t="s">
        <v>56</v>
      </c>
      <c r="M1829" s="151" t="str">
        <f t="shared" si="88"/>
        <v>/</v>
      </c>
      <c r="N1829" s="151" t="str">
        <f t="shared" si="89"/>
        <v/>
      </c>
      <c r="Q1829" s="239" t="str">
        <f t="shared" ca="1" si="87"/>
        <v/>
      </c>
    </row>
    <row r="1830" spans="2:17" ht="15.75" hidden="1" customHeight="1" outlineLevel="1" x14ac:dyDescent="0.25">
      <c r="C1830" s="208"/>
      <c r="D1830" s="196">
        <v>42472</v>
      </c>
      <c r="E1830" s="102" t="s">
        <v>645</v>
      </c>
      <c r="F1830" s="217" t="s">
        <v>49</v>
      </c>
      <c r="G1830" s="3" t="s">
        <v>56</v>
      </c>
      <c r="H1830" s="3" t="s">
        <v>56</v>
      </c>
      <c r="M1830" s="151" t="str">
        <f t="shared" si="88"/>
        <v>/</v>
      </c>
      <c r="N1830" s="151" t="str">
        <f t="shared" si="89"/>
        <v/>
      </c>
      <c r="Q1830" s="239" t="str">
        <f t="shared" ca="1" si="87"/>
        <v/>
      </c>
    </row>
    <row r="1831" spans="2:17" collapsed="1" x14ac:dyDescent="0.25">
      <c r="B1831" s="404" t="e">
        <f ca="1">"- "&amp;INDEX(E1832:E1913,MATCH(TODAY(),D1832:D1913,0))</f>
        <v>#N/A</v>
      </c>
      <c r="C1831" s="404"/>
      <c r="D1831" s="406" t="s">
        <v>21</v>
      </c>
      <c r="E1831" s="407"/>
      <c r="F1831" s="408"/>
      <c r="H1831" s="3"/>
      <c r="Q1831" s="239" t="str">
        <f t="shared" ca="1" si="87"/>
        <v/>
      </c>
    </row>
    <row r="1832" spans="2:17" ht="16.5" hidden="1" customHeight="1" outlineLevel="1" x14ac:dyDescent="0.25">
      <c r="C1832" s="207"/>
      <c r="D1832" s="196">
        <v>42669</v>
      </c>
      <c r="E1832" s="103" t="s">
        <v>20</v>
      </c>
      <c r="F1832" s="215" t="s">
        <v>50</v>
      </c>
      <c r="G1832" s="3">
        <v>0</v>
      </c>
      <c r="H1832" s="3">
        <v>98</v>
      </c>
      <c r="I1832" s="151">
        <v>33</v>
      </c>
      <c r="J1832" s="151">
        <v>44</v>
      </c>
      <c r="K1832" s="151">
        <v>69</v>
      </c>
      <c r="L1832" s="151">
        <v>42</v>
      </c>
      <c r="M1832" s="151" t="str">
        <f t="shared" si="88"/>
        <v/>
      </c>
      <c r="N1832" s="151">
        <f t="shared" si="89"/>
        <v>98</v>
      </c>
      <c r="P1832" s="151">
        <v>102</v>
      </c>
      <c r="Q1832" s="239" t="str">
        <f t="shared" ca="1" si="87"/>
        <v/>
      </c>
    </row>
    <row r="1833" spans="2:17" ht="15.75" hidden="1" customHeight="1" outlineLevel="1" x14ac:dyDescent="0.25">
      <c r="C1833" s="207"/>
      <c r="D1833" s="196">
        <v>42672</v>
      </c>
      <c r="E1833" s="101" t="s">
        <v>26</v>
      </c>
      <c r="F1833" s="216" t="s">
        <v>50</v>
      </c>
      <c r="G1833" s="3" t="s">
        <v>56</v>
      </c>
      <c r="H1833" s="3" t="s">
        <v>56</v>
      </c>
      <c r="M1833" s="151" t="str">
        <f t="shared" si="88"/>
        <v/>
      </c>
      <c r="N1833" s="151" t="str">
        <f t="shared" si="89"/>
        <v>/</v>
      </c>
      <c r="Q1833" s="239" t="str">
        <f t="shared" ca="1" si="87"/>
        <v/>
      </c>
    </row>
    <row r="1834" spans="2:17" ht="15.75" hidden="1" customHeight="1" outlineLevel="1" x14ac:dyDescent="0.25">
      <c r="C1834" s="207"/>
      <c r="D1834" s="196">
        <v>42675</v>
      </c>
      <c r="E1834" s="101" t="s">
        <v>20</v>
      </c>
      <c r="F1834" s="216" t="s">
        <v>49</v>
      </c>
      <c r="G1834" s="3" t="s">
        <v>56</v>
      </c>
      <c r="H1834" s="3" t="s">
        <v>56</v>
      </c>
      <c r="M1834" s="151" t="str">
        <f t="shared" si="88"/>
        <v>/</v>
      </c>
      <c r="N1834" s="151" t="str">
        <f t="shared" si="89"/>
        <v/>
      </c>
      <c r="Q1834" s="239" t="str">
        <f t="shared" ca="1" si="87"/>
        <v/>
      </c>
    </row>
    <row r="1835" spans="2:17" ht="15.75" hidden="1" customHeight="1" outlineLevel="1" x14ac:dyDescent="0.25">
      <c r="C1835" s="207"/>
      <c r="D1835" s="196">
        <v>42677</v>
      </c>
      <c r="E1835" s="101" t="s">
        <v>15</v>
      </c>
      <c r="F1835" s="216" t="s">
        <v>49</v>
      </c>
      <c r="G1835" s="3" t="s">
        <v>56</v>
      </c>
      <c r="H1835" s="3" t="s">
        <v>56</v>
      </c>
      <c r="M1835" s="151" t="str">
        <f t="shared" si="88"/>
        <v>/</v>
      </c>
      <c r="N1835" s="151" t="str">
        <f t="shared" si="89"/>
        <v/>
      </c>
      <c r="Q1835" s="239" t="str">
        <f t="shared" ref="Q1835:Q1898" ca="1" si="90">IF(D1835=TODAY(),1,"")</f>
        <v/>
      </c>
    </row>
    <row r="1836" spans="2:17" ht="15.75" hidden="1" customHeight="1" outlineLevel="1" x14ac:dyDescent="0.25">
      <c r="C1836" s="207"/>
      <c r="D1836" s="196">
        <v>42679</v>
      </c>
      <c r="E1836" s="101" t="s">
        <v>23</v>
      </c>
      <c r="F1836" s="216" t="s">
        <v>50</v>
      </c>
      <c r="G1836" s="3" t="s">
        <v>56</v>
      </c>
      <c r="H1836" s="3" t="s">
        <v>56</v>
      </c>
      <c r="M1836" s="151" t="str">
        <f t="shared" si="88"/>
        <v/>
      </c>
      <c r="N1836" s="151" t="str">
        <f t="shared" si="89"/>
        <v>/</v>
      </c>
      <c r="Q1836" s="239" t="str">
        <f t="shared" ca="1" si="90"/>
        <v/>
      </c>
    </row>
    <row r="1837" spans="2:17" ht="15.75" hidden="1" customHeight="1" outlineLevel="1" x14ac:dyDescent="0.25">
      <c r="C1837" s="207"/>
      <c r="D1837" s="196">
        <v>42682</v>
      </c>
      <c r="E1837" s="101" t="s">
        <v>45</v>
      </c>
      <c r="F1837" s="216" t="s">
        <v>50</v>
      </c>
      <c r="G1837" s="3" t="s">
        <v>56</v>
      </c>
      <c r="H1837" s="3" t="s">
        <v>56</v>
      </c>
      <c r="M1837" s="151" t="str">
        <f t="shared" si="88"/>
        <v/>
      </c>
      <c r="N1837" s="151" t="str">
        <f t="shared" si="89"/>
        <v>/</v>
      </c>
      <c r="Q1837" s="239" t="str">
        <f t="shared" ca="1" si="90"/>
        <v/>
      </c>
    </row>
    <row r="1838" spans="2:17" ht="15.75" hidden="1" customHeight="1" outlineLevel="1" x14ac:dyDescent="0.25">
      <c r="C1838" s="207"/>
      <c r="D1838" s="196">
        <v>42683</v>
      </c>
      <c r="E1838" s="101" t="s">
        <v>10</v>
      </c>
      <c r="F1838" s="216" t="s">
        <v>50</v>
      </c>
      <c r="G1838" s="3" t="s">
        <v>56</v>
      </c>
      <c r="H1838" s="3" t="s">
        <v>56</v>
      </c>
      <c r="M1838" s="151" t="str">
        <f t="shared" si="88"/>
        <v/>
      </c>
      <c r="N1838" s="151" t="str">
        <f t="shared" si="89"/>
        <v>/</v>
      </c>
      <c r="Q1838" s="239" t="str">
        <f t="shared" ca="1" si="90"/>
        <v/>
      </c>
    </row>
    <row r="1839" spans="2:17" ht="15.75" hidden="1" customHeight="1" outlineLevel="1" x14ac:dyDescent="0.25">
      <c r="C1839" s="207"/>
      <c r="D1839" s="196">
        <v>42686</v>
      </c>
      <c r="E1839" s="101" t="s">
        <v>18</v>
      </c>
      <c r="F1839" s="216" t="s">
        <v>49</v>
      </c>
      <c r="G1839" s="3" t="s">
        <v>56</v>
      </c>
      <c r="H1839" s="3" t="s">
        <v>56</v>
      </c>
      <c r="M1839" s="151" t="str">
        <f t="shared" si="88"/>
        <v>/</v>
      </c>
      <c r="N1839" s="151" t="str">
        <f t="shared" si="89"/>
        <v/>
      </c>
      <c r="Q1839" s="239" t="str">
        <f t="shared" ca="1" si="90"/>
        <v/>
      </c>
    </row>
    <row r="1840" spans="2:17" ht="15.75" hidden="1" customHeight="1" outlineLevel="1" x14ac:dyDescent="0.25">
      <c r="C1840" s="207"/>
      <c r="D1840" s="196">
        <v>42687</v>
      </c>
      <c r="E1840" s="101" t="s">
        <v>644</v>
      </c>
      <c r="F1840" s="216" t="s">
        <v>49</v>
      </c>
      <c r="G1840" s="3" t="s">
        <v>56</v>
      </c>
      <c r="H1840" s="3" t="s">
        <v>56</v>
      </c>
      <c r="M1840" s="151" t="str">
        <f t="shared" si="88"/>
        <v>/</v>
      </c>
      <c r="N1840" s="151" t="str">
        <f t="shared" si="89"/>
        <v/>
      </c>
      <c r="Q1840" s="239" t="str">
        <f t="shared" ca="1" si="90"/>
        <v/>
      </c>
    </row>
    <row r="1841" spans="3:17" ht="15.75" hidden="1" customHeight="1" outlineLevel="1" x14ac:dyDescent="0.25">
      <c r="C1841" s="207"/>
      <c r="D1841" s="196">
        <v>42689</v>
      </c>
      <c r="E1841" s="101" t="s">
        <v>3</v>
      </c>
      <c r="F1841" s="216" t="s">
        <v>49</v>
      </c>
      <c r="G1841" s="3" t="s">
        <v>56</v>
      </c>
      <c r="H1841" s="3" t="s">
        <v>56</v>
      </c>
      <c r="M1841" s="151" t="str">
        <f t="shared" si="88"/>
        <v>/</v>
      </c>
      <c r="N1841" s="151" t="str">
        <f t="shared" si="89"/>
        <v/>
      </c>
      <c r="Q1841" s="239" t="str">
        <f t="shared" ca="1" si="90"/>
        <v/>
      </c>
    </row>
    <row r="1842" spans="3:17" ht="15.75" hidden="1" customHeight="1" outlineLevel="1" x14ac:dyDescent="0.25">
      <c r="C1842" s="207"/>
      <c r="D1842" s="196">
        <v>42691</v>
      </c>
      <c r="E1842" s="101" t="s">
        <v>11</v>
      </c>
      <c r="F1842" s="216" t="s">
        <v>49</v>
      </c>
      <c r="G1842" s="3" t="s">
        <v>56</v>
      </c>
      <c r="H1842" s="3" t="s">
        <v>56</v>
      </c>
      <c r="M1842" s="151" t="str">
        <f t="shared" si="88"/>
        <v>/</v>
      </c>
      <c r="N1842" s="151" t="str">
        <f t="shared" si="89"/>
        <v/>
      </c>
      <c r="Q1842" s="239" t="str">
        <f t="shared" ca="1" si="90"/>
        <v/>
      </c>
    </row>
    <row r="1843" spans="3:17" ht="15.75" hidden="1" customHeight="1" outlineLevel="1" x14ac:dyDescent="0.25">
      <c r="C1843" s="207"/>
      <c r="D1843" s="196">
        <v>42693</v>
      </c>
      <c r="E1843" s="101" t="s">
        <v>20</v>
      </c>
      <c r="F1843" s="216" t="s">
        <v>50</v>
      </c>
      <c r="G1843" s="3" t="s">
        <v>56</v>
      </c>
      <c r="H1843" s="3" t="s">
        <v>56</v>
      </c>
      <c r="M1843" s="151" t="str">
        <f t="shared" si="88"/>
        <v/>
      </c>
      <c r="N1843" s="151" t="str">
        <f t="shared" si="89"/>
        <v>/</v>
      </c>
      <c r="Q1843" s="239" t="str">
        <f t="shared" ca="1" si="90"/>
        <v/>
      </c>
    </row>
    <row r="1844" spans="3:17" ht="15.75" hidden="1" customHeight="1" outlineLevel="1" x14ac:dyDescent="0.25">
      <c r="C1844" s="207"/>
      <c r="D1844" s="196">
        <v>42695</v>
      </c>
      <c r="E1844" s="101" t="s">
        <v>1</v>
      </c>
      <c r="F1844" s="216" t="s">
        <v>49</v>
      </c>
      <c r="G1844" s="3" t="s">
        <v>56</v>
      </c>
      <c r="H1844" s="3" t="s">
        <v>56</v>
      </c>
      <c r="M1844" s="151" t="str">
        <f t="shared" si="88"/>
        <v>/</v>
      </c>
      <c r="N1844" s="151" t="str">
        <f t="shared" si="89"/>
        <v/>
      </c>
      <c r="Q1844" s="239" t="str">
        <f t="shared" ca="1" si="90"/>
        <v/>
      </c>
    </row>
    <row r="1845" spans="3:17" ht="15.75" hidden="1" customHeight="1" outlineLevel="1" x14ac:dyDescent="0.25">
      <c r="C1845" s="207"/>
      <c r="D1845" s="196">
        <v>42697</v>
      </c>
      <c r="E1845" s="101" t="s">
        <v>22</v>
      </c>
      <c r="F1845" s="216" t="s">
        <v>50</v>
      </c>
      <c r="G1845" s="3" t="s">
        <v>56</v>
      </c>
      <c r="H1845" s="3" t="s">
        <v>56</v>
      </c>
      <c r="M1845" s="151" t="str">
        <f t="shared" si="88"/>
        <v/>
      </c>
      <c r="N1845" s="151" t="str">
        <f t="shared" si="89"/>
        <v>/</v>
      </c>
      <c r="Q1845" s="239" t="str">
        <f t="shared" ca="1" si="90"/>
        <v/>
      </c>
    </row>
    <row r="1846" spans="3:17" ht="15.75" hidden="1" customHeight="1" outlineLevel="1" x14ac:dyDescent="0.25">
      <c r="C1846" s="207"/>
      <c r="D1846" s="196">
        <v>42699</v>
      </c>
      <c r="E1846" s="101" t="s">
        <v>25</v>
      </c>
      <c r="F1846" s="216" t="s">
        <v>50</v>
      </c>
      <c r="G1846" s="3" t="s">
        <v>56</v>
      </c>
      <c r="H1846" s="3" t="s">
        <v>56</v>
      </c>
      <c r="M1846" s="151" t="str">
        <f t="shared" si="88"/>
        <v/>
      </c>
      <c r="N1846" s="151" t="str">
        <f t="shared" si="89"/>
        <v>/</v>
      </c>
      <c r="Q1846" s="239" t="str">
        <f t="shared" ca="1" si="90"/>
        <v/>
      </c>
    </row>
    <row r="1847" spans="3:17" ht="15.75" hidden="1" customHeight="1" outlineLevel="1" x14ac:dyDescent="0.25">
      <c r="C1847" s="207"/>
      <c r="D1847" s="196">
        <v>42700</v>
      </c>
      <c r="E1847" s="101" t="s">
        <v>16</v>
      </c>
      <c r="F1847" s="216" t="s">
        <v>50</v>
      </c>
      <c r="G1847" s="3" t="s">
        <v>56</v>
      </c>
      <c r="H1847" s="3" t="s">
        <v>56</v>
      </c>
      <c r="M1847" s="151" t="str">
        <f t="shared" si="88"/>
        <v/>
      </c>
      <c r="N1847" s="151" t="str">
        <f t="shared" si="89"/>
        <v>/</v>
      </c>
      <c r="Q1847" s="239" t="str">
        <f t="shared" ca="1" si="90"/>
        <v/>
      </c>
    </row>
    <row r="1848" spans="3:17" ht="15.75" hidden="1" customHeight="1" outlineLevel="1" x14ac:dyDescent="0.25">
      <c r="C1848" s="207"/>
      <c r="D1848" s="196">
        <v>42702</v>
      </c>
      <c r="E1848" s="101" t="s">
        <v>28</v>
      </c>
      <c r="F1848" s="216" t="s">
        <v>49</v>
      </c>
      <c r="G1848" s="3" t="s">
        <v>56</v>
      </c>
      <c r="H1848" s="3" t="s">
        <v>56</v>
      </c>
      <c r="M1848" s="151" t="str">
        <f t="shared" si="88"/>
        <v>/</v>
      </c>
      <c r="N1848" s="151" t="str">
        <f t="shared" si="89"/>
        <v/>
      </c>
      <c r="Q1848" s="239" t="str">
        <f t="shared" ca="1" si="90"/>
        <v/>
      </c>
    </row>
    <row r="1849" spans="3:17" ht="15.75" hidden="1" customHeight="1" outlineLevel="1" x14ac:dyDescent="0.25">
      <c r="C1849" s="207"/>
      <c r="D1849" s="196">
        <v>42704</v>
      </c>
      <c r="E1849" s="101" t="s">
        <v>9</v>
      </c>
      <c r="F1849" s="216" t="s">
        <v>49</v>
      </c>
      <c r="G1849" s="3" t="s">
        <v>56</v>
      </c>
      <c r="H1849" s="3" t="s">
        <v>56</v>
      </c>
      <c r="M1849" s="151" t="str">
        <f t="shared" si="88"/>
        <v>/</v>
      </c>
      <c r="N1849" s="151" t="str">
        <f t="shared" si="89"/>
        <v/>
      </c>
      <c r="Q1849" s="239" t="str">
        <f t="shared" ca="1" si="90"/>
        <v/>
      </c>
    </row>
    <row r="1850" spans="3:17" ht="15.75" hidden="1" customHeight="1" outlineLevel="1" x14ac:dyDescent="0.25">
      <c r="C1850" s="208"/>
      <c r="D1850" s="196">
        <v>42706</v>
      </c>
      <c r="E1850" s="101" t="s">
        <v>9</v>
      </c>
      <c r="F1850" s="216" t="s">
        <v>50</v>
      </c>
      <c r="G1850" s="3" t="s">
        <v>56</v>
      </c>
      <c r="H1850" s="3" t="s">
        <v>56</v>
      </c>
      <c r="M1850" s="151" t="str">
        <f t="shared" si="88"/>
        <v/>
      </c>
      <c r="N1850" s="151" t="str">
        <f t="shared" si="89"/>
        <v>/</v>
      </c>
      <c r="Q1850" s="239" t="str">
        <f t="shared" ca="1" si="90"/>
        <v/>
      </c>
    </row>
    <row r="1851" spans="3:17" ht="15.75" hidden="1" customHeight="1" outlineLevel="1" x14ac:dyDescent="0.25">
      <c r="C1851" s="208"/>
      <c r="D1851" s="196">
        <v>42707</v>
      </c>
      <c r="E1851" s="101" t="s">
        <v>3</v>
      </c>
      <c r="F1851" s="216" t="s">
        <v>50</v>
      </c>
      <c r="G1851" s="3" t="s">
        <v>56</v>
      </c>
      <c r="H1851" s="3" t="s">
        <v>56</v>
      </c>
      <c r="M1851" s="151" t="str">
        <f t="shared" si="88"/>
        <v/>
      </c>
      <c r="N1851" s="151" t="str">
        <f t="shared" si="89"/>
        <v>/</v>
      </c>
      <c r="Q1851" s="239" t="str">
        <f t="shared" ca="1" si="90"/>
        <v/>
      </c>
    </row>
    <row r="1852" spans="3:17" ht="15.75" hidden="1" customHeight="1" outlineLevel="1" x14ac:dyDescent="0.25">
      <c r="C1852" s="208"/>
      <c r="D1852" s="196">
        <v>42710</v>
      </c>
      <c r="E1852" s="101" t="s">
        <v>46</v>
      </c>
      <c r="F1852" s="216" t="s">
        <v>49</v>
      </c>
      <c r="G1852" s="3" t="s">
        <v>56</v>
      </c>
      <c r="H1852" s="3" t="s">
        <v>56</v>
      </c>
      <c r="M1852" s="151" t="str">
        <f t="shared" si="88"/>
        <v>/</v>
      </c>
      <c r="N1852" s="151" t="str">
        <f t="shared" si="89"/>
        <v/>
      </c>
      <c r="Q1852" s="239" t="str">
        <f t="shared" ca="1" si="90"/>
        <v/>
      </c>
    </row>
    <row r="1853" spans="3:17" ht="15.75" hidden="1" customHeight="1" outlineLevel="1" x14ac:dyDescent="0.25">
      <c r="C1853" s="208"/>
      <c r="D1853" s="196">
        <v>42712</v>
      </c>
      <c r="E1853" s="101" t="s">
        <v>12</v>
      </c>
      <c r="F1853" s="216" t="s">
        <v>50</v>
      </c>
      <c r="G1853" s="3" t="s">
        <v>56</v>
      </c>
      <c r="H1853" s="3" t="s">
        <v>56</v>
      </c>
      <c r="M1853" s="151" t="str">
        <f t="shared" si="88"/>
        <v/>
      </c>
      <c r="N1853" s="151" t="str">
        <f t="shared" si="89"/>
        <v>/</v>
      </c>
      <c r="Q1853" s="239" t="str">
        <f t="shared" ca="1" si="90"/>
        <v/>
      </c>
    </row>
    <row r="1854" spans="3:17" ht="15.75" hidden="1" customHeight="1" outlineLevel="1" x14ac:dyDescent="0.25">
      <c r="C1854" s="208"/>
      <c r="D1854" s="196">
        <v>42713</v>
      </c>
      <c r="E1854" s="101" t="s">
        <v>5</v>
      </c>
      <c r="F1854" s="216" t="s">
        <v>49</v>
      </c>
      <c r="G1854" s="3" t="s">
        <v>56</v>
      </c>
      <c r="H1854" s="3" t="s">
        <v>56</v>
      </c>
      <c r="M1854" s="151" t="str">
        <f t="shared" si="88"/>
        <v>/</v>
      </c>
      <c r="N1854" s="151" t="str">
        <f t="shared" si="89"/>
        <v/>
      </c>
      <c r="Q1854" s="239" t="str">
        <f t="shared" ca="1" si="90"/>
        <v/>
      </c>
    </row>
    <row r="1855" spans="3:17" ht="15.75" hidden="1" customHeight="1" outlineLevel="1" x14ac:dyDescent="0.25">
      <c r="C1855" s="208"/>
      <c r="D1855" s="196">
        <v>42715</v>
      </c>
      <c r="E1855" s="101" t="s">
        <v>16</v>
      </c>
      <c r="F1855" s="216" t="s">
        <v>49</v>
      </c>
      <c r="G1855" s="3" t="s">
        <v>56</v>
      </c>
      <c r="H1855" s="3" t="s">
        <v>56</v>
      </c>
      <c r="M1855" s="151" t="str">
        <f t="shared" si="88"/>
        <v>/</v>
      </c>
      <c r="N1855" s="151" t="str">
        <f t="shared" si="89"/>
        <v/>
      </c>
      <c r="Q1855" s="239" t="str">
        <f t="shared" ca="1" si="90"/>
        <v/>
      </c>
    </row>
    <row r="1856" spans="3:17" ht="15.75" hidden="1" customHeight="1" outlineLevel="1" x14ac:dyDescent="0.25">
      <c r="C1856" s="208"/>
      <c r="D1856" s="196">
        <v>42717</v>
      </c>
      <c r="E1856" s="101" t="s">
        <v>2</v>
      </c>
      <c r="F1856" s="216" t="s">
        <v>50</v>
      </c>
      <c r="G1856" s="3" t="s">
        <v>56</v>
      </c>
      <c r="H1856" s="3" t="s">
        <v>56</v>
      </c>
      <c r="M1856" s="151" t="str">
        <f t="shared" si="88"/>
        <v/>
      </c>
      <c r="N1856" s="151" t="str">
        <f t="shared" si="89"/>
        <v>/</v>
      </c>
      <c r="Q1856" s="239" t="str">
        <f t="shared" ca="1" si="90"/>
        <v/>
      </c>
    </row>
    <row r="1857" spans="3:17" ht="15.75" hidden="1" customHeight="1" outlineLevel="1" x14ac:dyDescent="0.25">
      <c r="C1857" s="208"/>
      <c r="D1857" s="196">
        <v>42721</v>
      </c>
      <c r="E1857" s="101" t="s">
        <v>17</v>
      </c>
      <c r="F1857" s="216" t="s">
        <v>49</v>
      </c>
      <c r="G1857" s="3" t="s">
        <v>56</v>
      </c>
      <c r="H1857" s="3" t="s">
        <v>56</v>
      </c>
      <c r="M1857" s="151" t="str">
        <f t="shared" si="88"/>
        <v>/</v>
      </c>
      <c r="N1857" s="151" t="str">
        <f t="shared" si="89"/>
        <v/>
      </c>
      <c r="Q1857" s="239" t="str">
        <f t="shared" ca="1" si="90"/>
        <v/>
      </c>
    </row>
    <row r="1858" spans="3:17" ht="15.75" hidden="1" customHeight="1" outlineLevel="1" x14ac:dyDescent="0.25">
      <c r="C1858" s="208"/>
      <c r="D1858" s="196">
        <v>42723</v>
      </c>
      <c r="E1858" s="101" t="s">
        <v>25</v>
      </c>
      <c r="F1858" s="216" t="s">
        <v>49</v>
      </c>
      <c r="G1858" s="3" t="s">
        <v>56</v>
      </c>
      <c r="H1858" s="3" t="s">
        <v>56</v>
      </c>
      <c r="M1858" s="151" t="str">
        <f t="shared" si="88"/>
        <v>/</v>
      </c>
      <c r="N1858" s="151" t="str">
        <f t="shared" si="89"/>
        <v/>
      </c>
      <c r="Q1858" s="239" t="str">
        <f t="shared" ca="1" si="90"/>
        <v/>
      </c>
    </row>
    <row r="1859" spans="3:17" ht="15.75" hidden="1" customHeight="1" outlineLevel="1" x14ac:dyDescent="0.25">
      <c r="C1859" s="208"/>
      <c r="D1859" s="196">
        <v>42725</v>
      </c>
      <c r="E1859" s="101" t="s">
        <v>0</v>
      </c>
      <c r="F1859" s="216" t="s">
        <v>50</v>
      </c>
      <c r="G1859" s="3" t="s">
        <v>56</v>
      </c>
      <c r="H1859" s="3" t="s">
        <v>56</v>
      </c>
      <c r="M1859" s="151" t="str">
        <f t="shared" si="88"/>
        <v/>
      </c>
      <c r="N1859" s="151" t="str">
        <f t="shared" si="89"/>
        <v>/</v>
      </c>
      <c r="Q1859" s="239" t="str">
        <f t="shared" ca="1" si="90"/>
        <v/>
      </c>
    </row>
    <row r="1860" spans="3:17" ht="15.75" hidden="1" customHeight="1" outlineLevel="1" x14ac:dyDescent="0.25">
      <c r="C1860" s="208"/>
      <c r="D1860" s="196">
        <v>42727</v>
      </c>
      <c r="E1860" s="101" t="s">
        <v>26</v>
      </c>
      <c r="F1860" s="216" t="s">
        <v>49</v>
      </c>
      <c r="G1860" s="3" t="s">
        <v>56</v>
      </c>
      <c r="H1860" s="3" t="s">
        <v>56</v>
      </c>
      <c r="M1860" s="151" t="str">
        <f t="shared" si="88"/>
        <v>/</v>
      </c>
      <c r="N1860" s="151" t="str">
        <f t="shared" si="89"/>
        <v/>
      </c>
      <c r="Q1860" s="239" t="str">
        <f t="shared" ca="1" si="90"/>
        <v/>
      </c>
    </row>
    <row r="1861" spans="3:17" ht="15.75" hidden="1" customHeight="1" outlineLevel="1" x14ac:dyDescent="0.25">
      <c r="C1861" s="208"/>
      <c r="D1861" s="196">
        <v>42729</v>
      </c>
      <c r="E1861" s="101" t="s">
        <v>23</v>
      </c>
      <c r="F1861" s="216" t="s">
        <v>50</v>
      </c>
      <c r="G1861" s="3" t="s">
        <v>56</v>
      </c>
      <c r="H1861" s="3" t="s">
        <v>56</v>
      </c>
      <c r="M1861" s="151" t="str">
        <f t="shared" si="88"/>
        <v/>
      </c>
      <c r="N1861" s="151" t="str">
        <f t="shared" si="89"/>
        <v>/</v>
      </c>
      <c r="Q1861" s="239" t="str">
        <f t="shared" ca="1" si="90"/>
        <v/>
      </c>
    </row>
    <row r="1862" spans="3:17" ht="15.75" hidden="1" customHeight="1" outlineLevel="1" x14ac:dyDescent="0.25">
      <c r="C1862" s="208"/>
      <c r="D1862" s="196">
        <v>42730</v>
      </c>
      <c r="E1862" s="101" t="s">
        <v>0</v>
      </c>
      <c r="F1862" s="216" t="s">
        <v>49</v>
      </c>
      <c r="G1862" s="3" t="s">
        <v>56</v>
      </c>
      <c r="H1862" s="3" t="s">
        <v>56</v>
      </c>
      <c r="M1862" s="151" t="str">
        <f t="shared" si="88"/>
        <v>/</v>
      </c>
      <c r="N1862" s="151" t="str">
        <f t="shared" si="89"/>
        <v/>
      </c>
      <c r="Q1862" s="239" t="str">
        <f t="shared" ca="1" si="90"/>
        <v/>
      </c>
    </row>
    <row r="1863" spans="3:17" ht="15.75" hidden="1" customHeight="1" outlineLevel="1" x14ac:dyDescent="0.25">
      <c r="C1863" s="208"/>
      <c r="D1863" s="196">
        <v>42732</v>
      </c>
      <c r="E1863" s="101" t="s">
        <v>15</v>
      </c>
      <c r="F1863" s="216" t="s">
        <v>50</v>
      </c>
      <c r="G1863" s="3" t="s">
        <v>56</v>
      </c>
      <c r="H1863" s="3" t="s">
        <v>56</v>
      </c>
      <c r="M1863" s="151" t="str">
        <f t="shared" ref="M1863:M1926" si="91">IF(F1863="D",H1863,"")</f>
        <v/>
      </c>
      <c r="N1863" s="151" t="str">
        <f t="shared" ref="N1863:N1926" si="92">IF(F1863="E",H1863,"")</f>
        <v>/</v>
      </c>
      <c r="Q1863" s="239" t="str">
        <f t="shared" ca="1" si="90"/>
        <v/>
      </c>
    </row>
    <row r="1864" spans="3:17" ht="15.75" hidden="1" customHeight="1" outlineLevel="1" x14ac:dyDescent="0.25">
      <c r="C1864" s="208"/>
      <c r="D1864" s="196">
        <v>42734</v>
      </c>
      <c r="E1864" s="101" t="s">
        <v>8</v>
      </c>
      <c r="F1864" s="216" t="s">
        <v>49</v>
      </c>
      <c r="G1864" s="3" t="s">
        <v>56</v>
      </c>
      <c r="H1864" s="3" t="s">
        <v>56</v>
      </c>
      <c r="M1864" s="151" t="str">
        <f t="shared" si="91"/>
        <v>/</v>
      </c>
      <c r="N1864" s="151" t="str">
        <f t="shared" si="92"/>
        <v/>
      </c>
      <c r="Q1864" s="239" t="str">
        <f t="shared" ca="1" si="90"/>
        <v/>
      </c>
    </row>
    <row r="1865" spans="3:17" ht="15.75" hidden="1" customHeight="1" outlineLevel="1" x14ac:dyDescent="0.25">
      <c r="C1865" s="207"/>
      <c r="D1865" s="196">
        <v>42370</v>
      </c>
      <c r="E1865" s="101" t="s">
        <v>24</v>
      </c>
      <c r="F1865" s="216" t="s">
        <v>49</v>
      </c>
      <c r="G1865" s="3" t="s">
        <v>56</v>
      </c>
      <c r="H1865" s="3" t="s">
        <v>56</v>
      </c>
      <c r="M1865" s="151" t="str">
        <f t="shared" si="91"/>
        <v>/</v>
      </c>
      <c r="N1865" s="151" t="str">
        <f t="shared" si="92"/>
        <v/>
      </c>
      <c r="Q1865" s="239" t="str">
        <f t="shared" ca="1" si="90"/>
        <v/>
      </c>
    </row>
    <row r="1866" spans="3:17" ht="15.75" hidden="1" customHeight="1" outlineLevel="1" x14ac:dyDescent="0.25">
      <c r="C1866" s="207"/>
      <c r="D1866" s="196">
        <v>42372</v>
      </c>
      <c r="E1866" s="101" t="s">
        <v>11</v>
      </c>
      <c r="F1866" s="216" t="s">
        <v>50</v>
      </c>
      <c r="G1866" s="3" t="s">
        <v>56</v>
      </c>
      <c r="H1866" s="3" t="s">
        <v>56</v>
      </c>
      <c r="M1866" s="151" t="str">
        <f t="shared" si="91"/>
        <v/>
      </c>
      <c r="N1866" s="151" t="str">
        <f t="shared" si="92"/>
        <v>/</v>
      </c>
      <c r="Q1866" s="239" t="str">
        <f t="shared" ca="1" si="90"/>
        <v/>
      </c>
    </row>
    <row r="1867" spans="3:17" ht="15.75" hidden="1" customHeight="1" outlineLevel="1" x14ac:dyDescent="0.25">
      <c r="C1867" s="207"/>
      <c r="D1867" s="196">
        <v>42375</v>
      </c>
      <c r="E1867" s="101" t="s">
        <v>13</v>
      </c>
      <c r="F1867" s="216" t="s">
        <v>50</v>
      </c>
      <c r="G1867" s="3" t="s">
        <v>56</v>
      </c>
      <c r="H1867" s="3" t="s">
        <v>56</v>
      </c>
      <c r="M1867" s="151" t="str">
        <f t="shared" si="91"/>
        <v/>
      </c>
      <c r="N1867" s="151" t="str">
        <f t="shared" si="92"/>
        <v>/</v>
      </c>
      <c r="Q1867" s="239" t="str">
        <f t="shared" ca="1" si="90"/>
        <v/>
      </c>
    </row>
    <row r="1868" spans="3:17" ht="15.75" hidden="1" customHeight="1" outlineLevel="1" x14ac:dyDescent="0.25">
      <c r="C1868" s="207"/>
      <c r="D1868" s="196">
        <v>42376</v>
      </c>
      <c r="E1868" s="101" t="s">
        <v>28</v>
      </c>
      <c r="F1868" s="216" t="s">
        <v>49</v>
      </c>
      <c r="G1868" s="3" t="s">
        <v>56</v>
      </c>
      <c r="H1868" s="3" t="s">
        <v>56</v>
      </c>
      <c r="M1868" s="151" t="str">
        <f t="shared" si="91"/>
        <v>/</v>
      </c>
      <c r="N1868" s="151" t="str">
        <f t="shared" si="92"/>
        <v/>
      </c>
      <c r="Q1868" s="239" t="str">
        <f t="shared" ca="1" si="90"/>
        <v/>
      </c>
    </row>
    <row r="1869" spans="3:17" ht="15.75" hidden="1" customHeight="1" outlineLevel="1" x14ac:dyDescent="0.25">
      <c r="C1869" s="207"/>
      <c r="D1869" s="196">
        <v>42378</v>
      </c>
      <c r="E1869" s="101" t="s">
        <v>645</v>
      </c>
      <c r="F1869" s="216" t="s">
        <v>49</v>
      </c>
      <c r="G1869" s="3" t="s">
        <v>56</v>
      </c>
      <c r="H1869" s="3" t="s">
        <v>56</v>
      </c>
      <c r="M1869" s="151" t="str">
        <f t="shared" si="91"/>
        <v>/</v>
      </c>
      <c r="N1869" s="151" t="str">
        <f t="shared" si="92"/>
        <v/>
      </c>
      <c r="Q1869" s="239" t="str">
        <f t="shared" ca="1" si="90"/>
        <v/>
      </c>
    </row>
    <row r="1870" spans="3:17" ht="15.75" hidden="1" customHeight="1" outlineLevel="1" x14ac:dyDescent="0.25">
      <c r="C1870" s="207"/>
      <c r="D1870" s="196">
        <v>42380</v>
      </c>
      <c r="E1870" s="101" t="s">
        <v>17</v>
      </c>
      <c r="F1870" s="216" t="s">
        <v>49</v>
      </c>
      <c r="G1870" s="3" t="s">
        <v>56</v>
      </c>
      <c r="H1870" s="3" t="s">
        <v>56</v>
      </c>
      <c r="M1870" s="151" t="str">
        <f t="shared" si="91"/>
        <v>/</v>
      </c>
      <c r="N1870" s="151" t="str">
        <f t="shared" si="92"/>
        <v/>
      </c>
      <c r="Q1870" s="239" t="str">
        <f t="shared" ca="1" si="90"/>
        <v/>
      </c>
    </row>
    <row r="1871" spans="3:17" ht="15.75" hidden="1" customHeight="1" outlineLevel="1" x14ac:dyDescent="0.25">
      <c r="C1871" s="207"/>
      <c r="D1871" s="196">
        <v>42382</v>
      </c>
      <c r="E1871" s="101" t="s">
        <v>23</v>
      </c>
      <c r="F1871" s="216" t="s">
        <v>49</v>
      </c>
      <c r="G1871" s="3" t="s">
        <v>56</v>
      </c>
      <c r="H1871" s="3" t="s">
        <v>56</v>
      </c>
      <c r="M1871" s="151" t="str">
        <f t="shared" si="91"/>
        <v>/</v>
      </c>
      <c r="N1871" s="151" t="str">
        <f t="shared" si="92"/>
        <v/>
      </c>
      <c r="Q1871" s="239" t="str">
        <f t="shared" ca="1" si="90"/>
        <v/>
      </c>
    </row>
    <row r="1872" spans="3:17" ht="15.75" hidden="1" customHeight="1" outlineLevel="1" x14ac:dyDescent="0.25">
      <c r="C1872" s="207"/>
      <c r="D1872" s="196">
        <v>42384</v>
      </c>
      <c r="E1872" s="101" t="s">
        <v>645</v>
      </c>
      <c r="F1872" s="216" t="s">
        <v>50</v>
      </c>
      <c r="G1872" s="3" t="s">
        <v>56</v>
      </c>
      <c r="H1872" s="3" t="s">
        <v>56</v>
      </c>
      <c r="M1872" s="151" t="str">
        <f t="shared" si="91"/>
        <v/>
      </c>
      <c r="N1872" s="151" t="str">
        <f t="shared" si="92"/>
        <v>/</v>
      </c>
      <c r="Q1872" s="239" t="str">
        <f t="shared" ca="1" si="90"/>
        <v/>
      </c>
    </row>
    <row r="1873" spans="3:17" ht="15.75" hidden="1" customHeight="1" outlineLevel="1" x14ac:dyDescent="0.25">
      <c r="C1873" s="207"/>
      <c r="D1873" s="196">
        <v>42386</v>
      </c>
      <c r="E1873" s="101" t="s">
        <v>46</v>
      </c>
      <c r="F1873" s="216" t="s">
        <v>50</v>
      </c>
      <c r="G1873" s="3" t="s">
        <v>56</v>
      </c>
      <c r="H1873" s="3" t="s">
        <v>56</v>
      </c>
      <c r="M1873" s="151" t="str">
        <f t="shared" si="91"/>
        <v/>
      </c>
      <c r="N1873" s="151" t="str">
        <f t="shared" si="92"/>
        <v>/</v>
      </c>
      <c r="Q1873" s="239" t="str">
        <f t="shared" ca="1" si="90"/>
        <v/>
      </c>
    </row>
    <row r="1874" spans="3:17" ht="15.75" hidden="1" customHeight="1" outlineLevel="1" x14ac:dyDescent="0.25">
      <c r="C1874" s="207"/>
      <c r="D1874" s="196">
        <v>42388</v>
      </c>
      <c r="E1874" s="101" t="s">
        <v>18</v>
      </c>
      <c r="F1874" s="216" t="s">
        <v>50</v>
      </c>
      <c r="G1874" s="3" t="s">
        <v>56</v>
      </c>
      <c r="H1874" s="3" t="s">
        <v>56</v>
      </c>
      <c r="M1874" s="151" t="str">
        <f t="shared" si="91"/>
        <v/>
      </c>
      <c r="N1874" s="151" t="str">
        <f t="shared" si="92"/>
        <v>/</v>
      </c>
      <c r="Q1874" s="239" t="str">
        <f t="shared" ca="1" si="90"/>
        <v/>
      </c>
    </row>
    <row r="1875" spans="3:17" ht="15.75" hidden="1" customHeight="1" outlineLevel="1" x14ac:dyDescent="0.25">
      <c r="C1875" s="207"/>
      <c r="D1875" s="196">
        <v>42391</v>
      </c>
      <c r="E1875" s="101" t="s">
        <v>15</v>
      </c>
      <c r="F1875" s="216" t="s">
        <v>49</v>
      </c>
      <c r="G1875" s="3" t="s">
        <v>56</v>
      </c>
      <c r="H1875" s="3" t="s">
        <v>56</v>
      </c>
      <c r="M1875" s="151" t="str">
        <f t="shared" si="91"/>
        <v>/</v>
      </c>
      <c r="N1875" s="151" t="str">
        <f t="shared" si="92"/>
        <v/>
      </c>
      <c r="Q1875" s="239" t="str">
        <f t="shared" ca="1" si="90"/>
        <v/>
      </c>
    </row>
    <row r="1876" spans="3:17" ht="15.75" hidden="1" customHeight="1" outlineLevel="1" x14ac:dyDescent="0.25">
      <c r="C1876" s="207"/>
      <c r="D1876" s="196">
        <v>42393</v>
      </c>
      <c r="E1876" s="101" t="s">
        <v>25</v>
      </c>
      <c r="F1876" s="216" t="s">
        <v>50</v>
      </c>
      <c r="G1876" s="3" t="s">
        <v>56</v>
      </c>
      <c r="H1876" s="3" t="s">
        <v>56</v>
      </c>
      <c r="M1876" s="151" t="str">
        <f t="shared" si="91"/>
        <v/>
      </c>
      <c r="N1876" s="151" t="str">
        <f t="shared" si="92"/>
        <v>/</v>
      </c>
      <c r="Q1876" s="239" t="str">
        <f t="shared" ca="1" si="90"/>
        <v/>
      </c>
    </row>
    <row r="1877" spans="3:17" ht="15.75" hidden="1" customHeight="1" outlineLevel="1" x14ac:dyDescent="0.25">
      <c r="C1877" s="207"/>
      <c r="D1877" s="196">
        <v>42395</v>
      </c>
      <c r="E1877" s="101" t="s">
        <v>7</v>
      </c>
      <c r="F1877" s="216" t="s">
        <v>49</v>
      </c>
      <c r="G1877" s="3" t="s">
        <v>56</v>
      </c>
      <c r="H1877" s="3" t="s">
        <v>56</v>
      </c>
      <c r="M1877" s="151" t="str">
        <f t="shared" si="91"/>
        <v>/</v>
      </c>
      <c r="N1877" s="151" t="str">
        <f t="shared" si="92"/>
        <v/>
      </c>
      <c r="Q1877" s="239" t="str">
        <f t="shared" ca="1" si="90"/>
        <v/>
      </c>
    </row>
    <row r="1878" spans="3:17" ht="15.75" hidden="1" customHeight="1" outlineLevel="1" x14ac:dyDescent="0.25">
      <c r="C1878" s="207"/>
      <c r="D1878" s="196">
        <v>42397</v>
      </c>
      <c r="E1878" s="101" t="s">
        <v>45</v>
      </c>
      <c r="F1878" s="216" t="s">
        <v>49</v>
      </c>
      <c r="G1878" s="3" t="s">
        <v>56</v>
      </c>
      <c r="H1878" s="3" t="s">
        <v>56</v>
      </c>
      <c r="M1878" s="151" t="str">
        <f t="shared" si="91"/>
        <v>/</v>
      </c>
      <c r="N1878" s="151" t="str">
        <f t="shared" si="92"/>
        <v/>
      </c>
      <c r="Q1878" s="239" t="str">
        <f t="shared" ca="1" si="90"/>
        <v/>
      </c>
    </row>
    <row r="1879" spans="3:17" ht="15.75" hidden="1" customHeight="1" outlineLevel="1" x14ac:dyDescent="0.25">
      <c r="C1879" s="207"/>
      <c r="D1879" s="196">
        <v>42399</v>
      </c>
      <c r="E1879" s="101" t="s">
        <v>10</v>
      </c>
      <c r="F1879" s="216" t="s">
        <v>49</v>
      </c>
      <c r="G1879" s="3" t="s">
        <v>56</v>
      </c>
      <c r="H1879" s="3" t="s">
        <v>56</v>
      </c>
      <c r="M1879" s="151" t="str">
        <f t="shared" si="91"/>
        <v>/</v>
      </c>
      <c r="N1879" s="151" t="str">
        <f t="shared" si="92"/>
        <v/>
      </c>
      <c r="Q1879" s="239" t="str">
        <f t="shared" ca="1" si="90"/>
        <v/>
      </c>
    </row>
    <row r="1880" spans="3:17" ht="15.75" hidden="1" customHeight="1" outlineLevel="1" x14ac:dyDescent="0.25">
      <c r="C1880" s="208"/>
      <c r="D1880" s="196">
        <v>42401</v>
      </c>
      <c r="E1880" s="101" t="s">
        <v>4</v>
      </c>
      <c r="F1880" s="216" t="s">
        <v>50</v>
      </c>
      <c r="G1880" s="3" t="s">
        <v>56</v>
      </c>
      <c r="H1880" s="3" t="s">
        <v>56</v>
      </c>
      <c r="M1880" s="151" t="str">
        <f t="shared" si="91"/>
        <v/>
      </c>
      <c r="N1880" s="151" t="str">
        <f t="shared" si="92"/>
        <v>/</v>
      </c>
      <c r="Q1880" s="239" t="str">
        <f t="shared" ca="1" si="90"/>
        <v/>
      </c>
    </row>
    <row r="1881" spans="3:17" ht="15.75" hidden="1" customHeight="1" outlineLevel="1" x14ac:dyDescent="0.25">
      <c r="C1881" s="208"/>
      <c r="D1881" s="196">
        <v>42403</v>
      </c>
      <c r="E1881" s="101" t="s">
        <v>5</v>
      </c>
      <c r="F1881" s="216" t="s">
        <v>50</v>
      </c>
      <c r="G1881" s="3" t="s">
        <v>56</v>
      </c>
      <c r="H1881" s="3" t="s">
        <v>56</v>
      </c>
      <c r="M1881" s="151" t="str">
        <f t="shared" si="91"/>
        <v/>
      </c>
      <c r="N1881" s="151" t="str">
        <f t="shared" si="92"/>
        <v>/</v>
      </c>
      <c r="Q1881" s="239" t="str">
        <f t="shared" ca="1" si="90"/>
        <v/>
      </c>
    </row>
    <row r="1882" spans="3:17" ht="15.75" hidden="1" customHeight="1" outlineLevel="1" x14ac:dyDescent="0.25">
      <c r="C1882" s="208"/>
      <c r="D1882" s="196">
        <v>42404</v>
      </c>
      <c r="E1882" s="101" t="s">
        <v>20</v>
      </c>
      <c r="F1882" s="216" t="s">
        <v>49</v>
      </c>
      <c r="G1882" s="3" t="s">
        <v>56</v>
      </c>
      <c r="H1882" s="3" t="s">
        <v>56</v>
      </c>
      <c r="M1882" s="151" t="str">
        <f t="shared" si="91"/>
        <v>/</v>
      </c>
      <c r="N1882" s="151" t="str">
        <f t="shared" si="92"/>
        <v/>
      </c>
      <c r="Q1882" s="239" t="str">
        <f t="shared" ca="1" si="90"/>
        <v/>
      </c>
    </row>
    <row r="1883" spans="3:17" ht="15.75" hidden="1" customHeight="1" outlineLevel="1" x14ac:dyDescent="0.25">
      <c r="C1883" s="208"/>
      <c r="D1883" s="196">
        <v>42406</v>
      </c>
      <c r="E1883" s="101" t="s">
        <v>6</v>
      </c>
      <c r="F1883" s="216" t="s">
        <v>49</v>
      </c>
      <c r="G1883" s="3" t="s">
        <v>56</v>
      </c>
      <c r="H1883" s="3" t="s">
        <v>56</v>
      </c>
      <c r="M1883" s="151" t="str">
        <f t="shared" si="91"/>
        <v>/</v>
      </c>
      <c r="N1883" s="151" t="str">
        <f t="shared" si="92"/>
        <v/>
      </c>
      <c r="Q1883" s="239" t="str">
        <f t="shared" ca="1" si="90"/>
        <v/>
      </c>
    </row>
    <row r="1884" spans="3:17" ht="15.75" hidden="1" customHeight="1" outlineLevel="1" x14ac:dyDescent="0.25">
      <c r="C1884" s="208"/>
      <c r="D1884" s="196">
        <v>42408</v>
      </c>
      <c r="E1884" s="101" t="s">
        <v>12</v>
      </c>
      <c r="F1884" s="216" t="s">
        <v>49</v>
      </c>
      <c r="G1884" s="3" t="s">
        <v>56</v>
      </c>
      <c r="H1884" s="3" t="s">
        <v>56</v>
      </c>
      <c r="M1884" s="151" t="str">
        <f t="shared" si="91"/>
        <v>/</v>
      </c>
      <c r="N1884" s="151" t="str">
        <f t="shared" si="92"/>
        <v/>
      </c>
      <c r="Q1884" s="239" t="str">
        <f t="shared" ca="1" si="90"/>
        <v/>
      </c>
    </row>
    <row r="1885" spans="3:17" ht="15.75" hidden="1" customHeight="1" outlineLevel="1" x14ac:dyDescent="0.25">
      <c r="C1885" s="208"/>
      <c r="D1885" s="196">
        <v>42410</v>
      </c>
      <c r="E1885" s="101" t="s">
        <v>22</v>
      </c>
      <c r="F1885" s="216" t="s">
        <v>49</v>
      </c>
      <c r="G1885" s="3" t="s">
        <v>56</v>
      </c>
      <c r="H1885" s="3" t="s">
        <v>56</v>
      </c>
      <c r="M1885" s="151" t="str">
        <f t="shared" si="91"/>
        <v>/</v>
      </c>
      <c r="N1885" s="151" t="str">
        <f t="shared" si="92"/>
        <v/>
      </c>
      <c r="Q1885" s="239" t="str">
        <f t="shared" ca="1" si="90"/>
        <v/>
      </c>
    </row>
    <row r="1886" spans="3:17" ht="15.75" hidden="1" customHeight="1" outlineLevel="1" x14ac:dyDescent="0.25">
      <c r="C1886" s="208"/>
      <c r="D1886" s="196">
        <v>42412</v>
      </c>
      <c r="E1886" s="101" t="s">
        <v>2</v>
      </c>
      <c r="F1886" s="216" t="s">
        <v>49</v>
      </c>
      <c r="G1886" s="3" t="s">
        <v>56</v>
      </c>
      <c r="H1886" s="3" t="s">
        <v>56</v>
      </c>
      <c r="M1886" s="151" t="str">
        <f t="shared" si="91"/>
        <v>/</v>
      </c>
      <c r="N1886" s="151" t="str">
        <f t="shared" si="92"/>
        <v/>
      </c>
      <c r="Q1886" s="239" t="str">
        <f t="shared" ca="1" si="90"/>
        <v/>
      </c>
    </row>
    <row r="1887" spans="3:17" ht="15.75" hidden="1" customHeight="1" outlineLevel="1" x14ac:dyDescent="0.25">
      <c r="C1887" s="208"/>
      <c r="D1887" s="196">
        <v>42414</v>
      </c>
      <c r="E1887" s="101" t="s">
        <v>4</v>
      </c>
      <c r="F1887" s="216" t="s">
        <v>49</v>
      </c>
      <c r="G1887" s="3" t="s">
        <v>56</v>
      </c>
      <c r="H1887" s="3" t="s">
        <v>56</v>
      </c>
      <c r="M1887" s="151" t="str">
        <f t="shared" si="91"/>
        <v>/</v>
      </c>
      <c r="N1887" s="151" t="str">
        <f t="shared" si="92"/>
        <v/>
      </c>
      <c r="Q1887" s="239" t="str">
        <f t="shared" ca="1" si="90"/>
        <v/>
      </c>
    </row>
    <row r="1888" spans="3:17" ht="15.75" hidden="1" customHeight="1" outlineLevel="1" x14ac:dyDescent="0.25">
      <c r="C1888" s="208"/>
      <c r="D1888" s="196">
        <v>42415</v>
      </c>
      <c r="E1888" s="101" t="s">
        <v>15</v>
      </c>
      <c r="F1888" s="216" t="s">
        <v>50</v>
      </c>
      <c r="G1888" s="3" t="s">
        <v>56</v>
      </c>
      <c r="H1888" s="3" t="s">
        <v>56</v>
      </c>
      <c r="M1888" s="151" t="str">
        <f t="shared" si="91"/>
        <v/>
      </c>
      <c r="N1888" s="151" t="str">
        <f t="shared" si="92"/>
        <v>/</v>
      </c>
      <c r="Q1888" s="239" t="str">
        <f t="shared" ca="1" si="90"/>
        <v/>
      </c>
    </row>
    <row r="1889" spans="3:17" ht="15.75" hidden="1" customHeight="1" outlineLevel="1" x14ac:dyDescent="0.25">
      <c r="C1889" s="208"/>
      <c r="D1889" s="196">
        <v>42424</v>
      </c>
      <c r="E1889" s="101" t="s">
        <v>645</v>
      </c>
      <c r="F1889" s="216" t="s">
        <v>49</v>
      </c>
      <c r="G1889" s="3" t="s">
        <v>56</v>
      </c>
      <c r="H1889" s="3" t="s">
        <v>56</v>
      </c>
      <c r="M1889" s="151" t="str">
        <f t="shared" si="91"/>
        <v>/</v>
      </c>
      <c r="N1889" s="151" t="str">
        <f t="shared" si="92"/>
        <v/>
      </c>
      <c r="Q1889" s="239" t="str">
        <f t="shared" ca="1" si="90"/>
        <v/>
      </c>
    </row>
    <row r="1890" spans="3:17" ht="15.75" hidden="1" customHeight="1" outlineLevel="1" x14ac:dyDescent="0.25">
      <c r="C1890" s="208"/>
      <c r="D1890" s="196">
        <v>42425</v>
      </c>
      <c r="E1890" s="101" t="s">
        <v>17</v>
      </c>
      <c r="F1890" s="216" t="s">
        <v>50</v>
      </c>
      <c r="G1890" s="3" t="s">
        <v>56</v>
      </c>
      <c r="H1890" s="3" t="s">
        <v>56</v>
      </c>
      <c r="M1890" s="151" t="str">
        <f t="shared" si="91"/>
        <v/>
      </c>
      <c r="N1890" s="151" t="str">
        <f t="shared" si="92"/>
        <v>/</v>
      </c>
      <c r="Q1890" s="239" t="str">
        <f t="shared" ca="1" si="90"/>
        <v/>
      </c>
    </row>
    <row r="1891" spans="3:17" ht="15.75" hidden="1" customHeight="1" outlineLevel="1" x14ac:dyDescent="0.25">
      <c r="C1891" s="208"/>
      <c r="D1891" s="196">
        <v>42427</v>
      </c>
      <c r="E1891" s="101" t="s">
        <v>26</v>
      </c>
      <c r="F1891" s="216" t="s">
        <v>50</v>
      </c>
      <c r="G1891" s="3" t="s">
        <v>56</v>
      </c>
      <c r="H1891" s="3" t="s">
        <v>56</v>
      </c>
      <c r="M1891" s="151" t="str">
        <f t="shared" si="91"/>
        <v/>
      </c>
      <c r="N1891" s="151" t="str">
        <f t="shared" si="92"/>
        <v>/</v>
      </c>
      <c r="Q1891" s="239" t="str">
        <f t="shared" ca="1" si="90"/>
        <v/>
      </c>
    </row>
    <row r="1892" spans="3:17" ht="15.75" hidden="1" customHeight="1" outlineLevel="1" x14ac:dyDescent="0.25">
      <c r="C1892" s="207"/>
      <c r="D1892" s="196">
        <v>42430</v>
      </c>
      <c r="E1892" s="101" t="s">
        <v>28</v>
      </c>
      <c r="F1892" s="216" t="s">
        <v>50</v>
      </c>
      <c r="G1892" s="3" t="s">
        <v>56</v>
      </c>
      <c r="H1892" s="3" t="s">
        <v>56</v>
      </c>
      <c r="M1892" s="151" t="str">
        <f t="shared" si="91"/>
        <v/>
      </c>
      <c r="N1892" s="151" t="str">
        <f t="shared" si="92"/>
        <v>/</v>
      </c>
      <c r="Q1892" s="239" t="str">
        <f t="shared" ca="1" si="90"/>
        <v/>
      </c>
    </row>
    <row r="1893" spans="3:17" ht="15.75" hidden="1" customHeight="1" outlineLevel="1" x14ac:dyDescent="0.25">
      <c r="C1893" s="207"/>
      <c r="D1893" s="196">
        <v>42433</v>
      </c>
      <c r="E1893" s="101" t="s">
        <v>46</v>
      </c>
      <c r="F1893" s="216" t="s">
        <v>50</v>
      </c>
      <c r="G1893" s="3" t="s">
        <v>56</v>
      </c>
      <c r="H1893" s="3" t="s">
        <v>56</v>
      </c>
      <c r="M1893" s="151" t="str">
        <f t="shared" si="91"/>
        <v/>
      </c>
      <c r="N1893" s="151" t="str">
        <f t="shared" si="92"/>
        <v>/</v>
      </c>
      <c r="Q1893" s="239" t="str">
        <f t="shared" ca="1" si="90"/>
        <v/>
      </c>
    </row>
    <row r="1894" spans="3:17" ht="15.75" hidden="1" customHeight="1" outlineLevel="1" x14ac:dyDescent="0.25">
      <c r="C1894" s="207"/>
      <c r="D1894" s="196">
        <v>42435</v>
      </c>
      <c r="E1894" s="101" t="s">
        <v>24</v>
      </c>
      <c r="F1894" s="216" t="s">
        <v>49</v>
      </c>
      <c r="G1894" s="3" t="s">
        <v>56</v>
      </c>
      <c r="H1894" s="3" t="s">
        <v>56</v>
      </c>
      <c r="M1894" s="151" t="str">
        <f t="shared" si="91"/>
        <v>/</v>
      </c>
      <c r="N1894" s="151" t="str">
        <f t="shared" si="92"/>
        <v/>
      </c>
      <c r="Q1894" s="239" t="str">
        <f t="shared" ca="1" si="90"/>
        <v/>
      </c>
    </row>
    <row r="1895" spans="3:17" ht="15.75" hidden="1" customHeight="1" outlineLevel="1" x14ac:dyDescent="0.25">
      <c r="C1895" s="207"/>
      <c r="D1895" s="196">
        <v>42437</v>
      </c>
      <c r="E1895" s="101" t="s">
        <v>18</v>
      </c>
      <c r="F1895" s="216" t="s">
        <v>49</v>
      </c>
      <c r="G1895" s="3" t="s">
        <v>56</v>
      </c>
      <c r="H1895" s="3" t="s">
        <v>56</v>
      </c>
      <c r="M1895" s="151" t="str">
        <f t="shared" si="91"/>
        <v>/</v>
      </c>
      <c r="N1895" s="151" t="str">
        <f t="shared" si="92"/>
        <v/>
      </c>
      <c r="Q1895" s="239" t="str">
        <f t="shared" ca="1" si="90"/>
        <v/>
      </c>
    </row>
    <row r="1896" spans="3:17" ht="15.75" hidden="1" customHeight="1" outlineLevel="1" x14ac:dyDescent="0.25">
      <c r="C1896" s="207"/>
      <c r="D1896" s="196">
        <v>42439</v>
      </c>
      <c r="E1896" s="101" t="s">
        <v>16</v>
      </c>
      <c r="F1896" s="216" t="s">
        <v>49</v>
      </c>
      <c r="G1896" s="3" t="s">
        <v>56</v>
      </c>
      <c r="H1896" s="3" t="s">
        <v>56</v>
      </c>
      <c r="M1896" s="151" t="str">
        <f t="shared" si="91"/>
        <v>/</v>
      </c>
      <c r="N1896" s="151" t="str">
        <f t="shared" si="92"/>
        <v/>
      </c>
      <c r="Q1896" s="239" t="str">
        <f t="shared" ca="1" si="90"/>
        <v/>
      </c>
    </row>
    <row r="1897" spans="3:17" ht="15.75" hidden="1" customHeight="1" outlineLevel="1" x14ac:dyDescent="0.25">
      <c r="C1897" s="207"/>
      <c r="D1897" s="196">
        <v>42440</v>
      </c>
      <c r="E1897" s="101" t="s">
        <v>8</v>
      </c>
      <c r="F1897" s="216" t="s">
        <v>50</v>
      </c>
      <c r="G1897" s="3" t="s">
        <v>56</v>
      </c>
      <c r="H1897" s="3" t="s">
        <v>56</v>
      </c>
      <c r="M1897" s="151" t="str">
        <f t="shared" si="91"/>
        <v/>
      </c>
      <c r="N1897" s="151" t="str">
        <f t="shared" si="92"/>
        <v>/</v>
      </c>
      <c r="Q1897" s="239" t="str">
        <f t="shared" ca="1" si="90"/>
        <v/>
      </c>
    </row>
    <row r="1898" spans="3:17" ht="15.75" hidden="1" customHeight="1" outlineLevel="1" x14ac:dyDescent="0.25">
      <c r="C1898" s="207"/>
      <c r="D1898" s="196">
        <v>42442</v>
      </c>
      <c r="E1898" s="101" t="s">
        <v>13</v>
      </c>
      <c r="F1898" s="216" t="s">
        <v>49</v>
      </c>
      <c r="G1898" s="3" t="s">
        <v>56</v>
      </c>
      <c r="H1898" s="3" t="s">
        <v>56</v>
      </c>
      <c r="M1898" s="151" t="str">
        <f t="shared" si="91"/>
        <v>/</v>
      </c>
      <c r="N1898" s="151" t="str">
        <f t="shared" si="92"/>
        <v/>
      </c>
      <c r="Q1898" s="239" t="str">
        <f t="shared" ca="1" si="90"/>
        <v/>
      </c>
    </row>
    <row r="1899" spans="3:17" ht="15.75" hidden="1" customHeight="1" outlineLevel="1" x14ac:dyDescent="0.25">
      <c r="C1899" s="207"/>
      <c r="D1899" s="196">
        <v>42444</v>
      </c>
      <c r="E1899" s="101" t="s">
        <v>1</v>
      </c>
      <c r="F1899" s="216" t="s">
        <v>50</v>
      </c>
      <c r="G1899" s="3" t="s">
        <v>56</v>
      </c>
      <c r="H1899" s="3" t="s">
        <v>56</v>
      </c>
      <c r="M1899" s="151" t="str">
        <f t="shared" si="91"/>
        <v/>
      </c>
      <c r="N1899" s="151" t="str">
        <f t="shared" si="92"/>
        <v>/</v>
      </c>
      <c r="Q1899" s="239" t="str">
        <f t="shared" ref="Q1899:Q1962" ca="1" si="93">IF(D1899=TODAY(),1,"")</f>
        <v/>
      </c>
    </row>
    <row r="1900" spans="3:17" ht="15.75" hidden="1" customHeight="1" outlineLevel="1" x14ac:dyDescent="0.25">
      <c r="C1900" s="207"/>
      <c r="D1900" s="196">
        <v>42446</v>
      </c>
      <c r="E1900" s="101" t="s">
        <v>6</v>
      </c>
      <c r="F1900" s="216" t="s">
        <v>50</v>
      </c>
      <c r="G1900" s="3" t="s">
        <v>56</v>
      </c>
      <c r="H1900" s="3" t="s">
        <v>56</v>
      </c>
      <c r="M1900" s="151" t="str">
        <f t="shared" si="91"/>
        <v/>
      </c>
      <c r="N1900" s="151" t="str">
        <f t="shared" si="92"/>
        <v>/</v>
      </c>
      <c r="Q1900" s="239" t="str">
        <f t="shared" ca="1" si="93"/>
        <v/>
      </c>
    </row>
    <row r="1901" spans="3:17" ht="15.75" hidden="1" customHeight="1" outlineLevel="1" x14ac:dyDescent="0.25">
      <c r="C1901" s="207"/>
      <c r="D1901" s="196">
        <v>42448</v>
      </c>
      <c r="E1901" s="101" t="s">
        <v>22</v>
      </c>
      <c r="F1901" s="216" t="s">
        <v>50</v>
      </c>
      <c r="G1901" s="3" t="s">
        <v>56</v>
      </c>
      <c r="H1901" s="3" t="s">
        <v>56</v>
      </c>
      <c r="M1901" s="151" t="str">
        <f t="shared" si="91"/>
        <v/>
      </c>
      <c r="N1901" s="151" t="str">
        <f t="shared" si="92"/>
        <v>/</v>
      </c>
      <c r="Q1901" s="239" t="str">
        <f t="shared" ca="1" si="93"/>
        <v/>
      </c>
    </row>
    <row r="1902" spans="3:17" ht="15.75" hidden="1" customHeight="1" outlineLevel="1" x14ac:dyDescent="0.25">
      <c r="C1902" s="207"/>
      <c r="D1902" s="196">
        <v>42450</v>
      </c>
      <c r="E1902" s="101" t="s">
        <v>46</v>
      </c>
      <c r="F1902" s="216" t="s">
        <v>49</v>
      </c>
      <c r="G1902" s="3" t="s">
        <v>56</v>
      </c>
      <c r="H1902" s="3" t="s">
        <v>56</v>
      </c>
      <c r="M1902" s="151" t="str">
        <f t="shared" si="91"/>
        <v>/</v>
      </c>
      <c r="N1902" s="151" t="str">
        <f t="shared" si="92"/>
        <v/>
      </c>
      <c r="Q1902" s="239" t="str">
        <f t="shared" ca="1" si="93"/>
        <v/>
      </c>
    </row>
    <row r="1903" spans="3:17" ht="15.75" hidden="1" customHeight="1" outlineLevel="1" x14ac:dyDescent="0.25">
      <c r="C1903" s="207"/>
      <c r="D1903" s="196">
        <v>42453</v>
      </c>
      <c r="E1903" s="101" t="s">
        <v>644</v>
      </c>
      <c r="F1903" s="216" t="s">
        <v>50</v>
      </c>
      <c r="G1903" s="3" t="s">
        <v>56</v>
      </c>
      <c r="H1903" s="3" t="s">
        <v>56</v>
      </c>
      <c r="M1903" s="151" t="str">
        <f t="shared" si="91"/>
        <v/>
      </c>
      <c r="N1903" s="151" t="str">
        <f t="shared" si="92"/>
        <v>/</v>
      </c>
      <c r="Q1903" s="239" t="str">
        <f t="shared" ca="1" si="93"/>
        <v/>
      </c>
    </row>
    <row r="1904" spans="3:17" ht="15.75" hidden="1" customHeight="1" outlineLevel="1" x14ac:dyDescent="0.25">
      <c r="C1904" s="207"/>
      <c r="D1904" s="196">
        <v>42454</v>
      </c>
      <c r="E1904" s="101" t="s">
        <v>24</v>
      </c>
      <c r="F1904" s="216" t="s">
        <v>50</v>
      </c>
      <c r="G1904" s="3" t="s">
        <v>56</v>
      </c>
      <c r="H1904" s="3" t="s">
        <v>56</v>
      </c>
      <c r="M1904" s="151" t="str">
        <f t="shared" si="91"/>
        <v/>
      </c>
      <c r="N1904" s="151" t="str">
        <f t="shared" si="92"/>
        <v>/</v>
      </c>
      <c r="Q1904" s="239" t="str">
        <f t="shared" ca="1" si="93"/>
        <v/>
      </c>
    </row>
    <row r="1905" spans="2:17" ht="15.75" hidden="1" customHeight="1" outlineLevel="1" x14ac:dyDescent="0.25">
      <c r="C1905" s="207"/>
      <c r="D1905" s="196">
        <v>42457</v>
      </c>
      <c r="E1905" s="101" t="s">
        <v>7</v>
      </c>
      <c r="F1905" s="216" t="s">
        <v>50</v>
      </c>
      <c r="G1905" s="3" t="s">
        <v>56</v>
      </c>
      <c r="H1905" s="3" t="s">
        <v>56</v>
      </c>
      <c r="M1905" s="151" t="str">
        <f t="shared" si="91"/>
        <v/>
      </c>
      <c r="N1905" s="151" t="str">
        <f t="shared" si="92"/>
        <v>/</v>
      </c>
      <c r="Q1905" s="239" t="str">
        <f t="shared" ca="1" si="93"/>
        <v/>
      </c>
    </row>
    <row r="1906" spans="2:17" ht="15.75" hidden="1" customHeight="1" outlineLevel="1" x14ac:dyDescent="0.25">
      <c r="C1906" s="207"/>
      <c r="D1906" s="196">
        <v>42459</v>
      </c>
      <c r="E1906" s="101" t="s">
        <v>644</v>
      </c>
      <c r="F1906" s="216" t="s">
        <v>49</v>
      </c>
      <c r="G1906" s="3" t="s">
        <v>56</v>
      </c>
      <c r="H1906" s="3" t="s">
        <v>56</v>
      </c>
      <c r="M1906" s="151" t="str">
        <f t="shared" si="91"/>
        <v>/</v>
      </c>
      <c r="N1906" s="151" t="str">
        <f t="shared" si="92"/>
        <v/>
      </c>
      <c r="Q1906" s="239" t="str">
        <f t="shared" ca="1" si="93"/>
        <v/>
      </c>
    </row>
    <row r="1907" spans="2:17" ht="15.75" hidden="1" customHeight="1" outlineLevel="1" x14ac:dyDescent="0.25">
      <c r="C1907" s="208"/>
      <c r="D1907" s="196">
        <v>42461</v>
      </c>
      <c r="E1907" s="101" t="s">
        <v>26</v>
      </c>
      <c r="F1907" s="216" t="s">
        <v>49</v>
      </c>
      <c r="G1907" s="3" t="s">
        <v>56</v>
      </c>
      <c r="H1907" s="3" t="s">
        <v>56</v>
      </c>
      <c r="M1907" s="151" t="str">
        <f t="shared" si="91"/>
        <v>/</v>
      </c>
      <c r="N1907" s="151" t="str">
        <f t="shared" si="92"/>
        <v/>
      </c>
      <c r="Q1907" s="239" t="str">
        <f t="shared" ca="1" si="93"/>
        <v/>
      </c>
    </row>
    <row r="1908" spans="2:17" ht="15.75" hidden="1" customHeight="1" outlineLevel="1" x14ac:dyDescent="0.25">
      <c r="C1908" s="208"/>
      <c r="D1908" s="196">
        <v>42464</v>
      </c>
      <c r="E1908" s="101" t="s">
        <v>16</v>
      </c>
      <c r="F1908" s="216" t="s">
        <v>50</v>
      </c>
      <c r="G1908" s="3" t="s">
        <v>56</v>
      </c>
      <c r="H1908" s="3" t="s">
        <v>56</v>
      </c>
      <c r="M1908" s="151" t="str">
        <f t="shared" si="91"/>
        <v/>
      </c>
      <c r="N1908" s="151" t="str">
        <f t="shared" si="92"/>
        <v>/</v>
      </c>
      <c r="Q1908" s="239" t="str">
        <f t="shared" ca="1" si="93"/>
        <v/>
      </c>
    </row>
    <row r="1909" spans="2:17" ht="15.75" hidden="1" customHeight="1" outlineLevel="1" x14ac:dyDescent="0.25">
      <c r="C1909" s="208"/>
      <c r="D1909" s="196">
        <v>42466</v>
      </c>
      <c r="E1909" s="101" t="s">
        <v>24</v>
      </c>
      <c r="F1909" s="216" t="s">
        <v>50</v>
      </c>
      <c r="G1909" s="3" t="s">
        <v>56</v>
      </c>
      <c r="H1909" s="3" t="s">
        <v>56</v>
      </c>
      <c r="M1909" s="151" t="str">
        <f t="shared" si="91"/>
        <v/>
      </c>
      <c r="N1909" s="151" t="str">
        <f t="shared" si="92"/>
        <v>/</v>
      </c>
      <c r="Q1909" s="239" t="str">
        <f t="shared" ca="1" si="93"/>
        <v/>
      </c>
    </row>
    <row r="1910" spans="2:17" ht="15.75" hidden="1" customHeight="1" outlineLevel="1" x14ac:dyDescent="0.25">
      <c r="C1910" s="208"/>
      <c r="D1910" s="196">
        <v>42467</v>
      </c>
      <c r="E1910" s="101" t="s">
        <v>28</v>
      </c>
      <c r="F1910" s="216" t="s">
        <v>50</v>
      </c>
      <c r="G1910" s="3" t="s">
        <v>56</v>
      </c>
      <c r="H1910" s="3" t="s">
        <v>56</v>
      </c>
      <c r="M1910" s="151" t="str">
        <f t="shared" si="91"/>
        <v/>
      </c>
      <c r="N1910" s="151" t="str">
        <f t="shared" si="92"/>
        <v>/</v>
      </c>
      <c r="Q1910" s="239" t="str">
        <f t="shared" ca="1" si="93"/>
        <v/>
      </c>
    </row>
    <row r="1911" spans="2:17" ht="15.75" hidden="1" customHeight="1" outlineLevel="1" x14ac:dyDescent="0.25">
      <c r="C1911" s="208"/>
      <c r="D1911" s="196">
        <v>42469</v>
      </c>
      <c r="E1911" s="101" t="s">
        <v>644</v>
      </c>
      <c r="F1911" s="216" t="s">
        <v>50</v>
      </c>
      <c r="G1911" s="3" t="s">
        <v>56</v>
      </c>
      <c r="H1911" s="3" t="s">
        <v>56</v>
      </c>
      <c r="M1911" s="151" t="str">
        <f t="shared" si="91"/>
        <v/>
      </c>
      <c r="N1911" s="151" t="str">
        <f t="shared" si="92"/>
        <v>/</v>
      </c>
      <c r="Q1911" s="239" t="str">
        <f t="shared" ca="1" si="93"/>
        <v/>
      </c>
    </row>
    <row r="1912" spans="2:17" ht="15.75" hidden="1" customHeight="1" outlineLevel="1" x14ac:dyDescent="0.25">
      <c r="C1912" s="208"/>
      <c r="D1912" s="196">
        <v>42471</v>
      </c>
      <c r="E1912" s="101" t="s">
        <v>23</v>
      </c>
      <c r="F1912" s="216" t="s">
        <v>49</v>
      </c>
      <c r="G1912" s="3" t="s">
        <v>56</v>
      </c>
      <c r="H1912" s="3" t="s">
        <v>56</v>
      </c>
      <c r="M1912" s="151" t="str">
        <f t="shared" si="91"/>
        <v>/</v>
      </c>
      <c r="N1912" s="151" t="str">
        <f t="shared" si="92"/>
        <v/>
      </c>
      <c r="Q1912" s="239" t="str">
        <f t="shared" ca="1" si="93"/>
        <v/>
      </c>
    </row>
    <row r="1913" spans="2:17" ht="15.75" hidden="1" customHeight="1" outlineLevel="1" x14ac:dyDescent="0.25">
      <c r="C1913" s="208"/>
      <c r="D1913" s="196">
        <v>42472</v>
      </c>
      <c r="E1913" s="102" t="s">
        <v>17</v>
      </c>
      <c r="F1913" s="217" t="s">
        <v>50</v>
      </c>
      <c r="G1913" s="3" t="s">
        <v>56</v>
      </c>
      <c r="H1913" s="3" t="s">
        <v>56</v>
      </c>
      <c r="M1913" s="151" t="str">
        <f t="shared" si="91"/>
        <v/>
      </c>
      <c r="N1913" s="151" t="str">
        <f t="shared" si="92"/>
        <v>/</v>
      </c>
      <c r="Q1913" s="239" t="str">
        <f t="shared" ca="1" si="93"/>
        <v/>
      </c>
    </row>
    <row r="1914" spans="2:17" collapsed="1" x14ac:dyDescent="0.25">
      <c r="B1914" s="404" t="str">
        <f ca="1">"- "&amp;INDEX(E1915:E1996,MATCH(TODAY(),D1915:D1996,0))</f>
        <v>- Golden</v>
      </c>
      <c r="C1914" s="404"/>
      <c r="D1914" s="406" t="s">
        <v>22</v>
      </c>
      <c r="E1914" s="407"/>
      <c r="F1914" s="408"/>
      <c r="H1914" s="3"/>
      <c r="Q1914" s="239" t="str">
        <f t="shared" ca="1" si="93"/>
        <v/>
      </c>
    </row>
    <row r="1915" spans="2:17" ht="16.5" hidden="1" customHeight="1" outlineLevel="1" x14ac:dyDescent="0.25">
      <c r="C1915" s="207"/>
      <c r="D1915" s="196">
        <v>42669</v>
      </c>
      <c r="E1915" s="103" t="s">
        <v>15</v>
      </c>
      <c r="F1915" s="215" t="s">
        <v>49</v>
      </c>
      <c r="G1915" s="3">
        <v>0</v>
      </c>
      <c r="H1915" s="3">
        <v>102</v>
      </c>
      <c r="I1915" s="151">
        <v>16</v>
      </c>
      <c r="J1915" s="151">
        <v>48</v>
      </c>
      <c r="K1915" s="151">
        <v>88</v>
      </c>
      <c r="L1915" s="151">
        <v>41</v>
      </c>
      <c r="M1915" s="151">
        <f t="shared" si="91"/>
        <v>102</v>
      </c>
      <c r="N1915" s="151" t="str">
        <f t="shared" si="92"/>
        <v/>
      </c>
      <c r="O1915" s="151">
        <v>107</v>
      </c>
      <c r="Q1915" s="239" t="str">
        <f t="shared" ca="1" si="93"/>
        <v/>
      </c>
    </row>
    <row r="1916" spans="2:17" ht="15.75" hidden="1" customHeight="1" outlineLevel="1" x14ac:dyDescent="0.25">
      <c r="C1916" s="207"/>
      <c r="D1916" s="196">
        <v>42671</v>
      </c>
      <c r="E1916" s="101" t="s">
        <v>16</v>
      </c>
      <c r="F1916" s="216" t="s">
        <v>49</v>
      </c>
      <c r="G1916" s="3" t="s">
        <v>56</v>
      </c>
      <c r="H1916" s="3" t="s">
        <v>56</v>
      </c>
      <c r="M1916" s="151" t="str">
        <f t="shared" si="91"/>
        <v>/</v>
      </c>
      <c r="N1916" s="151" t="str">
        <f t="shared" si="92"/>
        <v/>
      </c>
      <c r="Q1916" s="239">
        <f t="shared" ca="1" si="93"/>
        <v>1</v>
      </c>
    </row>
    <row r="1917" spans="2:17" ht="15.75" hidden="1" customHeight="1" outlineLevel="1" x14ac:dyDescent="0.25">
      <c r="C1917" s="207"/>
      <c r="D1917" s="196">
        <v>42672</v>
      </c>
      <c r="E1917" s="101" t="s">
        <v>46</v>
      </c>
      <c r="F1917" s="216" t="s">
        <v>50</v>
      </c>
      <c r="G1917" s="3" t="s">
        <v>56</v>
      </c>
      <c r="H1917" s="3" t="s">
        <v>56</v>
      </c>
      <c r="M1917" s="151" t="str">
        <f t="shared" si="91"/>
        <v/>
      </c>
      <c r="N1917" s="151" t="str">
        <f t="shared" si="92"/>
        <v>/</v>
      </c>
      <c r="Q1917" s="239" t="str">
        <f t="shared" ca="1" si="93"/>
        <v/>
      </c>
    </row>
    <row r="1918" spans="2:17" ht="15.75" hidden="1" customHeight="1" outlineLevel="1" x14ac:dyDescent="0.25">
      <c r="C1918" s="207"/>
      <c r="D1918" s="196">
        <v>42675</v>
      </c>
      <c r="E1918" s="101" t="s">
        <v>8</v>
      </c>
      <c r="F1918" s="216" t="s">
        <v>49</v>
      </c>
      <c r="G1918" s="3" t="s">
        <v>56</v>
      </c>
      <c r="H1918" s="3" t="s">
        <v>56</v>
      </c>
      <c r="M1918" s="151" t="str">
        <f t="shared" si="91"/>
        <v>/</v>
      </c>
      <c r="N1918" s="151" t="str">
        <f t="shared" si="92"/>
        <v/>
      </c>
      <c r="Q1918" s="239" t="str">
        <f t="shared" ca="1" si="93"/>
        <v/>
      </c>
    </row>
    <row r="1919" spans="2:17" ht="15.75" hidden="1" customHeight="1" outlineLevel="1" x14ac:dyDescent="0.25">
      <c r="C1919" s="207"/>
      <c r="D1919" s="196">
        <v>42676</v>
      </c>
      <c r="E1919" s="101" t="s">
        <v>20</v>
      </c>
      <c r="F1919" s="216" t="s">
        <v>50</v>
      </c>
      <c r="G1919" s="3" t="s">
        <v>56</v>
      </c>
      <c r="H1919" s="3" t="s">
        <v>56</v>
      </c>
      <c r="M1919" s="151" t="str">
        <f t="shared" si="91"/>
        <v/>
      </c>
      <c r="N1919" s="151" t="str">
        <f t="shared" si="92"/>
        <v>/</v>
      </c>
      <c r="Q1919" s="239" t="str">
        <f t="shared" ca="1" si="93"/>
        <v/>
      </c>
    </row>
    <row r="1920" spans="2:17" ht="15.75" hidden="1" customHeight="1" outlineLevel="1" x14ac:dyDescent="0.25">
      <c r="C1920" s="207"/>
      <c r="D1920" s="196">
        <v>42678</v>
      </c>
      <c r="E1920" s="101" t="s">
        <v>25</v>
      </c>
      <c r="F1920" s="216" t="s">
        <v>49</v>
      </c>
      <c r="G1920" s="3" t="s">
        <v>56</v>
      </c>
      <c r="H1920" s="3" t="s">
        <v>56</v>
      </c>
      <c r="M1920" s="151" t="str">
        <f t="shared" si="91"/>
        <v>/</v>
      </c>
      <c r="N1920" s="151" t="str">
        <f t="shared" si="92"/>
        <v/>
      </c>
      <c r="Q1920" s="239" t="str">
        <f t="shared" ca="1" si="93"/>
        <v/>
      </c>
    </row>
    <row r="1921" spans="3:17" ht="15.75" hidden="1" customHeight="1" outlineLevel="1" x14ac:dyDescent="0.25">
      <c r="C1921" s="207"/>
      <c r="D1921" s="196">
        <v>42681</v>
      </c>
      <c r="E1921" s="101" t="s">
        <v>16</v>
      </c>
      <c r="F1921" s="216" t="s">
        <v>50</v>
      </c>
      <c r="G1921" s="3" t="s">
        <v>56</v>
      </c>
      <c r="H1921" s="3" t="s">
        <v>56</v>
      </c>
      <c r="M1921" s="151" t="str">
        <f t="shared" si="91"/>
        <v/>
      </c>
      <c r="N1921" s="151" t="str">
        <f t="shared" si="92"/>
        <v>/</v>
      </c>
      <c r="Q1921" s="239" t="str">
        <f t="shared" ca="1" si="93"/>
        <v/>
      </c>
    </row>
    <row r="1922" spans="3:17" ht="15.75" hidden="1" customHeight="1" outlineLevel="1" x14ac:dyDescent="0.25">
      <c r="C1922" s="207"/>
      <c r="D1922" s="196">
        <v>42682</v>
      </c>
      <c r="E1922" s="101" t="s">
        <v>26</v>
      </c>
      <c r="F1922" s="216" t="s">
        <v>50</v>
      </c>
      <c r="G1922" s="3" t="s">
        <v>56</v>
      </c>
      <c r="H1922" s="3" t="s">
        <v>56</v>
      </c>
      <c r="M1922" s="151" t="str">
        <f t="shared" si="91"/>
        <v/>
      </c>
      <c r="N1922" s="151" t="str">
        <f t="shared" si="92"/>
        <v>/</v>
      </c>
      <c r="Q1922" s="239" t="str">
        <f t="shared" ca="1" si="93"/>
        <v/>
      </c>
    </row>
    <row r="1923" spans="3:17" ht="15.75" hidden="1" customHeight="1" outlineLevel="1" x14ac:dyDescent="0.25">
      <c r="C1923" s="207"/>
      <c r="D1923" s="196">
        <v>42684</v>
      </c>
      <c r="E1923" s="101" t="s">
        <v>8</v>
      </c>
      <c r="F1923" s="216" t="s">
        <v>50</v>
      </c>
      <c r="G1923" s="3" t="s">
        <v>56</v>
      </c>
      <c r="H1923" s="3" t="s">
        <v>56</v>
      </c>
      <c r="M1923" s="151" t="str">
        <f t="shared" si="91"/>
        <v/>
      </c>
      <c r="N1923" s="151" t="str">
        <f t="shared" si="92"/>
        <v>/</v>
      </c>
      <c r="Q1923" s="239" t="str">
        <f t="shared" ca="1" si="93"/>
        <v/>
      </c>
    </row>
    <row r="1924" spans="3:17" ht="15.75" hidden="1" customHeight="1" outlineLevel="1" x14ac:dyDescent="0.25">
      <c r="C1924" s="207"/>
      <c r="D1924" s="196">
        <v>42686</v>
      </c>
      <c r="E1924" s="101" t="s">
        <v>644</v>
      </c>
      <c r="F1924" s="216" t="s">
        <v>49</v>
      </c>
      <c r="G1924" s="3" t="s">
        <v>56</v>
      </c>
      <c r="H1924" s="3" t="s">
        <v>56</v>
      </c>
      <c r="M1924" s="151" t="str">
        <f t="shared" si="91"/>
        <v>/</v>
      </c>
      <c r="N1924" s="151" t="str">
        <f t="shared" si="92"/>
        <v/>
      </c>
      <c r="Q1924" s="239" t="str">
        <f t="shared" ca="1" si="93"/>
        <v/>
      </c>
    </row>
    <row r="1925" spans="3:17" ht="15.75" hidden="1" customHeight="1" outlineLevel="1" x14ac:dyDescent="0.25">
      <c r="C1925" s="207"/>
      <c r="D1925" s="196">
        <v>42688</v>
      </c>
      <c r="E1925" s="101" t="s">
        <v>1</v>
      </c>
      <c r="F1925" s="216" t="s">
        <v>49</v>
      </c>
      <c r="G1925" s="3" t="s">
        <v>56</v>
      </c>
      <c r="H1925" s="3" t="s">
        <v>56</v>
      </c>
      <c r="M1925" s="151" t="str">
        <f t="shared" si="91"/>
        <v>/</v>
      </c>
      <c r="N1925" s="151" t="str">
        <f t="shared" si="92"/>
        <v/>
      </c>
      <c r="Q1925" s="239" t="str">
        <f t="shared" ca="1" si="93"/>
        <v/>
      </c>
    </row>
    <row r="1926" spans="3:17" ht="15.75" hidden="1" customHeight="1" outlineLevel="1" x14ac:dyDescent="0.25">
      <c r="C1926" s="207"/>
      <c r="D1926" s="196">
        <v>42690</v>
      </c>
      <c r="E1926" s="101" t="s">
        <v>10</v>
      </c>
      <c r="F1926" s="216" t="s">
        <v>50</v>
      </c>
      <c r="G1926" s="3" t="s">
        <v>56</v>
      </c>
      <c r="H1926" s="3" t="s">
        <v>56</v>
      </c>
      <c r="M1926" s="151" t="str">
        <f t="shared" si="91"/>
        <v/>
      </c>
      <c r="N1926" s="151" t="str">
        <f t="shared" si="92"/>
        <v>/</v>
      </c>
      <c r="Q1926" s="239" t="str">
        <f t="shared" ca="1" si="93"/>
        <v/>
      </c>
    </row>
    <row r="1927" spans="3:17" ht="15.75" hidden="1" customHeight="1" outlineLevel="1" x14ac:dyDescent="0.25">
      <c r="C1927" s="207"/>
      <c r="D1927" s="196">
        <v>42692</v>
      </c>
      <c r="E1927" s="101" t="s">
        <v>24</v>
      </c>
      <c r="F1927" s="216" t="s">
        <v>49</v>
      </c>
      <c r="G1927" s="3" t="s">
        <v>56</v>
      </c>
      <c r="H1927" s="3" t="s">
        <v>56</v>
      </c>
      <c r="M1927" s="151" t="str">
        <f t="shared" ref="M1927:M1990" si="94">IF(F1927="D",H1927,"")</f>
        <v>/</v>
      </c>
      <c r="N1927" s="151" t="str">
        <f t="shared" ref="N1927:N1990" si="95">IF(F1927="E",H1927,"")</f>
        <v/>
      </c>
      <c r="Q1927" s="239" t="str">
        <f t="shared" ca="1" si="93"/>
        <v/>
      </c>
    </row>
    <row r="1928" spans="3:17" ht="15.75" hidden="1" customHeight="1" outlineLevel="1" x14ac:dyDescent="0.25">
      <c r="C1928" s="207"/>
      <c r="D1928" s="196">
        <v>42693</v>
      </c>
      <c r="E1928" s="101" t="s">
        <v>3</v>
      </c>
      <c r="F1928" s="216" t="s">
        <v>49</v>
      </c>
      <c r="G1928" s="3" t="s">
        <v>56</v>
      </c>
      <c r="H1928" s="3" t="s">
        <v>56</v>
      </c>
      <c r="M1928" s="151" t="str">
        <f t="shared" si="94"/>
        <v>/</v>
      </c>
      <c r="N1928" s="151" t="str">
        <f t="shared" si="95"/>
        <v/>
      </c>
      <c r="Q1928" s="239" t="str">
        <f t="shared" ca="1" si="93"/>
        <v/>
      </c>
    </row>
    <row r="1929" spans="3:17" ht="15.75" hidden="1" customHeight="1" outlineLevel="1" x14ac:dyDescent="0.25">
      <c r="C1929" s="207"/>
      <c r="D1929" s="196">
        <v>42696</v>
      </c>
      <c r="E1929" s="101" t="s">
        <v>0</v>
      </c>
      <c r="F1929" s="216" t="s">
        <v>50</v>
      </c>
      <c r="G1929" s="3" t="s">
        <v>56</v>
      </c>
      <c r="H1929" s="3" t="s">
        <v>56</v>
      </c>
      <c r="M1929" s="151" t="str">
        <f t="shared" si="94"/>
        <v/>
      </c>
      <c r="N1929" s="151" t="str">
        <f t="shared" si="95"/>
        <v>/</v>
      </c>
      <c r="Q1929" s="239" t="str">
        <f t="shared" ca="1" si="93"/>
        <v/>
      </c>
    </row>
    <row r="1930" spans="3:17" ht="15.75" hidden="1" customHeight="1" outlineLevel="1" x14ac:dyDescent="0.25">
      <c r="C1930" s="207"/>
      <c r="D1930" s="196">
        <v>42697</v>
      </c>
      <c r="E1930" s="101" t="s">
        <v>21</v>
      </c>
      <c r="F1930" s="216" t="s">
        <v>49</v>
      </c>
      <c r="G1930" s="3" t="s">
        <v>56</v>
      </c>
      <c r="H1930" s="3" t="s">
        <v>56</v>
      </c>
      <c r="M1930" s="151" t="str">
        <f t="shared" si="94"/>
        <v>/</v>
      </c>
      <c r="N1930" s="151" t="str">
        <f t="shared" si="95"/>
        <v/>
      </c>
      <c r="Q1930" s="239" t="str">
        <f t="shared" ca="1" si="93"/>
        <v/>
      </c>
    </row>
    <row r="1931" spans="3:17" ht="15.75" hidden="1" customHeight="1" outlineLevel="1" x14ac:dyDescent="0.25">
      <c r="C1931" s="207"/>
      <c r="D1931" s="196">
        <v>42699</v>
      </c>
      <c r="E1931" s="101" t="s">
        <v>24</v>
      </c>
      <c r="F1931" s="216" t="s">
        <v>50</v>
      </c>
      <c r="G1931" s="3" t="s">
        <v>56</v>
      </c>
      <c r="H1931" s="3" t="s">
        <v>56</v>
      </c>
      <c r="M1931" s="151" t="str">
        <f t="shared" si="94"/>
        <v/>
      </c>
      <c r="N1931" s="151" t="str">
        <f t="shared" si="95"/>
        <v>/</v>
      </c>
      <c r="Q1931" s="239" t="str">
        <f t="shared" ca="1" si="93"/>
        <v/>
      </c>
    </row>
    <row r="1932" spans="3:17" ht="15.75" hidden="1" customHeight="1" outlineLevel="1" x14ac:dyDescent="0.25">
      <c r="C1932" s="207"/>
      <c r="D1932" s="196">
        <v>42701</v>
      </c>
      <c r="E1932" s="101" t="s">
        <v>645</v>
      </c>
      <c r="F1932" s="216" t="s">
        <v>50</v>
      </c>
      <c r="G1932" s="3" t="s">
        <v>56</v>
      </c>
      <c r="H1932" s="3" t="s">
        <v>56</v>
      </c>
      <c r="M1932" s="151" t="str">
        <f t="shared" si="94"/>
        <v/>
      </c>
      <c r="N1932" s="151" t="str">
        <f t="shared" si="95"/>
        <v>/</v>
      </c>
      <c r="Q1932" s="239" t="str">
        <f t="shared" ca="1" si="93"/>
        <v/>
      </c>
    </row>
    <row r="1933" spans="3:17" ht="15.75" hidden="1" customHeight="1" outlineLevel="1" x14ac:dyDescent="0.25">
      <c r="C1933" s="207"/>
      <c r="D1933" s="196">
        <v>42703</v>
      </c>
      <c r="E1933" s="101" t="s">
        <v>644</v>
      </c>
      <c r="F1933" s="216" t="s">
        <v>49</v>
      </c>
      <c r="G1933" s="3" t="s">
        <v>56</v>
      </c>
      <c r="H1933" s="3" t="s">
        <v>56</v>
      </c>
      <c r="M1933" s="151" t="str">
        <f t="shared" si="94"/>
        <v>/</v>
      </c>
      <c r="N1933" s="151" t="str">
        <f t="shared" si="95"/>
        <v/>
      </c>
      <c r="Q1933" s="239" t="str">
        <f t="shared" ca="1" si="93"/>
        <v/>
      </c>
    </row>
    <row r="1934" spans="3:17" ht="15.75" hidden="1" customHeight="1" outlineLevel="1" x14ac:dyDescent="0.25">
      <c r="C1934" s="208"/>
      <c r="D1934" s="196">
        <v>42706</v>
      </c>
      <c r="E1934" s="101" t="s">
        <v>646</v>
      </c>
      <c r="F1934" s="216" t="s">
        <v>49</v>
      </c>
      <c r="G1934" s="3" t="s">
        <v>56</v>
      </c>
      <c r="H1934" s="3" t="s">
        <v>56</v>
      </c>
      <c r="M1934" s="151" t="str">
        <f t="shared" si="94"/>
        <v>/</v>
      </c>
      <c r="N1934" s="151" t="str">
        <f t="shared" si="95"/>
        <v/>
      </c>
      <c r="Q1934" s="239" t="str">
        <f t="shared" ca="1" si="93"/>
        <v/>
      </c>
    </row>
    <row r="1935" spans="3:17" ht="15.75" hidden="1" customHeight="1" outlineLevel="1" x14ac:dyDescent="0.25">
      <c r="C1935" s="208"/>
      <c r="D1935" s="196">
        <v>42708</v>
      </c>
      <c r="E1935" s="101" t="s">
        <v>23</v>
      </c>
      <c r="F1935" s="216" t="s">
        <v>50</v>
      </c>
      <c r="G1935" s="3" t="s">
        <v>56</v>
      </c>
      <c r="H1935" s="3" t="s">
        <v>56</v>
      </c>
      <c r="M1935" s="151" t="str">
        <f t="shared" si="94"/>
        <v/>
      </c>
      <c r="N1935" s="151" t="str">
        <f t="shared" si="95"/>
        <v>/</v>
      </c>
      <c r="Q1935" s="239" t="str">
        <f t="shared" ca="1" si="93"/>
        <v/>
      </c>
    </row>
    <row r="1936" spans="3:17" ht="15.75" hidden="1" customHeight="1" outlineLevel="1" x14ac:dyDescent="0.25">
      <c r="C1936" s="208"/>
      <c r="D1936" s="196">
        <v>42709</v>
      </c>
      <c r="E1936" s="101" t="s">
        <v>20</v>
      </c>
      <c r="F1936" s="216" t="s">
        <v>49</v>
      </c>
      <c r="G1936" s="3" t="s">
        <v>56</v>
      </c>
      <c r="H1936" s="3" t="s">
        <v>56</v>
      </c>
      <c r="M1936" s="151" t="str">
        <f t="shared" si="94"/>
        <v>/</v>
      </c>
      <c r="N1936" s="151" t="str">
        <f t="shared" si="95"/>
        <v/>
      </c>
      <c r="Q1936" s="239" t="str">
        <f t="shared" ca="1" si="93"/>
        <v/>
      </c>
    </row>
    <row r="1937" spans="3:17" ht="15.75" hidden="1" customHeight="1" outlineLevel="1" x14ac:dyDescent="0.25">
      <c r="C1937" s="208"/>
      <c r="D1937" s="196">
        <v>42712</v>
      </c>
      <c r="E1937" s="101" t="s">
        <v>11</v>
      </c>
      <c r="F1937" s="216" t="s">
        <v>49</v>
      </c>
      <c r="G1937" s="3" t="s">
        <v>56</v>
      </c>
      <c r="H1937" s="3" t="s">
        <v>56</v>
      </c>
      <c r="M1937" s="151" t="str">
        <f t="shared" si="94"/>
        <v>/</v>
      </c>
      <c r="N1937" s="151" t="str">
        <f t="shared" si="95"/>
        <v/>
      </c>
      <c r="Q1937" s="239" t="str">
        <f t="shared" ca="1" si="93"/>
        <v/>
      </c>
    </row>
    <row r="1938" spans="3:17" ht="15.75" hidden="1" customHeight="1" outlineLevel="1" x14ac:dyDescent="0.25">
      <c r="C1938" s="208"/>
      <c r="D1938" s="196">
        <v>42714</v>
      </c>
      <c r="E1938" s="101" t="s">
        <v>18</v>
      </c>
      <c r="F1938" s="216" t="s">
        <v>50</v>
      </c>
      <c r="G1938" s="3" t="s">
        <v>56</v>
      </c>
      <c r="H1938" s="3" t="s">
        <v>56</v>
      </c>
      <c r="M1938" s="151" t="str">
        <f t="shared" si="94"/>
        <v/>
      </c>
      <c r="N1938" s="151" t="str">
        <f t="shared" si="95"/>
        <v>/</v>
      </c>
      <c r="Q1938" s="239" t="str">
        <f t="shared" ca="1" si="93"/>
        <v/>
      </c>
    </row>
    <row r="1939" spans="3:17" ht="15.75" hidden="1" customHeight="1" outlineLevel="1" x14ac:dyDescent="0.25">
      <c r="C1939" s="208"/>
      <c r="D1939" s="196">
        <v>42715</v>
      </c>
      <c r="E1939" s="101" t="s">
        <v>25</v>
      </c>
      <c r="F1939" s="216" t="s">
        <v>50</v>
      </c>
      <c r="G1939" s="3" t="s">
        <v>56</v>
      </c>
      <c r="H1939" s="3" t="s">
        <v>56</v>
      </c>
      <c r="M1939" s="151" t="str">
        <f t="shared" si="94"/>
        <v/>
      </c>
      <c r="N1939" s="151" t="str">
        <f t="shared" si="95"/>
        <v>/</v>
      </c>
      <c r="Q1939" s="239" t="str">
        <f t="shared" ca="1" si="93"/>
        <v/>
      </c>
    </row>
    <row r="1940" spans="3:17" ht="15.75" hidden="1" customHeight="1" outlineLevel="1" x14ac:dyDescent="0.25">
      <c r="C1940" s="208"/>
      <c r="D1940" s="196">
        <v>42717</v>
      </c>
      <c r="E1940" s="101" t="s">
        <v>16</v>
      </c>
      <c r="F1940" s="216" t="s">
        <v>49</v>
      </c>
      <c r="G1940" s="3" t="s">
        <v>56</v>
      </c>
      <c r="H1940" s="3" t="s">
        <v>56</v>
      </c>
      <c r="M1940" s="151" t="str">
        <f t="shared" si="94"/>
        <v>/</v>
      </c>
      <c r="N1940" s="151" t="str">
        <f t="shared" si="95"/>
        <v/>
      </c>
      <c r="Q1940" s="239" t="str">
        <f t="shared" ca="1" si="93"/>
        <v/>
      </c>
    </row>
    <row r="1941" spans="3:17" ht="15.75" hidden="1" customHeight="1" outlineLevel="1" x14ac:dyDescent="0.25">
      <c r="C1941" s="208"/>
      <c r="D1941" s="196">
        <v>42719</v>
      </c>
      <c r="E1941" s="101" t="s">
        <v>7</v>
      </c>
      <c r="F1941" s="216" t="s">
        <v>49</v>
      </c>
      <c r="G1941" s="3" t="s">
        <v>56</v>
      </c>
      <c r="H1941" s="3" t="s">
        <v>56</v>
      </c>
      <c r="M1941" s="151" t="str">
        <f t="shared" si="94"/>
        <v>/</v>
      </c>
      <c r="N1941" s="151" t="str">
        <f t="shared" si="95"/>
        <v/>
      </c>
      <c r="Q1941" s="239" t="str">
        <f t="shared" ca="1" si="93"/>
        <v/>
      </c>
    </row>
    <row r="1942" spans="3:17" ht="15.75" hidden="1" customHeight="1" outlineLevel="1" x14ac:dyDescent="0.25">
      <c r="C1942" s="208"/>
      <c r="D1942" s="196">
        <v>42720</v>
      </c>
      <c r="E1942" s="101" t="s">
        <v>17</v>
      </c>
      <c r="F1942" s="216" t="s">
        <v>50</v>
      </c>
      <c r="G1942" s="3" t="s">
        <v>56</v>
      </c>
      <c r="H1942" s="3" t="s">
        <v>56</v>
      </c>
      <c r="M1942" s="151" t="str">
        <f t="shared" si="94"/>
        <v/>
      </c>
      <c r="N1942" s="151" t="str">
        <f t="shared" si="95"/>
        <v>/</v>
      </c>
      <c r="Q1942" s="239" t="str">
        <f t="shared" ca="1" si="93"/>
        <v/>
      </c>
    </row>
    <row r="1943" spans="3:17" ht="15.75" hidden="1" customHeight="1" outlineLevel="1" x14ac:dyDescent="0.25">
      <c r="C1943" s="208"/>
      <c r="D1943" s="196">
        <v>42722</v>
      </c>
      <c r="E1943" s="101" t="s">
        <v>46</v>
      </c>
      <c r="F1943" s="216" t="s">
        <v>50</v>
      </c>
      <c r="G1943" s="3" t="s">
        <v>56</v>
      </c>
      <c r="H1943" s="3" t="s">
        <v>56</v>
      </c>
      <c r="M1943" s="151" t="str">
        <f t="shared" si="94"/>
        <v/>
      </c>
      <c r="N1943" s="151" t="str">
        <f t="shared" si="95"/>
        <v>/</v>
      </c>
      <c r="Q1943" s="239" t="str">
        <f t="shared" ca="1" si="93"/>
        <v/>
      </c>
    </row>
    <row r="1944" spans="3:17" ht="15.75" hidden="1" customHeight="1" outlineLevel="1" x14ac:dyDescent="0.25">
      <c r="C1944" s="208"/>
      <c r="D1944" s="196">
        <v>42724</v>
      </c>
      <c r="E1944" s="101" t="s">
        <v>11</v>
      </c>
      <c r="F1944" s="216" t="s">
        <v>50</v>
      </c>
      <c r="G1944" s="3" t="s">
        <v>56</v>
      </c>
      <c r="H1944" s="3" t="s">
        <v>56</v>
      </c>
      <c r="M1944" s="151" t="str">
        <f t="shared" si="94"/>
        <v/>
      </c>
      <c r="N1944" s="151" t="str">
        <f t="shared" si="95"/>
        <v>/</v>
      </c>
      <c r="Q1944" s="239" t="str">
        <f t="shared" ca="1" si="93"/>
        <v/>
      </c>
    </row>
    <row r="1945" spans="3:17" ht="15.75" hidden="1" customHeight="1" outlineLevel="1" x14ac:dyDescent="0.25">
      <c r="C1945" s="208"/>
      <c r="D1945" s="196">
        <v>42725</v>
      </c>
      <c r="E1945" s="101" t="s">
        <v>23</v>
      </c>
      <c r="F1945" s="216" t="s">
        <v>49</v>
      </c>
      <c r="G1945" s="3" t="s">
        <v>56</v>
      </c>
      <c r="H1945" s="3" t="s">
        <v>56</v>
      </c>
      <c r="M1945" s="151" t="str">
        <f t="shared" si="94"/>
        <v>/</v>
      </c>
      <c r="N1945" s="151" t="str">
        <f t="shared" si="95"/>
        <v/>
      </c>
      <c r="Q1945" s="239" t="str">
        <f t="shared" ca="1" si="93"/>
        <v/>
      </c>
    </row>
    <row r="1946" spans="3:17" ht="15.75" hidden="1" customHeight="1" outlineLevel="1" x14ac:dyDescent="0.25">
      <c r="C1946" s="208"/>
      <c r="D1946" s="196">
        <v>42727</v>
      </c>
      <c r="E1946" s="101" t="s">
        <v>6</v>
      </c>
      <c r="F1946" s="216" t="s">
        <v>49</v>
      </c>
      <c r="G1946" s="3" t="s">
        <v>56</v>
      </c>
      <c r="H1946" s="3" t="s">
        <v>56</v>
      </c>
      <c r="M1946" s="151" t="str">
        <f t="shared" si="94"/>
        <v>/</v>
      </c>
      <c r="N1946" s="151" t="str">
        <f t="shared" si="95"/>
        <v/>
      </c>
      <c r="Q1946" s="239" t="str">
        <f t="shared" ca="1" si="93"/>
        <v/>
      </c>
    </row>
    <row r="1947" spans="3:17" ht="15.75" hidden="1" customHeight="1" outlineLevel="1" x14ac:dyDescent="0.25">
      <c r="C1947" s="208"/>
      <c r="D1947" s="196">
        <v>42730</v>
      </c>
      <c r="E1947" s="101" t="s">
        <v>645</v>
      </c>
      <c r="F1947" s="216" t="s">
        <v>49</v>
      </c>
      <c r="G1947" s="3" t="s">
        <v>56</v>
      </c>
      <c r="H1947" s="3" t="s">
        <v>56</v>
      </c>
      <c r="M1947" s="151" t="str">
        <f t="shared" si="94"/>
        <v>/</v>
      </c>
      <c r="N1947" s="151" t="str">
        <f t="shared" si="95"/>
        <v/>
      </c>
      <c r="Q1947" s="239" t="str">
        <f t="shared" ca="1" si="93"/>
        <v/>
      </c>
    </row>
    <row r="1948" spans="3:17" ht="15.75" hidden="1" customHeight="1" outlineLevel="1" x14ac:dyDescent="0.25">
      <c r="C1948" s="208"/>
      <c r="D1948" s="196">
        <v>42732</v>
      </c>
      <c r="E1948" s="101" t="s">
        <v>18</v>
      </c>
      <c r="F1948" s="216" t="s">
        <v>49</v>
      </c>
      <c r="G1948" s="3" t="s">
        <v>56</v>
      </c>
      <c r="H1948" s="3" t="s">
        <v>56</v>
      </c>
      <c r="M1948" s="151" t="str">
        <f t="shared" si="94"/>
        <v>/</v>
      </c>
      <c r="N1948" s="151" t="str">
        <f t="shared" si="95"/>
        <v/>
      </c>
      <c r="Q1948" s="239" t="str">
        <f t="shared" ca="1" si="93"/>
        <v/>
      </c>
    </row>
    <row r="1949" spans="3:17" ht="15.75" hidden="1" customHeight="1" outlineLevel="1" x14ac:dyDescent="0.25">
      <c r="C1949" s="208"/>
      <c r="D1949" s="196">
        <v>42734</v>
      </c>
      <c r="E1949" s="101" t="s">
        <v>9</v>
      </c>
      <c r="F1949" s="216" t="s">
        <v>49</v>
      </c>
      <c r="G1949" s="3" t="s">
        <v>56</v>
      </c>
      <c r="H1949" s="3" t="s">
        <v>56</v>
      </c>
      <c r="M1949" s="151" t="str">
        <f t="shared" si="94"/>
        <v>/</v>
      </c>
      <c r="N1949" s="151" t="str">
        <f t="shared" si="95"/>
        <v/>
      </c>
      <c r="Q1949" s="239" t="str">
        <f t="shared" ca="1" si="93"/>
        <v/>
      </c>
    </row>
    <row r="1950" spans="3:17" ht="15.75" hidden="1" customHeight="1" outlineLevel="1" x14ac:dyDescent="0.25">
      <c r="C1950" s="207"/>
      <c r="D1950" s="196">
        <v>42371</v>
      </c>
      <c r="E1950" s="101" t="s">
        <v>4</v>
      </c>
      <c r="F1950" s="216" t="s">
        <v>50</v>
      </c>
      <c r="G1950" s="3" t="s">
        <v>56</v>
      </c>
      <c r="H1950" s="3" t="s">
        <v>56</v>
      </c>
      <c r="M1950" s="151" t="str">
        <f t="shared" si="94"/>
        <v/>
      </c>
      <c r="N1950" s="151" t="str">
        <f t="shared" si="95"/>
        <v>/</v>
      </c>
      <c r="Q1950" s="239" t="str">
        <f t="shared" ca="1" si="93"/>
        <v/>
      </c>
    </row>
    <row r="1951" spans="3:17" ht="15.75" hidden="1" customHeight="1" outlineLevel="1" x14ac:dyDescent="0.25">
      <c r="C1951" s="207"/>
      <c r="D1951" s="196">
        <v>42374</v>
      </c>
      <c r="E1951" s="101" t="s">
        <v>0</v>
      </c>
      <c r="F1951" s="216" t="s">
        <v>49</v>
      </c>
      <c r="G1951" s="3" t="s">
        <v>56</v>
      </c>
      <c r="H1951" s="3" t="s">
        <v>56</v>
      </c>
      <c r="M1951" s="151" t="str">
        <f t="shared" si="94"/>
        <v>/</v>
      </c>
      <c r="N1951" s="151" t="str">
        <f t="shared" si="95"/>
        <v/>
      </c>
      <c r="Q1951" s="239" t="str">
        <f t="shared" ca="1" si="93"/>
        <v/>
      </c>
    </row>
    <row r="1952" spans="3:17" ht="15.75" hidden="1" customHeight="1" outlineLevel="1" x14ac:dyDescent="0.25">
      <c r="C1952" s="207"/>
      <c r="D1952" s="196">
        <v>42376</v>
      </c>
      <c r="E1952" s="101" t="s">
        <v>1</v>
      </c>
      <c r="F1952" s="216" t="s">
        <v>50</v>
      </c>
      <c r="G1952" s="3" t="s">
        <v>56</v>
      </c>
      <c r="H1952" s="3" t="s">
        <v>56</v>
      </c>
      <c r="M1952" s="151" t="str">
        <f t="shared" si="94"/>
        <v/>
      </c>
      <c r="N1952" s="151" t="str">
        <f t="shared" si="95"/>
        <v>/</v>
      </c>
      <c r="Q1952" s="239" t="str">
        <f t="shared" ca="1" si="93"/>
        <v/>
      </c>
    </row>
    <row r="1953" spans="3:17" ht="15.75" hidden="1" customHeight="1" outlineLevel="1" x14ac:dyDescent="0.25">
      <c r="C1953" s="207"/>
      <c r="D1953" s="196">
        <v>42378</v>
      </c>
      <c r="E1953" s="101" t="s">
        <v>9</v>
      </c>
      <c r="F1953" s="216" t="s">
        <v>50</v>
      </c>
      <c r="G1953" s="3" t="s">
        <v>56</v>
      </c>
      <c r="H1953" s="3" t="s">
        <v>56</v>
      </c>
      <c r="M1953" s="151" t="str">
        <f t="shared" si="94"/>
        <v/>
      </c>
      <c r="N1953" s="151" t="str">
        <f t="shared" si="95"/>
        <v>/</v>
      </c>
      <c r="Q1953" s="239" t="str">
        <f t="shared" ca="1" si="93"/>
        <v/>
      </c>
    </row>
    <row r="1954" spans="3:17" ht="15.75" hidden="1" customHeight="1" outlineLevel="1" x14ac:dyDescent="0.25">
      <c r="C1954" s="207"/>
      <c r="D1954" s="196">
        <v>42381</v>
      </c>
      <c r="E1954" s="101" t="s">
        <v>45</v>
      </c>
      <c r="F1954" s="216" t="s">
        <v>50</v>
      </c>
      <c r="G1954" s="3" t="s">
        <v>56</v>
      </c>
      <c r="H1954" s="3" t="s">
        <v>56</v>
      </c>
      <c r="M1954" s="151" t="str">
        <f t="shared" si="94"/>
        <v/>
      </c>
      <c r="N1954" s="151" t="str">
        <f t="shared" si="95"/>
        <v>/</v>
      </c>
      <c r="Q1954" s="239" t="str">
        <f t="shared" ca="1" si="93"/>
        <v/>
      </c>
    </row>
    <row r="1955" spans="3:17" ht="15.75" hidden="1" customHeight="1" outlineLevel="1" x14ac:dyDescent="0.25">
      <c r="C1955" s="207"/>
      <c r="D1955" s="196">
        <v>42383</v>
      </c>
      <c r="E1955" s="101" t="s">
        <v>2</v>
      </c>
      <c r="F1955" s="216" t="s">
        <v>50</v>
      </c>
      <c r="G1955" s="3" t="s">
        <v>56</v>
      </c>
      <c r="H1955" s="3" t="s">
        <v>56</v>
      </c>
      <c r="M1955" s="151" t="str">
        <f t="shared" si="94"/>
        <v/>
      </c>
      <c r="N1955" s="151" t="str">
        <f t="shared" si="95"/>
        <v>/</v>
      </c>
      <c r="Q1955" s="239" t="str">
        <f t="shared" ca="1" si="93"/>
        <v/>
      </c>
    </row>
    <row r="1956" spans="3:17" ht="15.75" hidden="1" customHeight="1" outlineLevel="1" x14ac:dyDescent="0.25">
      <c r="C1956" s="207"/>
      <c r="D1956" s="196">
        <v>42385</v>
      </c>
      <c r="E1956" s="101" t="s">
        <v>7</v>
      </c>
      <c r="F1956" s="216" t="s">
        <v>50</v>
      </c>
      <c r="G1956" s="3" t="s">
        <v>56</v>
      </c>
      <c r="H1956" s="3" t="s">
        <v>56</v>
      </c>
      <c r="M1956" s="151" t="str">
        <f t="shared" si="94"/>
        <v/>
      </c>
      <c r="N1956" s="151" t="str">
        <f t="shared" si="95"/>
        <v>/</v>
      </c>
      <c r="Q1956" s="239" t="str">
        <f t="shared" ca="1" si="93"/>
        <v/>
      </c>
    </row>
    <row r="1957" spans="3:17" ht="15.75" hidden="1" customHeight="1" outlineLevel="1" x14ac:dyDescent="0.25">
      <c r="C1957" s="207"/>
      <c r="D1957" s="196">
        <v>42387</v>
      </c>
      <c r="E1957" s="101" t="s">
        <v>10</v>
      </c>
      <c r="F1957" s="216" t="s">
        <v>49</v>
      </c>
      <c r="G1957" s="3" t="s">
        <v>56</v>
      </c>
      <c r="H1957" s="3" t="s">
        <v>56</v>
      </c>
      <c r="M1957" s="151" t="str">
        <f t="shared" si="94"/>
        <v>/</v>
      </c>
      <c r="N1957" s="151" t="str">
        <f t="shared" si="95"/>
        <v/>
      </c>
      <c r="Q1957" s="239" t="str">
        <f t="shared" ca="1" si="93"/>
        <v/>
      </c>
    </row>
    <row r="1958" spans="3:17" ht="15.75" hidden="1" customHeight="1" outlineLevel="1" x14ac:dyDescent="0.25">
      <c r="C1958" s="207"/>
      <c r="D1958" s="196">
        <v>42389</v>
      </c>
      <c r="E1958" s="101" t="s">
        <v>45</v>
      </c>
      <c r="F1958" s="216" t="s">
        <v>49</v>
      </c>
      <c r="G1958" s="3" t="s">
        <v>56</v>
      </c>
      <c r="H1958" s="3" t="s">
        <v>56</v>
      </c>
      <c r="M1958" s="151" t="str">
        <f t="shared" si="94"/>
        <v>/</v>
      </c>
      <c r="N1958" s="151" t="str">
        <f t="shared" si="95"/>
        <v/>
      </c>
      <c r="Q1958" s="239" t="str">
        <f t="shared" ca="1" si="93"/>
        <v/>
      </c>
    </row>
    <row r="1959" spans="3:17" ht="15.75" hidden="1" customHeight="1" outlineLevel="1" x14ac:dyDescent="0.25">
      <c r="C1959" s="207"/>
      <c r="D1959" s="196">
        <v>42392</v>
      </c>
      <c r="E1959" s="101" t="s">
        <v>4</v>
      </c>
      <c r="F1959" s="216" t="s">
        <v>49</v>
      </c>
      <c r="G1959" s="3" t="s">
        <v>56</v>
      </c>
      <c r="H1959" s="3" t="s">
        <v>56</v>
      </c>
      <c r="M1959" s="151" t="str">
        <f t="shared" si="94"/>
        <v>/</v>
      </c>
      <c r="N1959" s="151" t="str">
        <f t="shared" si="95"/>
        <v/>
      </c>
      <c r="Q1959" s="239" t="str">
        <f t="shared" ca="1" si="93"/>
        <v/>
      </c>
    </row>
    <row r="1960" spans="3:17" ht="15.75" hidden="1" customHeight="1" outlineLevel="1" x14ac:dyDescent="0.25">
      <c r="C1960" s="207"/>
      <c r="D1960" s="196">
        <v>42394</v>
      </c>
      <c r="E1960" s="101" t="s">
        <v>23</v>
      </c>
      <c r="F1960" s="216" t="s">
        <v>49</v>
      </c>
      <c r="G1960" s="3" t="s">
        <v>56</v>
      </c>
      <c r="H1960" s="3" t="s">
        <v>56</v>
      </c>
      <c r="M1960" s="151" t="str">
        <f t="shared" si="94"/>
        <v>/</v>
      </c>
      <c r="N1960" s="151" t="str">
        <f t="shared" si="95"/>
        <v/>
      </c>
      <c r="Q1960" s="239" t="str">
        <f t="shared" ca="1" si="93"/>
        <v/>
      </c>
    </row>
    <row r="1961" spans="3:17" ht="15.75" hidden="1" customHeight="1" outlineLevel="1" x14ac:dyDescent="0.25">
      <c r="C1961" s="207"/>
      <c r="D1961" s="196">
        <v>42396</v>
      </c>
      <c r="E1961" s="101" t="s">
        <v>46</v>
      </c>
      <c r="F1961" s="216" t="s">
        <v>49</v>
      </c>
      <c r="G1961" s="3" t="s">
        <v>56</v>
      </c>
      <c r="H1961" s="3" t="s">
        <v>56</v>
      </c>
      <c r="M1961" s="151" t="str">
        <f t="shared" si="94"/>
        <v>/</v>
      </c>
      <c r="N1961" s="151" t="str">
        <f t="shared" si="95"/>
        <v/>
      </c>
      <c r="Q1961" s="239" t="str">
        <f t="shared" ca="1" si="93"/>
        <v/>
      </c>
    </row>
    <row r="1962" spans="3:17" ht="15.75" hidden="1" customHeight="1" outlineLevel="1" x14ac:dyDescent="0.25">
      <c r="C1962" s="207"/>
      <c r="D1962" s="196">
        <v>42398</v>
      </c>
      <c r="E1962" s="101" t="s">
        <v>13</v>
      </c>
      <c r="F1962" s="216" t="s">
        <v>49</v>
      </c>
      <c r="G1962" s="3" t="s">
        <v>56</v>
      </c>
      <c r="H1962" s="3" t="s">
        <v>56</v>
      </c>
      <c r="M1962" s="151" t="str">
        <f t="shared" si="94"/>
        <v>/</v>
      </c>
      <c r="N1962" s="151" t="str">
        <f t="shared" si="95"/>
        <v/>
      </c>
      <c r="Q1962" s="239" t="str">
        <f t="shared" ca="1" si="93"/>
        <v/>
      </c>
    </row>
    <row r="1963" spans="3:17" ht="15.75" hidden="1" customHeight="1" outlineLevel="1" x14ac:dyDescent="0.25">
      <c r="C1963" s="207"/>
      <c r="D1963" s="196">
        <v>42400</v>
      </c>
      <c r="E1963" s="101" t="s">
        <v>12</v>
      </c>
      <c r="F1963" s="216" t="s">
        <v>50</v>
      </c>
      <c r="G1963" s="3" t="s">
        <v>56</v>
      </c>
      <c r="H1963" s="3" t="s">
        <v>56</v>
      </c>
      <c r="M1963" s="151" t="str">
        <f t="shared" si="94"/>
        <v/>
      </c>
      <c r="N1963" s="151" t="str">
        <f t="shared" si="95"/>
        <v>/</v>
      </c>
      <c r="Q1963" s="239" t="str">
        <f t="shared" ref="Q1963:Q2026" ca="1" si="96">IF(D1963=TODAY(),1,"")</f>
        <v/>
      </c>
    </row>
    <row r="1964" spans="3:17" ht="15.75" hidden="1" customHeight="1" outlineLevel="1" x14ac:dyDescent="0.25">
      <c r="C1964" s="208"/>
      <c r="D1964" s="196">
        <v>42401</v>
      </c>
      <c r="E1964" s="101" t="s">
        <v>5</v>
      </c>
      <c r="F1964" s="216" t="s">
        <v>50</v>
      </c>
      <c r="G1964" s="3" t="s">
        <v>56</v>
      </c>
      <c r="H1964" s="3" t="s">
        <v>56</v>
      </c>
      <c r="M1964" s="151" t="str">
        <f t="shared" si="94"/>
        <v/>
      </c>
      <c r="N1964" s="151" t="str">
        <f t="shared" si="95"/>
        <v>/</v>
      </c>
      <c r="Q1964" s="239" t="str">
        <f t="shared" ca="1" si="96"/>
        <v/>
      </c>
    </row>
    <row r="1965" spans="3:17" ht="15.75" hidden="1" customHeight="1" outlineLevel="1" x14ac:dyDescent="0.25">
      <c r="C1965" s="208"/>
      <c r="D1965" s="196">
        <v>42404</v>
      </c>
      <c r="E1965" s="101" t="s">
        <v>13</v>
      </c>
      <c r="F1965" s="216" t="s">
        <v>50</v>
      </c>
      <c r="G1965" s="3" t="s">
        <v>56</v>
      </c>
      <c r="H1965" s="3" t="s">
        <v>56</v>
      </c>
      <c r="M1965" s="151" t="str">
        <f t="shared" si="94"/>
        <v/>
      </c>
      <c r="N1965" s="151" t="str">
        <f t="shared" si="95"/>
        <v>/</v>
      </c>
      <c r="Q1965" s="239" t="str">
        <f t="shared" ca="1" si="96"/>
        <v/>
      </c>
    </row>
    <row r="1966" spans="3:17" ht="15.75" hidden="1" customHeight="1" outlineLevel="1" x14ac:dyDescent="0.25">
      <c r="C1966" s="208"/>
      <c r="D1966" s="196">
        <v>42406</v>
      </c>
      <c r="E1966" s="101" t="s">
        <v>25</v>
      </c>
      <c r="F1966" s="216" t="s">
        <v>49</v>
      </c>
      <c r="G1966" s="3" t="s">
        <v>56</v>
      </c>
      <c r="H1966" s="3" t="s">
        <v>56</v>
      </c>
      <c r="M1966" s="151" t="str">
        <f t="shared" si="94"/>
        <v>/</v>
      </c>
      <c r="N1966" s="151" t="str">
        <f t="shared" si="95"/>
        <v/>
      </c>
      <c r="Q1966" s="239" t="str">
        <f t="shared" ca="1" si="96"/>
        <v/>
      </c>
    </row>
    <row r="1967" spans="3:17" ht="15.75" hidden="1" customHeight="1" outlineLevel="1" x14ac:dyDescent="0.25">
      <c r="C1967" s="208"/>
      <c r="D1967" s="196">
        <v>42408</v>
      </c>
      <c r="E1967" s="101" t="s">
        <v>28</v>
      </c>
      <c r="F1967" s="216" t="s">
        <v>49</v>
      </c>
      <c r="G1967" s="3" t="s">
        <v>56</v>
      </c>
      <c r="H1967" s="3" t="s">
        <v>56</v>
      </c>
      <c r="M1967" s="151" t="str">
        <f t="shared" si="94"/>
        <v>/</v>
      </c>
      <c r="N1967" s="151" t="str">
        <f t="shared" si="95"/>
        <v/>
      </c>
      <c r="Q1967" s="239" t="str">
        <f t="shared" ca="1" si="96"/>
        <v/>
      </c>
    </row>
    <row r="1968" spans="3:17" ht="15.75" hidden="1" customHeight="1" outlineLevel="1" x14ac:dyDescent="0.25">
      <c r="C1968" s="208"/>
      <c r="D1968" s="196">
        <v>42410</v>
      </c>
      <c r="E1968" s="101" t="s">
        <v>21</v>
      </c>
      <c r="F1968" s="216" t="s">
        <v>50</v>
      </c>
      <c r="G1968" s="3" t="s">
        <v>56</v>
      </c>
      <c r="H1968" s="3" t="s">
        <v>56</v>
      </c>
      <c r="M1968" s="151" t="str">
        <f t="shared" si="94"/>
        <v/>
      </c>
      <c r="N1968" s="151" t="str">
        <f t="shared" si="95"/>
        <v>/</v>
      </c>
      <c r="Q1968" s="239" t="str">
        <f t="shared" ca="1" si="96"/>
        <v/>
      </c>
    </row>
    <row r="1969" spans="3:17" ht="15.75" hidden="1" customHeight="1" outlineLevel="1" x14ac:dyDescent="0.25">
      <c r="C1969" s="208"/>
      <c r="D1969" s="196">
        <v>42412</v>
      </c>
      <c r="E1969" s="101" t="s">
        <v>26</v>
      </c>
      <c r="F1969" s="216" t="s">
        <v>50</v>
      </c>
      <c r="G1969" s="3" t="s">
        <v>56</v>
      </c>
      <c r="H1969" s="3" t="s">
        <v>56</v>
      </c>
      <c r="M1969" s="151" t="str">
        <f t="shared" si="94"/>
        <v/>
      </c>
      <c r="N1969" s="151" t="str">
        <f t="shared" si="95"/>
        <v>/</v>
      </c>
      <c r="Q1969" s="239" t="str">
        <f t="shared" ca="1" si="96"/>
        <v/>
      </c>
    </row>
    <row r="1970" spans="3:17" ht="15.75" hidden="1" customHeight="1" outlineLevel="1" x14ac:dyDescent="0.25">
      <c r="C1970" s="208"/>
      <c r="D1970" s="196">
        <v>42413</v>
      </c>
      <c r="E1970" s="101" t="s">
        <v>25</v>
      </c>
      <c r="F1970" s="216" t="s">
        <v>50</v>
      </c>
      <c r="G1970" s="3" t="s">
        <v>56</v>
      </c>
      <c r="H1970" s="3" t="s">
        <v>56</v>
      </c>
      <c r="M1970" s="151" t="str">
        <f t="shared" si="94"/>
        <v/>
      </c>
      <c r="N1970" s="151" t="str">
        <f t="shared" si="95"/>
        <v>/</v>
      </c>
      <c r="Q1970" s="239" t="str">
        <f t="shared" ca="1" si="96"/>
        <v/>
      </c>
    </row>
    <row r="1971" spans="3:17" ht="15.75" hidden="1" customHeight="1" outlineLevel="1" x14ac:dyDescent="0.25">
      <c r="C1971" s="208"/>
      <c r="D1971" s="196">
        <v>42415</v>
      </c>
      <c r="E1971" s="101" t="s">
        <v>20</v>
      </c>
      <c r="F1971" s="216" t="s">
        <v>50</v>
      </c>
      <c r="G1971" s="3" t="s">
        <v>56</v>
      </c>
      <c r="H1971" s="3" t="s">
        <v>56</v>
      </c>
      <c r="M1971" s="151" t="str">
        <f t="shared" si="94"/>
        <v/>
      </c>
      <c r="N1971" s="151" t="str">
        <f t="shared" si="95"/>
        <v>/</v>
      </c>
      <c r="Q1971" s="239" t="str">
        <f t="shared" ca="1" si="96"/>
        <v/>
      </c>
    </row>
    <row r="1972" spans="3:17" ht="15.75" hidden="1" customHeight="1" outlineLevel="1" x14ac:dyDescent="0.25">
      <c r="C1972" s="208"/>
      <c r="D1972" s="196">
        <v>42423</v>
      </c>
      <c r="E1972" s="101" t="s">
        <v>17</v>
      </c>
      <c r="F1972" s="216" t="s">
        <v>49</v>
      </c>
      <c r="G1972" s="3" t="s">
        <v>56</v>
      </c>
      <c r="H1972" s="3" t="s">
        <v>56</v>
      </c>
      <c r="M1972" s="151" t="str">
        <f t="shared" si="94"/>
        <v>/</v>
      </c>
      <c r="N1972" s="151" t="str">
        <f t="shared" si="95"/>
        <v/>
      </c>
      <c r="Q1972" s="239" t="str">
        <f t="shared" ca="1" si="96"/>
        <v/>
      </c>
    </row>
    <row r="1973" spans="3:17" ht="15.75" hidden="1" customHeight="1" outlineLevel="1" x14ac:dyDescent="0.25">
      <c r="C1973" s="208"/>
      <c r="D1973" s="196">
        <v>42425</v>
      </c>
      <c r="E1973" s="101" t="s">
        <v>645</v>
      </c>
      <c r="F1973" s="216" t="s">
        <v>50</v>
      </c>
      <c r="G1973" s="3" t="s">
        <v>56</v>
      </c>
      <c r="H1973" s="3" t="s">
        <v>56</v>
      </c>
      <c r="M1973" s="151" t="str">
        <f t="shared" si="94"/>
        <v/>
      </c>
      <c r="N1973" s="151" t="str">
        <f t="shared" si="95"/>
        <v>/</v>
      </c>
      <c r="Q1973" s="239" t="str">
        <f t="shared" ca="1" si="96"/>
        <v/>
      </c>
    </row>
    <row r="1974" spans="3:17" ht="15.75" hidden="1" customHeight="1" outlineLevel="1" x14ac:dyDescent="0.25">
      <c r="C1974" s="208"/>
      <c r="D1974" s="196">
        <v>42426</v>
      </c>
      <c r="E1974" s="101" t="s">
        <v>23</v>
      </c>
      <c r="F1974" s="216" t="s">
        <v>50</v>
      </c>
      <c r="G1974" s="3" t="s">
        <v>56</v>
      </c>
      <c r="H1974" s="3" t="s">
        <v>56</v>
      </c>
      <c r="M1974" s="151" t="str">
        <f t="shared" si="94"/>
        <v/>
      </c>
      <c r="N1974" s="151" t="str">
        <f t="shared" si="95"/>
        <v>/</v>
      </c>
      <c r="Q1974" s="239" t="str">
        <f t="shared" ca="1" si="96"/>
        <v/>
      </c>
    </row>
    <row r="1975" spans="3:17" ht="15.75" hidden="1" customHeight="1" outlineLevel="1" x14ac:dyDescent="0.25">
      <c r="C1975" s="207"/>
      <c r="D1975" s="196">
        <v>42430</v>
      </c>
      <c r="E1975" s="101" t="s">
        <v>5</v>
      </c>
      <c r="F1975" s="216" t="s">
        <v>49</v>
      </c>
      <c r="G1975" s="3" t="s">
        <v>56</v>
      </c>
      <c r="H1975" s="3" t="s">
        <v>56</v>
      </c>
      <c r="M1975" s="151" t="str">
        <f t="shared" si="94"/>
        <v>/</v>
      </c>
      <c r="N1975" s="151" t="str">
        <f t="shared" si="95"/>
        <v/>
      </c>
      <c r="Q1975" s="239" t="str">
        <f t="shared" ca="1" si="96"/>
        <v/>
      </c>
    </row>
    <row r="1976" spans="3:17" ht="15.75" hidden="1" customHeight="1" outlineLevel="1" x14ac:dyDescent="0.25">
      <c r="C1976" s="207"/>
      <c r="D1976" s="196">
        <v>42432</v>
      </c>
      <c r="E1976" s="101" t="s">
        <v>46</v>
      </c>
      <c r="F1976" s="216" t="s">
        <v>49</v>
      </c>
      <c r="G1976" s="3" t="s">
        <v>56</v>
      </c>
      <c r="H1976" s="3" t="s">
        <v>56</v>
      </c>
      <c r="M1976" s="151" t="str">
        <f t="shared" si="94"/>
        <v>/</v>
      </c>
      <c r="N1976" s="151" t="str">
        <f t="shared" si="95"/>
        <v/>
      </c>
      <c r="Q1976" s="239" t="str">
        <f t="shared" ca="1" si="96"/>
        <v/>
      </c>
    </row>
    <row r="1977" spans="3:17" ht="15.75" hidden="1" customHeight="1" outlineLevel="1" x14ac:dyDescent="0.25">
      <c r="C1977" s="207"/>
      <c r="D1977" s="196">
        <v>42434</v>
      </c>
      <c r="E1977" s="101" t="s">
        <v>644</v>
      </c>
      <c r="F1977" s="216" t="s">
        <v>50</v>
      </c>
      <c r="G1977" s="3" t="s">
        <v>56</v>
      </c>
      <c r="H1977" s="3" t="s">
        <v>56</v>
      </c>
      <c r="M1977" s="151" t="str">
        <f t="shared" si="94"/>
        <v/>
      </c>
      <c r="N1977" s="151" t="str">
        <f t="shared" si="95"/>
        <v>/</v>
      </c>
      <c r="Q1977" s="239" t="str">
        <f t="shared" ca="1" si="96"/>
        <v/>
      </c>
    </row>
    <row r="1978" spans="3:17" ht="15.75" hidden="1" customHeight="1" outlineLevel="1" x14ac:dyDescent="0.25">
      <c r="C1978" s="207"/>
      <c r="D1978" s="196">
        <v>42435</v>
      </c>
      <c r="E1978" s="101" t="s">
        <v>28</v>
      </c>
      <c r="F1978" s="216" t="s">
        <v>50</v>
      </c>
      <c r="G1978" s="3" t="s">
        <v>56</v>
      </c>
      <c r="H1978" s="3" t="s">
        <v>56</v>
      </c>
      <c r="M1978" s="151" t="str">
        <f t="shared" si="94"/>
        <v/>
      </c>
      <c r="N1978" s="151" t="str">
        <f t="shared" si="95"/>
        <v>/</v>
      </c>
      <c r="Q1978" s="239" t="str">
        <f t="shared" ca="1" si="96"/>
        <v/>
      </c>
    </row>
    <row r="1979" spans="3:17" ht="15.75" hidden="1" customHeight="1" outlineLevel="1" x14ac:dyDescent="0.25">
      <c r="C1979" s="207"/>
      <c r="D1979" s="196">
        <v>42437</v>
      </c>
      <c r="E1979" s="101" t="s">
        <v>12</v>
      </c>
      <c r="F1979" s="216" t="s">
        <v>49</v>
      </c>
      <c r="G1979" s="3" t="s">
        <v>56</v>
      </c>
      <c r="H1979" s="3" t="s">
        <v>56</v>
      </c>
      <c r="M1979" s="151" t="str">
        <f t="shared" si="94"/>
        <v>/</v>
      </c>
      <c r="N1979" s="151" t="str">
        <f t="shared" si="95"/>
        <v/>
      </c>
      <c r="Q1979" s="239" t="str">
        <f t="shared" ca="1" si="96"/>
        <v/>
      </c>
    </row>
    <row r="1980" spans="3:17" ht="15.75" hidden="1" customHeight="1" outlineLevel="1" x14ac:dyDescent="0.25">
      <c r="C1980" s="207"/>
      <c r="D1980" s="196">
        <v>42440</v>
      </c>
      <c r="E1980" s="101" t="s">
        <v>3</v>
      </c>
      <c r="F1980" s="216" t="s">
        <v>50</v>
      </c>
      <c r="G1980" s="3" t="s">
        <v>56</v>
      </c>
      <c r="H1980" s="3" t="s">
        <v>56</v>
      </c>
      <c r="M1980" s="151" t="str">
        <f t="shared" si="94"/>
        <v/>
      </c>
      <c r="N1980" s="151" t="str">
        <f t="shared" si="95"/>
        <v>/</v>
      </c>
      <c r="Q1980" s="239" t="str">
        <f t="shared" ca="1" si="96"/>
        <v/>
      </c>
    </row>
    <row r="1981" spans="3:17" ht="15.75" hidden="1" customHeight="1" outlineLevel="1" x14ac:dyDescent="0.25">
      <c r="C1981" s="207"/>
      <c r="D1981" s="196">
        <v>42443</v>
      </c>
      <c r="E1981" s="101" t="s">
        <v>24</v>
      </c>
      <c r="F1981" s="216" t="s">
        <v>49</v>
      </c>
      <c r="G1981" s="3" t="s">
        <v>56</v>
      </c>
      <c r="H1981" s="3" t="s">
        <v>56</v>
      </c>
      <c r="M1981" s="151" t="str">
        <f t="shared" si="94"/>
        <v>/</v>
      </c>
      <c r="N1981" s="151" t="str">
        <f t="shared" si="95"/>
        <v/>
      </c>
      <c r="Q1981" s="239" t="str">
        <f t="shared" ca="1" si="96"/>
        <v/>
      </c>
    </row>
    <row r="1982" spans="3:17" ht="15.75" hidden="1" customHeight="1" outlineLevel="1" x14ac:dyDescent="0.25">
      <c r="C1982" s="207"/>
      <c r="D1982" s="196">
        <v>42444</v>
      </c>
      <c r="E1982" s="101" t="s">
        <v>6</v>
      </c>
      <c r="F1982" s="216" t="s">
        <v>50</v>
      </c>
      <c r="G1982" s="3" t="s">
        <v>56</v>
      </c>
      <c r="H1982" s="3" t="s">
        <v>56</v>
      </c>
      <c r="M1982" s="151" t="str">
        <f t="shared" si="94"/>
        <v/>
      </c>
      <c r="N1982" s="151" t="str">
        <f t="shared" si="95"/>
        <v>/</v>
      </c>
      <c r="Q1982" s="239" t="str">
        <f t="shared" ca="1" si="96"/>
        <v/>
      </c>
    </row>
    <row r="1983" spans="3:17" ht="15.75" hidden="1" customHeight="1" outlineLevel="1" x14ac:dyDescent="0.25">
      <c r="C1983" s="207"/>
      <c r="D1983" s="196">
        <v>42446</v>
      </c>
      <c r="E1983" s="101" t="s">
        <v>17</v>
      </c>
      <c r="F1983" s="216" t="s">
        <v>49</v>
      </c>
      <c r="G1983" s="3" t="s">
        <v>56</v>
      </c>
      <c r="H1983" s="3" t="s">
        <v>56</v>
      </c>
      <c r="M1983" s="151" t="str">
        <f t="shared" si="94"/>
        <v>/</v>
      </c>
      <c r="N1983" s="151" t="str">
        <f t="shared" si="95"/>
        <v/>
      </c>
      <c r="Q1983" s="239" t="str">
        <f t="shared" ca="1" si="96"/>
        <v/>
      </c>
    </row>
    <row r="1984" spans="3:17" ht="15.75" hidden="1" customHeight="1" outlineLevel="1" x14ac:dyDescent="0.25">
      <c r="C1984" s="207"/>
      <c r="D1984" s="196">
        <v>42448</v>
      </c>
      <c r="E1984" s="101" t="s">
        <v>21</v>
      </c>
      <c r="F1984" s="216" t="s">
        <v>49</v>
      </c>
      <c r="G1984" s="3" t="s">
        <v>56</v>
      </c>
      <c r="H1984" s="3" t="s">
        <v>56</v>
      </c>
      <c r="M1984" s="151" t="str">
        <f t="shared" si="94"/>
        <v>/</v>
      </c>
      <c r="N1984" s="151" t="str">
        <f t="shared" si="95"/>
        <v/>
      </c>
      <c r="Q1984" s="239" t="str">
        <f t="shared" ca="1" si="96"/>
        <v/>
      </c>
    </row>
    <row r="1985" spans="2:17" ht="15.75" hidden="1" customHeight="1" outlineLevel="1" x14ac:dyDescent="0.25">
      <c r="C1985" s="207"/>
      <c r="D1985" s="196">
        <v>42450</v>
      </c>
      <c r="E1985" s="101" t="s">
        <v>20</v>
      </c>
      <c r="F1985" s="216" t="s">
        <v>49</v>
      </c>
      <c r="G1985" s="3" t="s">
        <v>56</v>
      </c>
      <c r="H1985" s="3" t="s">
        <v>56</v>
      </c>
      <c r="M1985" s="151" t="str">
        <f t="shared" si="94"/>
        <v>/</v>
      </c>
      <c r="N1985" s="151" t="str">
        <f t="shared" si="95"/>
        <v/>
      </c>
      <c r="Q1985" s="239" t="str">
        <f t="shared" ca="1" si="96"/>
        <v/>
      </c>
    </row>
    <row r="1986" spans="2:17" ht="15.75" hidden="1" customHeight="1" outlineLevel="1" x14ac:dyDescent="0.25">
      <c r="C1986" s="207"/>
      <c r="D1986" s="196">
        <v>42453</v>
      </c>
      <c r="E1986" s="101" t="s">
        <v>17</v>
      </c>
      <c r="F1986" s="216" t="s">
        <v>50</v>
      </c>
      <c r="G1986" s="3" t="s">
        <v>56</v>
      </c>
      <c r="H1986" s="3" t="s">
        <v>56</v>
      </c>
      <c r="M1986" s="151" t="str">
        <f t="shared" si="94"/>
        <v/>
      </c>
      <c r="N1986" s="151" t="str">
        <f t="shared" si="95"/>
        <v>/</v>
      </c>
      <c r="Q1986" s="239" t="str">
        <f t="shared" ca="1" si="96"/>
        <v/>
      </c>
    </row>
    <row r="1987" spans="2:17" ht="15.75" hidden="1" customHeight="1" outlineLevel="1" x14ac:dyDescent="0.25">
      <c r="C1987" s="207"/>
      <c r="D1987" s="196">
        <v>42455</v>
      </c>
      <c r="E1987" s="101" t="s">
        <v>15</v>
      </c>
      <c r="F1987" s="216" t="s">
        <v>50</v>
      </c>
      <c r="G1987" s="3" t="s">
        <v>56</v>
      </c>
      <c r="H1987" s="3" t="s">
        <v>56</v>
      </c>
      <c r="M1987" s="151" t="str">
        <f t="shared" si="94"/>
        <v/>
      </c>
      <c r="N1987" s="151" t="str">
        <f t="shared" si="95"/>
        <v>/</v>
      </c>
      <c r="Q1987" s="239" t="str">
        <f t="shared" ca="1" si="96"/>
        <v/>
      </c>
    </row>
    <row r="1988" spans="2:17" ht="15.75" hidden="1" customHeight="1" outlineLevel="1" x14ac:dyDescent="0.25">
      <c r="C1988" s="207"/>
      <c r="D1988" s="196">
        <v>42456</v>
      </c>
      <c r="E1988" s="101" t="s">
        <v>28</v>
      </c>
      <c r="F1988" s="216" t="s">
        <v>50</v>
      </c>
      <c r="G1988" s="3" t="s">
        <v>56</v>
      </c>
      <c r="H1988" s="3" t="s">
        <v>56</v>
      </c>
      <c r="M1988" s="151" t="str">
        <f t="shared" si="94"/>
        <v/>
      </c>
      <c r="N1988" s="151" t="str">
        <f t="shared" si="95"/>
        <v>/</v>
      </c>
      <c r="Q1988" s="239" t="str">
        <f t="shared" ca="1" si="96"/>
        <v/>
      </c>
    </row>
    <row r="1989" spans="2:17" ht="15.75" hidden="1" customHeight="1" outlineLevel="1" x14ac:dyDescent="0.25">
      <c r="C1989" s="207"/>
      <c r="D1989" s="196">
        <v>42458</v>
      </c>
      <c r="E1989" s="101" t="s">
        <v>645</v>
      </c>
      <c r="F1989" s="216" t="s">
        <v>49</v>
      </c>
      <c r="G1989" s="3" t="s">
        <v>56</v>
      </c>
      <c r="H1989" s="3" t="s">
        <v>56</v>
      </c>
      <c r="M1989" s="151" t="str">
        <f t="shared" si="94"/>
        <v>/</v>
      </c>
      <c r="N1989" s="151" t="str">
        <f t="shared" si="95"/>
        <v/>
      </c>
      <c r="Q1989" s="239" t="str">
        <f t="shared" ca="1" si="96"/>
        <v/>
      </c>
    </row>
    <row r="1990" spans="2:17" ht="15.75" hidden="1" customHeight="1" outlineLevel="1" x14ac:dyDescent="0.25">
      <c r="C1990" s="207"/>
      <c r="D1990" s="196">
        <v>42460</v>
      </c>
      <c r="E1990" s="101" t="s">
        <v>26</v>
      </c>
      <c r="F1990" s="216" t="s">
        <v>49</v>
      </c>
      <c r="G1990" s="3" t="s">
        <v>56</v>
      </c>
      <c r="H1990" s="3" t="s">
        <v>56</v>
      </c>
      <c r="M1990" s="151" t="str">
        <f t="shared" si="94"/>
        <v>/</v>
      </c>
      <c r="N1990" s="151" t="str">
        <f t="shared" si="95"/>
        <v/>
      </c>
      <c r="Q1990" s="239" t="str">
        <f t="shared" ca="1" si="96"/>
        <v/>
      </c>
    </row>
    <row r="1991" spans="2:17" ht="15.75" hidden="1" customHeight="1" outlineLevel="1" x14ac:dyDescent="0.25">
      <c r="C1991" s="208"/>
      <c r="D1991" s="196">
        <v>42462</v>
      </c>
      <c r="E1991" s="101" t="s">
        <v>2</v>
      </c>
      <c r="F1991" s="216" t="s">
        <v>49</v>
      </c>
      <c r="G1991" s="3" t="s">
        <v>56</v>
      </c>
      <c r="H1991" s="3" t="s">
        <v>56</v>
      </c>
      <c r="M1991" s="151" t="str">
        <f t="shared" ref="M1991:M2054" si="97">IF(F1991="D",H1991,"")</f>
        <v>/</v>
      </c>
      <c r="N1991" s="151" t="str">
        <f t="shared" ref="N1991:N2054" si="98">IF(F1991="E",H1991,"")</f>
        <v/>
      </c>
      <c r="Q1991" s="239" t="str">
        <f t="shared" ca="1" si="96"/>
        <v/>
      </c>
    </row>
    <row r="1992" spans="2:17" ht="15.75" hidden="1" customHeight="1" outlineLevel="1" x14ac:dyDescent="0.25">
      <c r="C1992" s="208"/>
      <c r="D1992" s="196">
        <v>42464</v>
      </c>
      <c r="E1992" s="101" t="s">
        <v>15</v>
      </c>
      <c r="F1992" s="216" t="s">
        <v>49</v>
      </c>
      <c r="G1992" s="3" t="s">
        <v>56</v>
      </c>
      <c r="H1992" s="3" t="s">
        <v>56</v>
      </c>
      <c r="M1992" s="151" t="str">
        <f t="shared" si="97"/>
        <v>/</v>
      </c>
      <c r="N1992" s="151" t="str">
        <f t="shared" si="98"/>
        <v/>
      </c>
      <c r="Q1992" s="239" t="str">
        <f t="shared" ca="1" si="96"/>
        <v/>
      </c>
    </row>
    <row r="1993" spans="2:17" ht="15.75" hidden="1" customHeight="1" outlineLevel="1" x14ac:dyDescent="0.25">
      <c r="C1993" s="208"/>
      <c r="D1993" s="196">
        <v>42467</v>
      </c>
      <c r="E1993" s="101" t="s">
        <v>15</v>
      </c>
      <c r="F1993" s="216" t="s">
        <v>50</v>
      </c>
      <c r="G1993" s="3" t="s">
        <v>56</v>
      </c>
      <c r="H1993" s="3" t="s">
        <v>56</v>
      </c>
      <c r="M1993" s="151" t="str">
        <f t="shared" si="97"/>
        <v/>
      </c>
      <c r="N1993" s="151" t="str">
        <f t="shared" si="98"/>
        <v>/</v>
      </c>
      <c r="Q1993" s="239" t="str">
        <f t="shared" ca="1" si="96"/>
        <v/>
      </c>
    </row>
    <row r="1994" spans="2:17" ht="15.75" hidden="1" customHeight="1" outlineLevel="1" x14ac:dyDescent="0.25">
      <c r="C1994" s="208"/>
      <c r="D1994" s="196">
        <v>42468</v>
      </c>
      <c r="E1994" s="101" t="s">
        <v>16</v>
      </c>
      <c r="F1994" s="216" t="s">
        <v>50</v>
      </c>
      <c r="G1994" s="3" t="s">
        <v>56</v>
      </c>
      <c r="H1994" s="3" t="s">
        <v>56</v>
      </c>
      <c r="M1994" s="151" t="str">
        <f t="shared" si="97"/>
        <v/>
      </c>
      <c r="N1994" s="151" t="str">
        <f t="shared" si="98"/>
        <v>/</v>
      </c>
      <c r="Q1994" s="239" t="str">
        <f t="shared" ca="1" si="96"/>
        <v/>
      </c>
    </row>
    <row r="1995" spans="2:17" ht="15.75" hidden="1" customHeight="1" outlineLevel="1" x14ac:dyDescent="0.25">
      <c r="C1995" s="208"/>
      <c r="D1995" s="196">
        <v>42471</v>
      </c>
      <c r="E1995" s="101" t="s">
        <v>644</v>
      </c>
      <c r="F1995" s="216" t="s">
        <v>50</v>
      </c>
      <c r="G1995" s="3" t="s">
        <v>56</v>
      </c>
      <c r="H1995" s="3" t="s">
        <v>56</v>
      </c>
      <c r="M1995" s="151" t="str">
        <f t="shared" si="97"/>
        <v/>
      </c>
      <c r="N1995" s="151" t="str">
        <f t="shared" si="98"/>
        <v>/</v>
      </c>
      <c r="Q1995" s="239" t="str">
        <f t="shared" ca="1" si="96"/>
        <v/>
      </c>
    </row>
    <row r="1996" spans="2:17" ht="15.75" hidden="1" customHeight="1" outlineLevel="1" x14ac:dyDescent="0.25">
      <c r="C1996" s="208"/>
      <c r="D1996" s="196">
        <v>42472</v>
      </c>
      <c r="E1996" s="102" t="s">
        <v>24</v>
      </c>
      <c r="F1996" s="217" t="s">
        <v>50</v>
      </c>
      <c r="G1996" s="3" t="s">
        <v>56</v>
      </c>
      <c r="H1996" s="3" t="s">
        <v>56</v>
      </c>
      <c r="M1996" s="151" t="str">
        <f t="shared" si="97"/>
        <v/>
      </c>
      <c r="N1996" s="151" t="str">
        <f t="shared" si="98"/>
        <v>/</v>
      </c>
      <c r="Q1996" s="239" t="str">
        <f t="shared" ca="1" si="96"/>
        <v/>
      </c>
    </row>
    <row r="1997" spans="2:17" collapsed="1" x14ac:dyDescent="0.25">
      <c r="B1997" s="404" t="str">
        <f ca="1">"- "&amp;INDEX(E1998:E2079,MATCH(TODAY(),D1998:D2079,0))</f>
        <v>- Phoenix</v>
      </c>
      <c r="C1997" s="404"/>
      <c r="D1997" s="406" t="s">
        <v>23</v>
      </c>
      <c r="E1997" s="407"/>
      <c r="F1997" s="408"/>
      <c r="H1997" s="3"/>
      <c r="Q1997" s="239" t="str">
        <f t="shared" ca="1" si="96"/>
        <v/>
      </c>
    </row>
    <row r="1998" spans="2:17" ht="16.5" hidden="1" customHeight="1" outlineLevel="1" x14ac:dyDescent="0.25">
      <c r="C1998" s="207"/>
      <c r="D1998" s="196">
        <v>42669</v>
      </c>
      <c r="E1998" s="103" t="s">
        <v>11</v>
      </c>
      <c r="F1998" s="215" t="s">
        <v>50</v>
      </c>
      <c r="G1998" s="3">
        <v>1</v>
      </c>
      <c r="H1998" s="3">
        <v>103</v>
      </c>
      <c r="I1998" s="151">
        <v>27</v>
      </c>
      <c r="J1998" s="151">
        <v>46</v>
      </c>
      <c r="K1998" s="151">
        <v>73</v>
      </c>
      <c r="L1998" s="151">
        <v>41</v>
      </c>
      <c r="M1998" s="151" t="str">
        <f t="shared" si="97"/>
        <v/>
      </c>
      <c r="N1998" s="151">
        <f t="shared" si="98"/>
        <v>103</v>
      </c>
      <c r="P1998" s="151">
        <v>97</v>
      </c>
      <c r="Q1998" s="239" t="str">
        <f t="shared" ca="1" si="96"/>
        <v/>
      </c>
    </row>
    <row r="1999" spans="2:17" ht="15.75" hidden="1" customHeight="1" outlineLevel="1" x14ac:dyDescent="0.25">
      <c r="C1999" s="207"/>
      <c r="D1999" s="196">
        <v>42671</v>
      </c>
      <c r="E1999" s="101" t="s">
        <v>25</v>
      </c>
      <c r="F1999" s="216" t="s">
        <v>49</v>
      </c>
      <c r="G1999" s="3" t="s">
        <v>56</v>
      </c>
      <c r="H1999" s="3" t="s">
        <v>56</v>
      </c>
      <c r="M1999" s="151" t="str">
        <f t="shared" si="97"/>
        <v>/</v>
      </c>
      <c r="N1999" s="151" t="str">
        <f t="shared" si="98"/>
        <v/>
      </c>
      <c r="Q1999" s="239">
        <f t="shared" ca="1" si="96"/>
        <v>1</v>
      </c>
    </row>
    <row r="2000" spans="2:17" ht="15.75" hidden="1" customHeight="1" outlineLevel="1" x14ac:dyDescent="0.25">
      <c r="C2000" s="207"/>
      <c r="D2000" s="196">
        <v>42673</v>
      </c>
      <c r="E2000" s="101" t="s">
        <v>644</v>
      </c>
      <c r="F2000" s="216" t="s">
        <v>49</v>
      </c>
      <c r="G2000" s="3" t="s">
        <v>56</v>
      </c>
      <c r="H2000" s="3" t="s">
        <v>56</v>
      </c>
      <c r="M2000" s="151" t="str">
        <f t="shared" si="97"/>
        <v>/</v>
      </c>
      <c r="N2000" s="151" t="str">
        <f t="shared" si="98"/>
        <v/>
      </c>
      <c r="Q2000" s="239" t="str">
        <f t="shared" ca="1" si="96"/>
        <v/>
      </c>
    </row>
    <row r="2001" spans="3:17" ht="15.75" hidden="1" customHeight="1" outlineLevel="1" x14ac:dyDescent="0.25">
      <c r="C2001" s="207"/>
      <c r="D2001" s="196">
        <v>42676</v>
      </c>
      <c r="E2001" s="101" t="s">
        <v>18</v>
      </c>
      <c r="F2001" s="216" t="s">
        <v>50</v>
      </c>
      <c r="G2001" s="3" t="s">
        <v>56</v>
      </c>
      <c r="H2001" s="3" t="s">
        <v>56</v>
      </c>
      <c r="M2001" s="151" t="str">
        <f t="shared" si="97"/>
        <v/>
      </c>
      <c r="N2001" s="151" t="str">
        <f t="shared" si="98"/>
        <v>/</v>
      </c>
      <c r="Q2001" s="239" t="str">
        <f t="shared" ca="1" si="96"/>
        <v/>
      </c>
    </row>
    <row r="2002" spans="3:17" ht="15.75" hidden="1" customHeight="1" outlineLevel="1" x14ac:dyDescent="0.25">
      <c r="C2002" s="207"/>
      <c r="D2002" s="196">
        <v>42677</v>
      </c>
      <c r="E2002" s="101" t="s">
        <v>16</v>
      </c>
      <c r="F2002" s="216" t="s">
        <v>50</v>
      </c>
      <c r="G2002" s="3" t="s">
        <v>56</v>
      </c>
      <c r="H2002" s="3" t="s">
        <v>56</v>
      </c>
      <c r="M2002" s="151" t="str">
        <f t="shared" si="97"/>
        <v/>
      </c>
      <c r="N2002" s="151" t="str">
        <f t="shared" si="98"/>
        <v>/</v>
      </c>
      <c r="Q2002" s="239" t="str">
        <f t="shared" ca="1" si="96"/>
        <v/>
      </c>
    </row>
    <row r="2003" spans="3:17" ht="15.75" hidden="1" customHeight="1" outlineLevel="1" x14ac:dyDescent="0.25">
      <c r="C2003" s="207"/>
      <c r="D2003" s="196">
        <v>42679</v>
      </c>
      <c r="E2003" s="101" t="s">
        <v>21</v>
      </c>
      <c r="F2003" s="216" t="s">
        <v>49</v>
      </c>
      <c r="G2003" s="3" t="s">
        <v>56</v>
      </c>
      <c r="H2003" s="3" t="s">
        <v>56</v>
      </c>
      <c r="M2003" s="151" t="str">
        <f t="shared" si="97"/>
        <v>/</v>
      </c>
      <c r="N2003" s="151" t="str">
        <f t="shared" si="98"/>
        <v/>
      </c>
      <c r="Q2003" s="239" t="str">
        <f t="shared" ca="1" si="96"/>
        <v/>
      </c>
    </row>
    <row r="2004" spans="3:17" ht="15.75" hidden="1" customHeight="1" outlineLevel="1" x14ac:dyDescent="0.25">
      <c r="C2004" s="207"/>
      <c r="D2004" s="196">
        <v>42681</v>
      </c>
      <c r="E2004" s="101" t="s">
        <v>6</v>
      </c>
      <c r="F2004" s="216" t="s">
        <v>49</v>
      </c>
      <c r="G2004" s="3" t="s">
        <v>56</v>
      </c>
      <c r="H2004" s="3" t="s">
        <v>56</v>
      </c>
      <c r="M2004" s="151" t="str">
        <f t="shared" si="97"/>
        <v>/</v>
      </c>
      <c r="N2004" s="151" t="str">
        <f t="shared" si="98"/>
        <v/>
      </c>
      <c r="Q2004" s="239" t="str">
        <f t="shared" ca="1" si="96"/>
        <v/>
      </c>
    </row>
    <row r="2005" spans="3:17" ht="15.75" hidden="1" customHeight="1" outlineLevel="1" x14ac:dyDescent="0.25">
      <c r="C2005" s="207"/>
      <c r="D2005" s="196">
        <v>42683</v>
      </c>
      <c r="E2005" s="101" t="s">
        <v>12</v>
      </c>
      <c r="F2005" s="216" t="s">
        <v>49</v>
      </c>
      <c r="G2005" s="3" t="s">
        <v>56</v>
      </c>
      <c r="H2005" s="3" t="s">
        <v>56</v>
      </c>
      <c r="M2005" s="151" t="str">
        <f t="shared" si="97"/>
        <v>/</v>
      </c>
      <c r="N2005" s="151" t="str">
        <f t="shared" si="98"/>
        <v/>
      </c>
      <c r="Q2005" s="239" t="str">
        <f t="shared" ca="1" si="96"/>
        <v/>
      </c>
    </row>
    <row r="2006" spans="3:17" ht="15.75" hidden="1" customHeight="1" outlineLevel="1" x14ac:dyDescent="0.25">
      <c r="C2006" s="207"/>
      <c r="D2006" s="196">
        <v>42685</v>
      </c>
      <c r="E2006" s="101" t="s">
        <v>18</v>
      </c>
      <c r="F2006" s="216" t="s">
        <v>49</v>
      </c>
      <c r="G2006" s="3" t="s">
        <v>56</v>
      </c>
      <c r="H2006" s="3" t="s">
        <v>56</v>
      </c>
      <c r="M2006" s="151" t="str">
        <f t="shared" si="97"/>
        <v>/</v>
      </c>
      <c r="N2006" s="151" t="str">
        <f t="shared" si="98"/>
        <v/>
      </c>
      <c r="Q2006" s="239" t="str">
        <f t="shared" ca="1" si="96"/>
        <v/>
      </c>
    </row>
    <row r="2007" spans="3:17" ht="15.75" hidden="1" customHeight="1" outlineLevel="1" x14ac:dyDescent="0.25">
      <c r="C2007" s="207"/>
      <c r="D2007" s="196">
        <v>42687</v>
      </c>
      <c r="E2007" s="101" t="s">
        <v>10</v>
      </c>
      <c r="F2007" s="216" t="s">
        <v>49</v>
      </c>
      <c r="G2007" s="3" t="s">
        <v>56</v>
      </c>
      <c r="H2007" s="3" t="s">
        <v>56</v>
      </c>
      <c r="M2007" s="151" t="str">
        <f t="shared" si="97"/>
        <v>/</v>
      </c>
      <c r="N2007" s="151" t="str">
        <f t="shared" si="98"/>
        <v/>
      </c>
      <c r="Q2007" s="239" t="str">
        <f t="shared" ca="1" si="96"/>
        <v/>
      </c>
    </row>
    <row r="2008" spans="3:17" ht="15.75" hidden="1" customHeight="1" outlineLevel="1" x14ac:dyDescent="0.25">
      <c r="C2008" s="207"/>
      <c r="D2008" s="196">
        <v>42688</v>
      </c>
      <c r="E2008" s="101" t="s">
        <v>5</v>
      </c>
      <c r="F2008" s="216" t="s">
        <v>50</v>
      </c>
      <c r="G2008" s="3" t="s">
        <v>56</v>
      </c>
      <c r="H2008" s="3" t="s">
        <v>56</v>
      </c>
      <c r="M2008" s="151" t="str">
        <f t="shared" si="97"/>
        <v/>
      </c>
      <c r="N2008" s="151" t="str">
        <f t="shared" si="98"/>
        <v>/</v>
      </c>
      <c r="Q2008" s="239" t="str">
        <f t="shared" ca="1" si="96"/>
        <v/>
      </c>
    </row>
    <row r="2009" spans="3:17" ht="15.75" hidden="1" customHeight="1" outlineLevel="1" x14ac:dyDescent="0.25">
      <c r="C2009" s="207"/>
      <c r="D2009" s="196">
        <v>42690</v>
      </c>
      <c r="E2009" s="101" t="s">
        <v>17</v>
      </c>
      <c r="F2009" s="216" t="s">
        <v>49</v>
      </c>
      <c r="G2009" s="3" t="s">
        <v>56</v>
      </c>
      <c r="H2009" s="3" t="s">
        <v>56</v>
      </c>
      <c r="M2009" s="151" t="str">
        <f t="shared" si="97"/>
        <v>/</v>
      </c>
      <c r="N2009" s="151" t="str">
        <f t="shared" si="98"/>
        <v/>
      </c>
      <c r="Q2009" s="239" t="str">
        <f t="shared" ca="1" si="96"/>
        <v/>
      </c>
    </row>
    <row r="2010" spans="3:17" ht="15.75" hidden="1" customHeight="1" outlineLevel="1" x14ac:dyDescent="0.25">
      <c r="C2010" s="207"/>
      <c r="D2010" s="196">
        <v>42692</v>
      </c>
      <c r="E2010" s="101" t="s">
        <v>45</v>
      </c>
      <c r="F2010" s="216" t="s">
        <v>49</v>
      </c>
      <c r="G2010" s="3" t="s">
        <v>56</v>
      </c>
      <c r="H2010" s="3" t="s">
        <v>56</v>
      </c>
      <c r="M2010" s="151" t="str">
        <f t="shared" si="97"/>
        <v>/</v>
      </c>
      <c r="N2010" s="151" t="str">
        <f t="shared" si="98"/>
        <v/>
      </c>
      <c r="Q2010" s="239" t="str">
        <f t="shared" ca="1" si="96"/>
        <v/>
      </c>
    </row>
    <row r="2011" spans="3:17" ht="15.75" hidden="1" customHeight="1" outlineLevel="1" x14ac:dyDescent="0.25">
      <c r="C2011" s="207"/>
      <c r="D2011" s="196">
        <v>42694</v>
      </c>
      <c r="E2011" s="101" t="s">
        <v>7</v>
      </c>
      <c r="F2011" s="216" t="s">
        <v>49</v>
      </c>
      <c r="G2011" s="3" t="s">
        <v>56</v>
      </c>
      <c r="H2011" s="3" t="s">
        <v>56</v>
      </c>
      <c r="M2011" s="151" t="str">
        <f t="shared" si="97"/>
        <v>/</v>
      </c>
      <c r="N2011" s="151" t="str">
        <f t="shared" si="98"/>
        <v/>
      </c>
      <c r="Q2011" s="239" t="str">
        <f t="shared" ca="1" si="96"/>
        <v/>
      </c>
    </row>
    <row r="2012" spans="3:17" ht="15.75" hidden="1" customHeight="1" outlineLevel="1" x14ac:dyDescent="0.25">
      <c r="C2012" s="207"/>
      <c r="D2012" s="196">
        <v>42696</v>
      </c>
      <c r="E2012" s="101" t="s">
        <v>644</v>
      </c>
      <c r="F2012" s="216" t="s">
        <v>50</v>
      </c>
      <c r="G2012" s="3" t="s">
        <v>56</v>
      </c>
      <c r="H2012" s="3" t="s">
        <v>56</v>
      </c>
      <c r="M2012" s="151" t="str">
        <f t="shared" si="97"/>
        <v/>
      </c>
      <c r="N2012" s="151" t="str">
        <f t="shared" si="98"/>
        <v>/</v>
      </c>
      <c r="Q2012" s="239" t="str">
        <f t="shared" ca="1" si="96"/>
        <v/>
      </c>
    </row>
    <row r="2013" spans="3:17" ht="15.75" hidden="1" customHeight="1" outlineLevel="1" x14ac:dyDescent="0.25">
      <c r="C2013" s="207"/>
      <c r="D2013" s="196">
        <v>42697</v>
      </c>
      <c r="E2013" s="101" t="s">
        <v>26</v>
      </c>
      <c r="F2013" s="216" t="s">
        <v>50</v>
      </c>
      <c r="G2013" s="3" t="s">
        <v>56</v>
      </c>
      <c r="H2013" s="3" t="s">
        <v>56</v>
      </c>
      <c r="M2013" s="151" t="str">
        <f t="shared" si="97"/>
        <v/>
      </c>
      <c r="N2013" s="151" t="str">
        <f t="shared" si="98"/>
        <v>/</v>
      </c>
      <c r="Q2013" s="239" t="str">
        <f t="shared" ca="1" si="96"/>
        <v/>
      </c>
    </row>
    <row r="2014" spans="3:17" ht="15.75" hidden="1" customHeight="1" outlineLevel="1" x14ac:dyDescent="0.25">
      <c r="C2014" s="207"/>
      <c r="D2014" s="196">
        <v>42699</v>
      </c>
      <c r="E2014" s="101" t="s">
        <v>15</v>
      </c>
      <c r="F2014" s="216" t="s">
        <v>50</v>
      </c>
      <c r="G2014" s="3" t="s">
        <v>56</v>
      </c>
      <c r="H2014" s="3" t="s">
        <v>56</v>
      </c>
      <c r="M2014" s="151" t="str">
        <f t="shared" si="97"/>
        <v/>
      </c>
      <c r="N2014" s="151" t="str">
        <f t="shared" si="98"/>
        <v>/</v>
      </c>
      <c r="Q2014" s="239" t="str">
        <f t="shared" ca="1" si="96"/>
        <v/>
      </c>
    </row>
    <row r="2015" spans="3:17" ht="15.75" hidden="1" customHeight="1" outlineLevel="1" x14ac:dyDescent="0.25">
      <c r="C2015" s="207"/>
      <c r="D2015" s="196">
        <v>42700</v>
      </c>
      <c r="E2015" s="101" t="s">
        <v>5</v>
      </c>
      <c r="F2015" s="216" t="s">
        <v>49</v>
      </c>
      <c r="G2015" s="3" t="s">
        <v>56</v>
      </c>
      <c r="H2015" s="3" t="s">
        <v>56</v>
      </c>
      <c r="M2015" s="151" t="str">
        <f t="shared" si="97"/>
        <v>/</v>
      </c>
      <c r="N2015" s="151" t="str">
        <f t="shared" si="98"/>
        <v/>
      </c>
      <c r="Q2015" s="239" t="str">
        <f t="shared" ca="1" si="96"/>
        <v/>
      </c>
    </row>
    <row r="2016" spans="3:17" ht="15.75" hidden="1" customHeight="1" outlineLevel="1" x14ac:dyDescent="0.25">
      <c r="C2016" s="207"/>
      <c r="D2016" s="196">
        <v>42702</v>
      </c>
      <c r="E2016" s="101" t="s">
        <v>9</v>
      </c>
      <c r="F2016" s="216" t="s">
        <v>50</v>
      </c>
      <c r="G2016" s="3" t="s">
        <v>56</v>
      </c>
      <c r="H2016" s="3" t="s">
        <v>56</v>
      </c>
      <c r="M2016" s="151" t="str">
        <f t="shared" si="97"/>
        <v/>
      </c>
      <c r="N2016" s="151" t="str">
        <f t="shared" si="98"/>
        <v>/</v>
      </c>
      <c r="Q2016" s="239" t="str">
        <f t="shared" ca="1" si="96"/>
        <v/>
      </c>
    </row>
    <row r="2017" spans="3:17" ht="15.75" hidden="1" customHeight="1" outlineLevel="1" x14ac:dyDescent="0.25">
      <c r="C2017" s="207"/>
      <c r="D2017" s="196">
        <v>42704</v>
      </c>
      <c r="E2017" s="101" t="s">
        <v>13</v>
      </c>
      <c r="F2017" s="216" t="s">
        <v>49</v>
      </c>
      <c r="G2017" s="3" t="s">
        <v>56</v>
      </c>
      <c r="H2017" s="3" t="s">
        <v>56</v>
      </c>
      <c r="M2017" s="151" t="str">
        <f t="shared" si="97"/>
        <v>/</v>
      </c>
      <c r="N2017" s="151" t="str">
        <f t="shared" si="98"/>
        <v/>
      </c>
      <c r="Q2017" s="239" t="str">
        <f t="shared" ca="1" si="96"/>
        <v/>
      </c>
    </row>
    <row r="2018" spans="3:17" ht="15.75" hidden="1" customHeight="1" outlineLevel="1" x14ac:dyDescent="0.25">
      <c r="C2018" s="208"/>
      <c r="D2018" s="196">
        <v>42708</v>
      </c>
      <c r="E2018" s="101" t="s">
        <v>22</v>
      </c>
      <c r="F2018" s="216" t="s">
        <v>49</v>
      </c>
      <c r="G2018" s="3" t="s">
        <v>56</v>
      </c>
      <c r="H2018" s="3" t="s">
        <v>56</v>
      </c>
      <c r="M2018" s="151" t="str">
        <f t="shared" si="97"/>
        <v>/</v>
      </c>
      <c r="N2018" s="151" t="str">
        <f t="shared" si="98"/>
        <v/>
      </c>
      <c r="Q2018" s="239" t="str">
        <f t="shared" ca="1" si="96"/>
        <v/>
      </c>
    </row>
    <row r="2019" spans="3:17" ht="15.75" hidden="1" customHeight="1" outlineLevel="1" x14ac:dyDescent="0.25">
      <c r="C2019" s="208"/>
      <c r="D2019" s="196">
        <v>42709</v>
      </c>
      <c r="E2019" s="101" t="s">
        <v>0</v>
      </c>
      <c r="F2019" s="216" t="s">
        <v>50</v>
      </c>
      <c r="G2019" s="3" t="s">
        <v>56</v>
      </c>
      <c r="H2019" s="3" t="s">
        <v>56</v>
      </c>
      <c r="M2019" s="151" t="str">
        <f t="shared" si="97"/>
        <v/>
      </c>
      <c r="N2019" s="151" t="str">
        <f t="shared" si="98"/>
        <v>/</v>
      </c>
      <c r="Q2019" s="239" t="str">
        <f t="shared" ca="1" si="96"/>
        <v/>
      </c>
    </row>
    <row r="2020" spans="3:17" ht="15.75" hidden="1" customHeight="1" outlineLevel="1" x14ac:dyDescent="0.25">
      <c r="C2020" s="208"/>
      <c r="D2020" s="196">
        <v>42713</v>
      </c>
      <c r="E2020" s="101" t="s">
        <v>17</v>
      </c>
      <c r="F2020" s="216" t="s">
        <v>49</v>
      </c>
      <c r="G2020" s="3" t="s">
        <v>56</v>
      </c>
      <c r="H2020" s="3" t="s">
        <v>56</v>
      </c>
      <c r="M2020" s="151" t="str">
        <f t="shared" si="97"/>
        <v>/</v>
      </c>
      <c r="N2020" s="151" t="str">
        <f t="shared" si="98"/>
        <v/>
      </c>
      <c r="Q2020" s="239" t="str">
        <f t="shared" ca="1" si="96"/>
        <v/>
      </c>
    </row>
    <row r="2021" spans="3:17" ht="15.75" hidden="1" customHeight="1" outlineLevel="1" x14ac:dyDescent="0.25">
      <c r="C2021" s="208"/>
      <c r="D2021" s="196">
        <v>42715</v>
      </c>
      <c r="E2021" s="101" t="s">
        <v>1</v>
      </c>
      <c r="F2021" s="216" t="s">
        <v>49</v>
      </c>
      <c r="G2021" s="3" t="s">
        <v>56</v>
      </c>
      <c r="H2021" s="3" t="s">
        <v>56</v>
      </c>
      <c r="M2021" s="151" t="str">
        <f t="shared" si="97"/>
        <v>/</v>
      </c>
      <c r="N2021" s="151" t="str">
        <f t="shared" si="98"/>
        <v/>
      </c>
      <c r="Q2021" s="239" t="str">
        <f t="shared" ca="1" si="96"/>
        <v/>
      </c>
    </row>
    <row r="2022" spans="3:17" ht="15.75" hidden="1" customHeight="1" outlineLevel="1" x14ac:dyDescent="0.25">
      <c r="C2022" s="208"/>
      <c r="D2022" s="196">
        <v>42717</v>
      </c>
      <c r="E2022" s="101" t="s">
        <v>24</v>
      </c>
      <c r="F2022" s="216" t="s">
        <v>50</v>
      </c>
      <c r="G2022" s="3" t="s">
        <v>56</v>
      </c>
      <c r="H2022" s="3" t="s">
        <v>56</v>
      </c>
      <c r="M2022" s="151" t="str">
        <f t="shared" si="97"/>
        <v/>
      </c>
      <c r="N2022" s="151" t="str">
        <f t="shared" si="98"/>
        <v>/</v>
      </c>
      <c r="Q2022" s="239" t="str">
        <f t="shared" ca="1" si="96"/>
        <v/>
      </c>
    </row>
    <row r="2023" spans="3:17" ht="15.75" hidden="1" customHeight="1" outlineLevel="1" x14ac:dyDescent="0.25">
      <c r="C2023" s="208"/>
      <c r="D2023" s="196">
        <v>42718</v>
      </c>
      <c r="E2023" s="101" t="s">
        <v>28</v>
      </c>
      <c r="F2023" s="216" t="s">
        <v>50</v>
      </c>
      <c r="G2023" s="3" t="s">
        <v>56</v>
      </c>
      <c r="H2023" s="3" t="s">
        <v>56</v>
      </c>
      <c r="M2023" s="151" t="str">
        <f t="shared" si="97"/>
        <v/>
      </c>
      <c r="N2023" s="151" t="str">
        <f t="shared" si="98"/>
        <v>/</v>
      </c>
      <c r="Q2023" s="239" t="str">
        <f t="shared" ca="1" si="96"/>
        <v/>
      </c>
    </row>
    <row r="2024" spans="3:17" ht="15.75" hidden="1" customHeight="1" outlineLevel="1" x14ac:dyDescent="0.25">
      <c r="C2024" s="208"/>
      <c r="D2024" s="196">
        <v>42721</v>
      </c>
      <c r="E2024" s="101" t="s">
        <v>25</v>
      </c>
      <c r="F2024" s="216" t="s">
        <v>49</v>
      </c>
      <c r="G2024" s="3" t="s">
        <v>56</v>
      </c>
      <c r="H2024" s="3" t="s">
        <v>56</v>
      </c>
      <c r="M2024" s="151" t="str">
        <f t="shared" si="97"/>
        <v>/</v>
      </c>
      <c r="N2024" s="151" t="str">
        <f t="shared" si="98"/>
        <v/>
      </c>
      <c r="Q2024" s="239" t="str">
        <f t="shared" ca="1" si="96"/>
        <v/>
      </c>
    </row>
    <row r="2025" spans="3:17" ht="15.75" hidden="1" customHeight="1" outlineLevel="1" x14ac:dyDescent="0.25">
      <c r="C2025" s="208"/>
      <c r="D2025" s="196">
        <v>42723</v>
      </c>
      <c r="E2025" s="101" t="s">
        <v>0</v>
      </c>
      <c r="F2025" s="216" t="s">
        <v>49</v>
      </c>
      <c r="G2025" s="3" t="s">
        <v>56</v>
      </c>
      <c r="H2025" s="3" t="s">
        <v>56</v>
      </c>
      <c r="M2025" s="151" t="str">
        <f t="shared" si="97"/>
        <v>/</v>
      </c>
      <c r="N2025" s="151" t="str">
        <f t="shared" si="98"/>
        <v/>
      </c>
      <c r="Q2025" s="239" t="str">
        <f t="shared" ca="1" si="96"/>
        <v/>
      </c>
    </row>
    <row r="2026" spans="3:17" ht="15.75" hidden="1" customHeight="1" outlineLevel="1" x14ac:dyDescent="0.25">
      <c r="C2026" s="208"/>
      <c r="D2026" s="196">
        <v>42725</v>
      </c>
      <c r="E2026" s="101" t="s">
        <v>22</v>
      </c>
      <c r="F2026" s="216" t="s">
        <v>50</v>
      </c>
      <c r="G2026" s="3" t="s">
        <v>56</v>
      </c>
      <c r="H2026" s="3" t="s">
        <v>56</v>
      </c>
      <c r="M2026" s="151" t="str">
        <f t="shared" si="97"/>
        <v/>
      </c>
      <c r="N2026" s="151" t="str">
        <f t="shared" si="98"/>
        <v>/</v>
      </c>
      <c r="Q2026" s="239" t="str">
        <f t="shared" ca="1" si="96"/>
        <v/>
      </c>
    </row>
    <row r="2027" spans="3:17" ht="15.75" hidden="1" customHeight="1" outlineLevel="1" x14ac:dyDescent="0.25">
      <c r="C2027" s="208"/>
      <c r="D2027" s="196">
        <v>42727</v>
      </c>
      <c r="E2027" s="101" t="s">
        <v>1</v>
      </c>
      <c r="F2027" s="216" t="s">
        <v>50</v>
      </c>
      <c r="G2027" s="3" t="s">
        <v>56</v>
      </c>
      <c r="H2027" s="3" t="s">
        <v>56</v>
      </c>
      <c r="M2027" s="151" t="str">
        <f t="shared" si="97"/>
        <v/>
      </c>
      <c r="N2027" s="151" t="str">
        <f t="shared" si="98"/>
        <v>/</v>
      </c>
      <c r="Q2027" s="239" t="str">
        <f t="shared" ref="Q2027:Q2090" ca="1" si="99">IF(D2027=TODAY(),1,"")</f>
        <v/>
      </c>
    </row>
    <row r="2028" spans="3:17" ht="15.75" hidden="1" customHeight="1" outlineLevel="1" x14ac:dyDescent="0.25">
      <c r="C2028" s="208"/>
      <c r="D2028" s="196">
        <v>42729</v>
      </c>
      <c r="E2028" s="101" t="s">
        <v>21</v>
      </c>
      <c r="F2028" s="216" t="s">
        <v>49</v>
      </c>
      <c r="G2028" s="3" t="s">
        <v>56</v>
      </c>
      <c r="H2028" s="3" t="s">
        <v>56</v>
      </c>
      <c r="M2028" s="151" t="str">
        <f t="shared" si="97"/>
        <v>/</v>
      </c>
      <c r="N2028" s="151" t="str">
        <f t="shared" si="98"/>
        <v/>
      </c>
      <c r="Q2028" s="239" t="str">
        <f t="shared" ca="1" si="99"/>
        <v/>
      </c>
    </row>
    <row r="2029" spans="3:17" ht="15.75" hidden="1" customHeight="1" outlineLevel="1" x14ac:dyDescent="0.25">
      <c r="C2029" s="208"/>
      <c r="D2029" s="196">
        <v>42731</v>
      </c>
      <c r="E2029" s="101" t="s">
        <v>6</v>
      </c>
      <c r="F2029" s="216" t="s">
        <v>50</v>
      </c>
      <c r="G2029" s="3" t="s">
        <v>56</v>
      </c>
      <c r="H2029" s="3" t="s">
        <v>56</v>
      </c>
      <c r="M2029" s="151" t="str">
        <f t="shared" si="97"/>
        <v/>
      </c>
      <c r="N2029" s="151" t="str">
        <f t="shared" si="98"/>
        <v>/</v>
      </c>
      <c r="Q2029" s="239" t="str">
        <f t="shared" ca="1" si="99"/>
        <v/>
      </c>
    </row>
    <row r="2030" spans="3:17" ht="15.75" hidden="1" customHeight="1" outlineLevel="1" x14ac:dyDescent="0.25">
      <c r="C2030" s="208"/>
      <c r="D2030" s="196">
        <v>42733</v>
      </c>
      <c r="E2030" s="101" t="s">
        <v>20</v>
      </c>
      <c r="F2030" s="216" t="s">
        <v>50</v>
      </c>
      <c r="G2030" s="3" t="s">
        <v>56</v>
      </c>
      <c r="H2030" s="3" t="s">
        <v>56</v>
      </c>
      <c r="M2030" s="151" t="str">
        <f t="shared" si="97"/>
        <v/>
      </c>
      <c r="N2030" s="151" t="str">
        <f t="shared" si="98"/>
        <v>/</v>
      </c>
      <c r="Q2030" s="239" t="str">
        <f t="shared" ca="1" si="99"/>
        <v/>
      </c>
    </row>
    <row r="2031" spans="3:17" ht="15.75" hidden="1" customHeight="1" outlineLevel="1" x14ac:dyDescent="0.25">
      <c r="C2031" s="208"/>
      <c r="D2031" s="196">
        <v>42735</v>
      </c>
      <c r="E2031" s="101" t="s">
        <v>18</v>
      </c>
      <c r="F2031" s="216" t="s">
        <v>49</v>
      </c>
      <c r="G2031" s="3" t="s">
        <v>56</v>
      </c>
      <c r="H2031" s="3" t="s">
        <v>56</v>
      </c>
      <c r="M2031" s="151" t="str">
        <f t="shared" si="97"/>
        <v>/</v>
      </c>
      <c r="N2031" s="151" t="str">
        <f t="shared" si="98"/>
        <v/>
      </c>
      <c r="Q2031" s="239" t="str">
        <f t="shared" ca="1" si="99"/>
        <v/>
      </c>
    </row>
    <row r="2032" spans="3:17" ht="15.75" hidden="1" customHeight="1" outlineLevel="1" x14ac:dyDescent="0.25">
      <c r="C2032" s="207"/>
      <c r="D2032" s="196">
        <v>42371</v>
      </c>
      <c r="E2032" s="101" t="s">
        <v>8</v>
      </c>
      <c r="F2032" s="216" t="s">
        <v>50</v>
      </c>
      <c r="G2032" s="3" t="s">
        <v>56</v>
      </c>
      <c r="H2032" s="3" t="s">
        <v>56</v>
      </c>
      <c r="M2032" s="151" t="str">
        <f t="shared" si="97"/>
        <v/>
      </c>
      <c r="N2032" s="151" t="str">
        <f t="shared" si="98"/>
        <v>/</v>
      </c>
      <c r="Q2032" s="239" t="str">
        <f t="shared" ca="1" si="99"/>
        <v/>
      </c>
    </row>
    <row r="2033" spans="3:17" ht="15.75" hidden="1" customHeight="1" outlineLevel="1" x14ac:dyDescent="0.25">
      <c r="C2033" s="207"/>
      <c r="D2033" s="196">
        <v>42373</v>
      </c>
      <c r="E2033" s="101" t="s">
        <v>3</v>
      </c>
      <c r="F2033" s="216" t="s">
        <v>50</v>
      </c>
      <c r="G2033" s="3" t="s">
        <v>56</v>
      </c>
      <c r="H2033" s="3" t="s">
        <v>56</v>
      </c>
      <c r="M2033" s="151" t="str">
        <f t="shared" si="97"/>
        <v/>
      </c>
      <c r="N2033" s="151" t="str">
        <f t="shared" si="98"/>
        <v>/</v>
      </c>
      <c r="Q2033" s="239" t="str">
        <f t="shared" ca="1" si="99"/>
        <v/>
      </c>
    </row>
    <row r="2034" spans="3:17" ht="15.75" hidden="1" customHeight="1" outlineLevel="1" x14ac:dyDescent="0.25">
      <c r="C2034" s="207"/>
      <c r="D2034" s="196">
        <v>42374</v>
      </c>
      <c r="E2034" s="101" t="s">
        <v>17</v>
      </c>
      <c r="F2034" s="216" t="s">
        <v>50</v>
      </c>
      <c r="G2034" s="3" t="s">
        <v>56</v>
      </c>
      <c r="H2034" s="3" t="s">
        <v>56</v>
      </c>
      <c r="M2034" s="151" t="str">
        <f t="shared" si="97"/>
        <v/>
      </c>
      <c r="N2034" s="151" t="str">
        <f t="shared" si="98"/>
        <v>/</v>
      </c>
      <c r="Q2034" s="239" t="str">
        <f t="shared" ca="1" si="99"/>
        <v/>
      </c>
    </row>
    <row r="2035" spans="3:17" ht="15.75" hidden="1" customHeight="1" outlineLevel="1" x14ac:dyDescent="0.25">
      <c r="C2035" s="207"/>
      <c r="D2035" s="196">
        <v>42376</v>
      </c>
      <c r="E2035" s="101" t="s">
        <v>15</v>
      </c>
      <c r="F2035" s="216" t="s">
        <v>49</v>
      </c>
      <c r="G2035" s="3" t="s">
        <v>56</v>
      </c>
      <c r="H2035" s="3" t="s">
        <v>56</v>
      </c>
      <c r="M2035" s="151" t="str">
        <f t="shared" si="97"/>
        <v>/</v>
      </c>
      <c r="N2035" s="151" t="str">
        <f t="shared" si="98"/>
        <v/>
      </c>
      <c r="Q2035" s="239" t="str">
        <f t="shared" ca="1" si="99"/>
        <v/>
      </c>
    </row>
    <row r="2036" spans="3:17" ht="15.75" hidden="1" customHeight="1" outlineLevel="1" x14ac:dyDescent="0.25">
      <c r="C2036" s="207"/>
      <c r="D2036" s="196">
        <v>42378</v>
      </c>
      <c r="E2036" s="101" t="s">
        <v>2</v>
      </c>
      <c r="F2036" s="216" t="s">
        <v>50</v>
      </c>
      <c r="G2036" s="3" t="s">
        <v>56</v>
      </c>
      <c r="H2036" s="3" t="s">
        <v>56</v>
      </c>
      <c r="M2036" s="151" t="str">
        <f t="shared" si="97"/>
        <v/>
      </c>
      <c r="N2036" s="151" t="str">
        <f t="shared" si="98"/>
        <v>/</v>
      </c>
      <c r="Q2036" s="239" t="str">
        <f t="shared" ca="1" si="99"/>
        <v/>
      </c>
    </row>
    <row r="2037" spans="3:17" ht="15.75" hidden="1" customHeight="1" outlineLevel="1" x14ac:dyDescent="0.25">
      <c r="C2037" s="207"/>
      <c r="D2037" s="196">
        <v>42380</v>
      </c>
      <c r="E2037" s="101" t="s">
        <v>20</v>
      </c>
      <c r="F2037" s="216" t="s">
        <v>49</v>
      </c>
      <c r="G2037" s="3" t="s">
        <v>56</v>
      </c>
      <c r="H2037" s="3" t="s">
        <v>56</v>
      </c>
      <c r="M2037" s="151" t="str">
        <f t="shared" si="97"/>
        <v>/</v>
      </c>
      <c r="N2037" s="151" t="str">
        <f t="shared" si="98"/>
        <v/>
      </c>
      <c r="Q2037" s="239" t="str">
        <f t="shared" ca="1" si="99"/>
        <v/>
      </c>
    </row>
    <row r="2038" spans="3:17" ht="15.75" hidden="1" customHeight="1" outlineLevel="1" x14ac:dyDescent="0.25">
      <c r="C2038" s="207"/>
      <c r="D2038" s="196">
        <v>42382</v>
      </c>
      <c r="E2038" s="101" t="s">
        <v>21</v>
      </c>
      <c r="F2038" s="216" t="s">
        <v>50</v>
      </c>
      <c r="G2038" s="3" t="s">
        <v>56</v>
      </c>
      <c r="H2038" s="3" t="s">
        <v>56</v>
      </c>
      <c r="M2038" s="151" t="str">
        <f t="shared" si="97"/>
        <v/>
      </c>
      <c r="N2038" s="151" t="str">
        <f t="shared" si="98"/>
        <v>/</v>
      </c>
      <c r="Q2038" s="239" t="str">
        <f t="shared" ca="1" si="99"/>
        <v/>
      </c>
    </row>
    <row r="2039" spans="3:17" ht="15.75" hidden="1" customHeight="1" outlineLevel="1" x14ac:dyDescent="0.25">
      <c r="C2039" s="207"/>
      <c r="D2039" s="196">
        <v>42384</v>
      </c>
      <c r="E2039" s="101" t="s">
        <v>26</v>
      </c>
      <c r="F2039" s="216" t="s">
        <v>50</v>
      </c>
      <c r="G2039" s="3" t="s">
        <v>56</v>
      </c>
      <c r="H2039" s="3" t="s">
        <v>56</v>
      </c>
      <c r="M2039" s="151" t="str">
        <f t="shared" si="97"/>
        <v/>
      </c>
      <c r="N2039" s="151" t="str">
        <f t="shared" si="98"/>
        <v>/</v>
      </c>
      <c r="Q2039" s="239" t="str">
        <f t="shared" ca="1" si="99"/>
        <v/>
      </c>
    </row>
    <row r="2040" spans="3:17" ht="15.75" hidden="1" customHeight="1" outlineLevel="1" x14ac:dyDescent="0.25">
      <c r="C2040" s="207"/>
      <c r="D2040" s="196">
        <v>42385</v>
      </c>
      <c r="E2040" s="101" t="s">
        <v>18</v>
      </c>
      <c r="F2040" s="216" t="s">
        <v>50</v>
      </c>
      <c r="G2040" s="3" t="s">
        <v>56</v>
      </c>
      <c r="H2040" s="3" t="s">
        <v>56</v>
      </c>
      <c r="M2040" s="151" t="str">
        <f t="shared" si="97"/>
        <v/>
      </c>
      <c r="N2040" s="151" t="str">
        <f t="shared" si="98"/>
        <v>/</v>
      </c>
      <c r="Q2040" s="239" t="str">
        <f t="shared" ca="1" si="99"/>
        <v/>
      </c>
    </row>
    <row r="2041" spans="3:17" ht="15.75" hidden="1" customHeight="1" outlineLevel="1" x14ac:dyDescent="0.25">
      <c r="C2041" s="207"/>
      <c r="D2041" s="196">
        <v>42387</v>
      </c>
      <c r="E2041" s="101" t="s">
        <v>16</v>
      </c>
      <c r="F2041" s="216" t="s">
        <v>50</v>
      </c>
      <c r="G2041" s="3" t="s">
        <v>56</v>
      </c>
      <c r="H2041" s="3" t="s">
        <v>56</v>
      </c>
      <c r="M2041" s="151" t="str">
        <f t="shared" si="97"/>
        <v/>
      </c>
      <c r="N2041" s="151" t="str">
        <f t="shared" si="98"/>
        <v>/</v>
      </c>
      <c r="Q2041" s="239" t="str">
        <f t="shared" ca="1" si="99"/>
        <v/>
      </c>
    </row>
    <row r="2042" spans="3:17" ht="15.75" hidden="1" customHeight="1" outlineLevel="1" x14ac:dyDescent="0.25">
      <c r="C2042" s="207"/>
      <c r="D2042" s="196">
        <v>42392</v>
      </c>
      <c r="E2042" s="101" t="s">
        <v>28</v>
      </c>
      <c r="F2042" s="216" t="s">
        <v>50</v>
      </c>
      <c r="G2042" s="3" t="s">
        <v>56</v>
      </c>
      <c r="H2042" s="3" t="s">
        <v>56</v>
      </c>
      <c r="M2042" s="151" t="str">
        <f t="shared" si="97"/>
        <v/>
      </c>
      <c r="N2042" s="151" t="str">
        <f t="shared" si="98"/>
        <v>/</v>
      </c>
      <c r="Q2042" s="239" t="str">
        <f t="shared" ca="1" si="99"/>
        <v/>
      </c>
    </row>
    <row r="2043" spans="3:17" ht="15.75" hidden="1" customHeight="1" outlineLevel="1" x14ac:dyDescent="0.25">
      <c r="C2043" s="207"/>
      <c r="D2043" s="196">
        <v>42394</v>
      </c>
      <c r="E2043" s="101" t="s">
        <v>22</v>
      </c>
      <c r="F2043" s="216" t="s">
        <v>50</v>
      </c>
      <c r="G2043" s="3" t="s">
        <v>56</v>
      </c>
      <c r="H2043" s="3" t="s">
        <v>56</v>
      </c>
      <c r="M2043" s="151" t="str">
        <f t="shared" si="97"/>
        <v/>
      </c>
      <c r="N2043" s="151" t="str">
        <f t="shared" si="98"/>
        <v>/</v>
      </c>
      <c r="Q2043" s="239" t="str">
        <f t="shared" ca="1" si="99"/>
        <v/>
      </c>
    </row>
    <row r="2044" spans="3:17" ht="15.75" hidden="1" customHeight="1" outlineLevel="1" x14ac:dyDescent="0.25">
      <c r="C2044" s="207"/>
      <c r="D2044" s="196">
        <v>42395</v>
      </c>
      <c r="E2044" s="101" t="s">
        <v>645</v>
      </c>
      <c r="F2044" s="216" t="s">
        <v>49</v>
      </c>
      <c r="G2044" s="3" t="s">
        <v>56</v>
      </c>
      <c r="H2044" s="3" t="s">
        <v>56</v>
      </c>
      <c r="M2044" s="151" t="str">
        <f t="shared" si="97"/>
        <v>/</v>
      </c>
      <c r="N2044" s="151" t="str">
        <f t="shared" si="98"/>
        <v/>
      </c>
      <c r="Q2044" s="239" t="str">
        <f t="shared" ca="1" si="99"/>
        <v/>
      </c>
    </row>
    <row r="2045" spans="3:17" ht="15.75" hidden="1" customHeight="1" outlineLevel="1" x14ac:dyDescent="0.25">
      <c r="C2045" s="207"/>
      <c r="D2045" s="196">
        <v>42398</v>
      </c>
      <c r="E2045" s="101" t="s">
        <v>4</v>
      </c>
      <c r="F2045" s="216" t="s">
        <v>50</v>
      </c>
      <c r="G2045" s="3" t="s">
        <v>56</v>
      </c>
      <c r="H2045" s="3" t="s">
        <v>56</v>
      </c>
      <c r="M2045" s="151" t="str">
        <f t="shared" si="97"/>
        <v/>
      </c>
      <c r="N2045" s="151" t="str">
        <f t="shared" si="98"/>
        <v>/</v>
      </c>
      <c r="Q2045" s="239" t="str">
        <f t="shared" ca="1" si="99"/>
        <v/>
      </c>
    </row>
    <row r="2046" spans="3:17" ht="15.75" hidden="1" customHeight="1" outlineLevel="1" x14ac:dyDescent="0.25">
      <c r="C2046" s="207"/>
      <c r="D2046" s="196">
        <v>42400</v>
      </c>
      <c r="E2046" s="101" t="s">
        <v>46</v>
      </c>
      <c r="F2046" s="216" t="s">
        <v>50</v>
      </c>
      <c r="G2046" s="3" t="s">
        <v>56</v>
      </c>
      <c r="H2046" s="3" t="s">
        <v>56</v>
      </c>
      <c r="M2046" s="151" t="str">
        <f t="shared" si="97"/>
        <v/>
      </c>
      <c r="N2046" s="151" t="str">
        <f t="shared" si="98"/>
        <v>/</v>
      </c>
      <c r="Q2046" s="239" t="str">
        <f t="shared" ca="1" si="99"/>
        <v/>
      </c>
    </row>
    <row r="2047" spans="3:17" ht="15.75" hidden="1" customHeight="1" outlineLevel="1" x14ac:dyDescent="0.25">
      <c r="C2047" s="208"/>
      <c r="D2047" s="196">
        <v>42401</v>
      </c>
      <c r="E2047" s="101" t="s">
        <v>2</v>
      </c>
      <c r="F2047" s="216" t="s">
        <v>49</v>
      </c>
      <c r="G2047" s="3" t="s">
        <v>56</v>
      </c>
      <c r="H2047" s="3" t="s">
        <v>56</v>
      </c>
      <c r="M2047" s="151" t="str">
        <f t="shared" si="97"/>
        <v>/</v>
      </c>
      <c r="N2047" s="151" t="str">
        <f t="shared" si="98"/>
        <v/>
      </c>
      <c r="Q2047" s="239" t="str">
        <f t="shared" ca="1" si="99"/>
        <v/>
      </c>
    </row>
    <row r="2048" spans="3:17" ht="15.75" hidden="1" customHeight="1" outlineLevel="1" x14ac:dyDescent="0.25">
      <c r="C2048" s="208"/>
      <c r="D2048" s="196">
        <v>42403</v>
      </c>
      <c r="E2048" s="101" t="s">
        <v>20</v>
      </c>
      <c r="F2048" s="216" t="s">
        <v>49</v>
      </c>
      <c r="G2048" s="3" t="s">
        <v>56</v>
      </c>
      <c r="H2048" s="3" t="s">
        <v>56</v>
      </c>
      <c r="M2048" s="151" t="str">
        <f t="shared" si="97"/>
        <v>/</v>
      </c>
      <c r="N2048" s="151" t="str">
        <f t="shared" si="98"/>
        <v/>
      </c>
      <c r="Q2048" s="239" t="str">
        <f t="shared" ca="1" si="99"/>
        <v/>
      </c>
    </row>
    <row r="2049" spans="3:17" ht="15.75" hidden="1" customHeight="1" outlineLevel="1" x14ac:dyDescent="0.25">
      <c r="C2049" s="208"/>
      <c r="D2049" s="196">
        <v>42405</v>
      </c>
      <c r="E2049" s="101" t="s">
        <v>24</v>
      </c>
      <c r="F2049" s="216" t="s">
        <v>49</v>
      </c>
      <c r="G2049" s="3" t="s">
        <v>56</v>
      </c>
      <c r="H2049" s="3" t="s">
        <v>56</v>
      </c>
      <c r="M2049" s="151" t="str">
        <f t="shared" si="97"/>
        <v>/</v>
      </c>
      <c r="N2049" s="151" t="str">
        <f t="shared" si="98"/>
        <v/>
      </c>
      <c r="Q2049" s="239" t="str">
        <f t="shared" ca="1" si="99"/>
        <v/>
      </c>
    </row>
    <row r="2050" spans="3:17" ht="15.75" hidden="1" customHeight="1" outlineLevel="1" x14ac:dyDescent="0.25">
      <c r="C2050" s="208"/>
      <c r="D2050" s="196">
        <v>42406</v>
      </c>
      <c r="E2050" s="101" t="s">
        <v>7</v>
      </c>
      <c r="F2050" s="216" t="s">
        <v>50</v>
      </c>
      <c r="G2050" s="3" t="s">
        <v>56</v>
      </c>
      <c r="H2050" s="3" t="s">
        <v>56</v>
      </c>
      <c r="M2050" s="151" t="str">
        <f t="shared" si="97"/>
        <v/>
      </c>
      <c r="N2050" s="151" t="str">
        <f t="shared" si="98"/>
        <v>/</v>
      </c>
      <c r="Q2050" s="239" t="str">
        <f t="shared" ca="1" si="99"/>
        <v/>
      </c>
    </row>
    <row r="2051" spans="3:17" ht="15.75" hidden="1" customHeight="1" outlineLevel="1" x14ac:dyDescent="0.25">
      <c r="C2051" s="208"/>
      <c r="D2051" s="196">
        <v>42409</v>
      </c>
      <c r="E2051" s="101" t="s">
        <v>4</v>
      </c>
      <c r="F2051" s="216" t="s">
        <v>49</v>
      </c>
      <c r="G2051" s="3" t="s">
        <v>56</v>
      </c>
      <c r="H2051" s="3" t="s">
        <v>56</v>
      </c>
      <c r="M2051" s="151" t="str">
        <f t="shared" si="97"/>
        <v>/</v>
      </c>
      <c r="N2051" s="151" t="str">
        <f t="shared" si="98"/>
        <v/>
      </c>
      <c r="Q2051" s="239" t="str">
        <f t="shared" ca="1" si="99"/>
        <v/>
      </c>
    </row>
    <row r="2052" spans="3:17" ht="15.75" hidden="1" customHeight="1" outlineLevel="1" x14ac:dyDescent="0.25">
      <c r="C2052" s="208"/>
      <c r="D2052" s="196">
        <v>42411</v>
      </c>
      <c r="E2052" s="101" t="s">
        <v>16</v>
      </c>
      <c r="F2052" s="216" t="s">
        <v>49</v>
      </c>
      <c r="G2052" s="3" t="s">
        <v>56</v>
      </c>
      <c r="H2052" s="3" t="s">
        <v>56</v>
      </c>
      <c r="M2052" s="151" t="str">
        <f t="shared" si="97"/>
        <v>/</v>
      </c>
      <c r="N2052" s="151" t="str">
        <f t="shared" si="98"/>
        <v/>
      </c>
      <c r="Q2052" s="239" t="str">
        <f t="shared" ca="1" si="99"/>
        <v/>
      </c>
    </row>
    <row r="2053" spans="3:17" ht="15.75" hidden="1" customHeight="1" outlineLevel="1" x14ac:dyDescent="0.25">
      <c r="C2053" s="208"/>
      <c r="D2053" s="196">
        <v>42413</v>
      </c>
      <c r="E2053" s="101" t="s">
        <v>13</v>
      </c>
      <c r="F2053" s="216" t="s">
        <v>50</v>
      </c>
      <c r="G2053" s="3" t="s">
        <v>56</v>
      </c>
      <c r="H2053" s="3" t="s">
        <v>56</v>
      </c>
      <c r="M2053" s="151" t="str">
        <f t="shared" si="97"/>
        <v/>
      </c>
      <c r="N2053" s="151" t="str">
        <f t="shared" si="98"/>
        <v>/</v>
      </c>
      <c r="Q2053" s="239" t="str">
        <f t="shared" ca="1" si="99"/>
        <v/>
      </c>
    </row>
    <row r="2054" spans="3:17" ht="15.75" hidden="1" customHeight="1" outlineLevel="1" x14ac:dyDescent="0.25">
      <c r="C2054" s="208"/>
      <c r="D2054" s="196">
        <v>42415</v>
      </c>
      <c r="E2054" s="101" t="s">
        <v>9</v>
      </c>
      <c r="F2054" s="216" t="s">
        <v>49</v>
      </c>
      <c r="G2054" s="3" t="s">
        <v>56</v>
      </c>
      <c r="H2054" s="3" t="s">
        <v>56</v>
      </c>
      <c r="M2054" s="151" t="str">
        <f t="shared" si="97"/>
        <v>/</v>
      </c>
      <c r="N2054" s="151" t="str">
        <f t="shared" si="98"/>
        <v/>
      </c>
      <c r="Q2054" s="239" t="str">
        <f t="shared" ca="1" si="99"/>
        <v/>
      </c>
    </row>
    <row r="2055" spans="3:17" ht="15.75" hidden="1" customHeight="1" outlineLevel="1" x14ac:dyDescent="0.25">
      <c r="C2055" s="208"/>
      <c r="D2055" s="196">
        <v>42424</v>
      </c>
      <c r="E2055" s="101" t="s">
        <v>644</v>
      </c>
      <c r="F2055" s="216" t="s">
        <v>49</v>
      </c>
      <c r="G2055" s="3" t="s">
        <v>56</v>
      </c>
      <c r="H2055" s="3" t="s">
        <v>56</v>
      </c>
      <c r="M2055" s="151" t="str">
        <f t="shared" ref="M2055:M2118" si="100">IF(F2055="D",H2055,"")</f>
        <v>/</v>
      </c>
      <c r="N2055" s="151" t="str">
        <f t="shared" ref="N2055:N2118" si="101">IF(F2055="E",H2055,"")</f>
        <v/>
      </c>
      <c r="Q2055" s="239" t="str">
        <f t="shared" ca="1" si="99"/>
        <v/>
      </c>
    </row>
    <row r="2056" spans="3:17" ht="15.75" hidden="1" customHeight="1" outlineLevel="1" x14ac:dyDescent="0.25">
      <c r="C2056" s="208"/>
      <c r="D2056" s="196">
        <v>42426</v>
      </c>
      <c r="E2056" s="101" t="s">
        <v>22</v>
      </c>
      <c r="F2056" s="216" t="s">
        <v>49</v>
      </c>
      <c r="G2056" s="3" t="s">
        <v>56</v>
      </c>
      <c r="H2056" s="3" t="s">
        <v>56</v>
      </c>
      <c r="M2056" s="151" t="str">
        <f t="shared" si="100"/>
        <v>/</v>
      </c>
      <c r="N2056" s="151" t="str">
        <f t="shared" si="101"/>
        <v/>
      </c>
      <c r="Q2056" s="239" t="str">
        <f t="shared" ca="1" si="99"/>
        <v/>
      </c>
    </row>
    <row r="2057" spans="3:17" ht="15.75" hidden="1" customHeight="1" outlineLevel="1" x14ac:dyDescent="0.25">
      <c r="C2057" s="208"/>
      <c r="D2057" s="196">
        <v>42428</v>
      </c>
      <c r="E2057" s="101" t="s">
        <v>28</v>
      </c>
      <c r="F2057" s="216" t="s">
        <v>49</v>
      </c>
      <c r="G2057" s="3" t="s">
        <v>56</v>
      </c>
      <c r="H2057" s="3" t="s">
        <v>56</v>
      </c>
      <c r="M2057" s="151" t="str">
        <f t="shared" si="100"/>
        <v>/</v>
      </c>
      <c r="N2057" s="151" t="str">
        <f t="shared" si="101"/>
        <v/>
      </c>
      <c r="Q2057" s="239" t="str">
        <f t="shared" ca="1" si="99"/>
        <v/>
      </c>
    </row>
    <row r="2058" spans="3:17" ht="15.75" hidden="1" customHeight="1" outlineLevel="1" x14ac:dyDescent="0.25">
      <c r="C2058" s="207"/>
      <c r="D2058" s="196">
        <v>42431</v>
      </c>
      <c r="E2058" s="101" t="s">
        <v>24</v>
      </c>
      <c r="F2058" s="216" t="s">
        <v>50</v>
      </c>
      <c r="G2058" s="3" t="s">
        <v>56</v>
      </c>
      <c r="H2058" s="3" t="s">
        <v>56</v>
      </c>
      <c r="M2058" s="151" t="str">
        <f t="shared" si="100"/>
        <v/>
      </c>
      <c r="N2058" s="151" t="str">
        <f t="shared" si="101"/>
        <v>/</v>
      </c>
      <c r="Q2058" s="239" t="str">
        <f t="shared" ca="1" si="99"/>
        <v/>
      </c>
    </row>
    <row r="2059" spans="3:17" ht="15.75" hidden="1" customHeight="1" outlineLevel="1" x14ac:dyDescent="0.25">
      <c r="C2059" s="207"/>
      <c r="D2059" s="196">
        <v>42432</v>
      </c>
      <c r="E2059" s="101" t="s">
        <v>25</v>
      </c>
      <c r="F2059" s="216" t="s">
        <v>50</v>
      </c>
      <c r="G2059" s="3" t="s">
        <v>56</v>
      </c>
      <c r="H2059" s="3" t="s">
        <v>56</v>
      </c>
      <c r="M2059" s="151" t="str">
        <f t="shared" si="100"/>
        <v/>
      </c>
      <c r="N2059" s="151" t="str">
        <f t="shared" si="101"/>
        <v>/</v>
      </c>
      <c r="Q2059" s="239" t="str">
        <f t="shared" ca="1" si="99"/>
        <v/>
      </c>
    </row>
    <row r="2060" spans="3:17" ht="15.75" hidden="1" customHeight="1" outlineLevel="1" x14ac:dyDescent="0.25">
      <c r="C2060" s="207"/>
      <c r="D2060" s="196">
        <v>42434</v>
      </c>
      <c r="E2060" s="101" t="s">
        <v>645</v>
      </c>
      <c r="F2060" s="216" t="s">
        <v>50</v>
      </c>
      <c r="G2060" s="3" t="s">
        <v>56</v>
      </c>
      <c r="H2060" s="3" t="s">
        <v>56</v>
      </c>
      <c r="M2060" s="151" t="str">
        <f t="shared" si="100"/>
        <v/>
      </c>
      <c r="N2060" s="151" t="str">
        <f t="shared" si="101"/>
        <v>/</v>
      </c>
      <c r="Q2060" s="239" t="str">
        <f t="shared" ca="1" si="99"/>
        <v/>
      </c>
    </row>
    <row r="2061" spans="3:17" ht="15.75" hidden="1" customHeight="1" outlineLevel="1" x14ac:dyDescent="0.25">
      <c r="C2061" s="207"/>
      <c r="D2061" s="196">
        <v>42436</v>
      </c>
      <c r="E2061" s="101" t="s">
        <v>24</v>
      </c>
      <c r="F2061" s="216" t="s">
        <v>49</v>
      </c>
      <c r="G2061" s="3" t="s">
        <v>56</v>
      </c>
      <c r="H2061" s="3" t="s">
        <v>56</v>
      </c>
      <c r="M2061" s="151" t="str">
        <f t="shared" si="100"/>
        <v>/</v>
      </c>
      <c r="N2061" s="151" t="str">
        <f t="shared" si="101"/>
        <v/>
      </c>
      <c r="Q2061" s="239" t="str">
        <f t="shared" ca="1" si="99"/>
        <v/>
      </c>
    </row>
    <row r="2062" spans="3:17" ht="15.75" hidden="1" customHeight="1" outlineLevel="1" x14ac:dyDescent="0.25">
      <c r="C2062" s="207"/>
      <c r="D2062" s="196">
        <v>42438</v>
      </c>
      <c r="E2062" s="101" t="s">
        <v>46</v>
      </c>
      <c r="F2062" s="216" t="s">
        <v>49</v>
      </c>
      <c r="G2062" s="3" t="s">
        <v>56</v>
      </c>
      <c r="H2062" s="3" t="s">
        <v>56</v>
      </c>
      <c r="M2062" s="151" t="str">
        <f t="shared" si="100"/>
        <v>/</v>
      </c>
      <c r="N2062" s="151" t="str">
        <f t="shared" si="101"/>
        <v/>
      </c>
      <c r="Q2062" s="239" t="str">
        <f t="shared" ca="1" si="99"/>
        <v/>
      </c>
    </row>
    <row r="2063" spans="3:17" ht="15.75" hidden="1" customHeight="1" outlineLevel="1" x14ac:dyDescent="0.25">
      <c r="C2063" s="207"/>
      <c r="D2063" s="196">
        <v>42440</v>
      </c>
      <c r="E2063" s="101" t="s">
        <v>28</v>
      </c>
      <c r="F2063" s="216" t="s">
        <v>49</v>
      </c>
      <c r="G2063" s="3" t="s">
        <v>56</v>
      </c>
      <c r="H2063" s="3" t="s">
        <v>56</v>
      </c>
      <c r="M2063" s="151" t="str">
        <f t="shared" si="100"/>
        <v>/</v>
      </c>
      <c r="N2063" s="151" t="str">
        <f t="shared" si="101"/>
        <v/>
      </c>
      <c r="Q2063" s="239" t="str">
        <f t="shared" ca="1" si="99"/>
        <v/>
      </c>
    </row>
    <row r="2064" spans="3:17" ht="15.75" hidden="1" customHeight="1" outlineLevel="1" x14ac:dyDescent="0.25">
      <c r="C2064" s="207"/>
      <c r="D2064" s="196">
        <v>42443</v>
      </c>
      <c r="E2064" s="101" t="s">
        <v>45</v>
      </c>
      <c r="F2064" s="216" t="s">
        <v>50</v>
      </c>
      <c r="G2064" s="3" t="s">
        <v>56</v>
      </c>
      <c r="H2064" s="3" t="s">
        <v>56</v>
      </c>
      <c r="M2064" s="151" t="str">
        <f t="shared" si="100"/>
        <v/>
      </c>
      <c r="N2064" s="151" t="str">
        <f t="shared" si="101"/>
        <v>/</v>
      </c>
      <c r="Q2064" s="239" t="str">
        <f t="shared" ca="1" si="99"/>
        <v/>
      </c>
    </row>
    <row r="2065" spans="2:17" ht="15.75" hidden="1" customHeight="1" outlineLevel="1" x14ac:dyDescent="0.25">
      <c r="C2065" s="207"/>
      <c r="D2065" s="196">
        <v>42445</v>
      </c>
      <c r="E2065" s="101" t="s">
        <v>12</v>
      </c>
      <c r="F2065" s="216" t="s">
        <v>50</v>
      </c>
      <c r="G2065" s="3" t="s">
        <v>56</v>
      </c>
      <c r="H2065" s="3" t="s">
        <v>56</v>
      </c>
      <c r="M2065" s="151" t="str">
        <f t="shared" si="100"/>
        <v/>
      </c>
      <c r="N2065" s="151" t="str">
        <f t="shared" si="101"/>
        <v>/</v>
      </c>
      <c r="Q2065" s="239" t="str">
        <f t="shared" ca="1" si="99"/>
        <v/>
      </c>
    </row>
    <row r="2066" spans="2:17" ht="15.75" hidden="1" customHeight="1" outlineLevel="1" x14ac:dyDescent="0.25">
      <c r="C2066" s="207"/>
      <c r="D2066" s="196">
        <v>42447</v>
      </c>
      <c r="E2066" s="101" t="s">
        <v>26</v>
      </c>
      <c r="F2066" s="216" t="s">
        <v>49</v>
      </c>
      <c r="G2066" s="3" t="s">
        <v>56</v>
      </c>
      <c r="H2066" s="3" t="s">
        <v>56</v>
      </c>
      <c r="M2066" s="151" t="str">
        <f t="shared" si="100"/>
        <v>/</v>
      </c>
      <c r="N2066" s="151" t="str">
        <f t="shared" si="101"/>
        <v/>
      </c>
      <c r="Q2066" s="239" t="str">
        <f t="shared" ca="1" si="99"/>
        <v/>
      </c>
    </row>
    <row r="2067" spans="2:17" ht="15.75" hidden="1" customHeight="1" outlineLevel="1" x14ac:dyDescent="0.25">
      <c r="C2067" s="207"/>
      <c r="D2067" s="196">
        <v>42449</v>
      </c>
      <c r="E2067" s="101" t="s">
        <v>16</v>
      </c>
      <c r="F2067" s="216" t="s">
        <v>49</v>
      </c>
      <c r="G2067" s="3" t="s">
        <v>56</v>
      </c>
      <c r="H2067" s="3" t="s">
        <v>56</v>
      </c>
      <c r="M2067" s="151" t="str">
        <f t="shared" si="100"/>
        <v>/</v>
      </c>
      <c r="N2067" s="151" t="str">
        <f t="shared" si="101"/>
        <v/>
      </c>
      <c r="Q2067" s="239" t="str">
        <f t="shared" ca="1" si="99"/>
        <v/>
      </c>
    </row>
    <row r="2068" spans="2:17" ht="15.75" hidden="1" customHeight="1" outlineLevel="1" x14ac:dyDescent="0.25">
      <c r="C2068" s="207"/>
      <c r="D2068" s="196">
        <v>42451</v>
      </c>
      <c r="E2068" s="101" t="s">
        <v>11</v>
      </c>
      <c r="F2068" s="216" t="s">
        <v>49</v>
      </c>
      <c r="G2068" s="3" t="s">
        <v>56</v>
      </c>
      <c r="H2068" s="3" t="s">
        <v>56</v>
      </c>
      <c r="M2068" s="151" t="str">
        <f t="shared" si="100"/>
        <v>/</v>
      </c>
      <c r="N2068" s="151" t="str">
        <f t="shared" si="101"/>
        <v/>
      </c>
      <c r="Q2068" s="239" t="str">
        <f t="shared" ca="1" si="99"/>
        <v/>
      </c>
    </row>
    <row r="2069" spans="2:17" ht="15.75" hidden="1" customHeight="1" outlineLevel="1" x14ac:dyDescent="0.25">
      <c r="C2069" s="207"/>
      <c r="D2069" s="196">
        <v>42455</v>
      </c>
      <c r="E2069" s="101" t="s">
        <v>17</v>
      </c>
      <c r="F2069" s="216" t="s">
        <v>50</v>
      </c>
      <c r="G2069" s="3" t="s">
        <v>56</v>
      </c>
      <c r="H2069" s="3" t="s">
        <v>56</v>
      </c>
      <c r="M2069" s="151" t="str">
        <f t="shared" si="100"/>
        <v/>
      </c>
      <c r="N2069" s="151" t="str">
        <f t="shared" si="101"/>
        <v>/</v>
      </c>
      <c r="Q2069" s="239" t="str">
        <f t="shared" ca="1" si="99"/>
        <v/>
      </c>
    </row>
    <row r="2070" spans="2:17" ht="15.75" hidden="1" customHeight="1" outlineLevel="1" x14ac:dyDescent="0.25">
      <c r="C2070" s="207"/>
      <c r="D2070" s="196">
        <v>42456</v>
      </c>
      <c r="E2070" s="101" t="s">
        <v>645</v>
      </c>
      <c r="F2070" s="216" t="s">
        <v>50</v>
      </c>
      <c r="G2070" s="3" t="s">
        <v>56</v>
      </c>
      <c r="H2070" s="3" t="s">
        <v>56</v>
      </c>
      <c r="M2070" s="151" t="str">
        <f t="shared" si="100"/>
        <v/>
      </c>
      <c r="N2070" s="151" t="str">
        <f t="shared" si="101"/>
        <v>/</v>
      </c>
      <c r="Q2070" s="239" t="str">
        <f t="shared" ca="1" si="99"/>
        <v/>
      </c>
    </row>
    <row r="2071" spans="2:17" ht="15.75" hidden="1" customHeight="1" outlineLevel="1" x14ac:dyDescent="0.25">
      <c r="C2071" s="207"/>
      <c r="D2071" s="196">
        <v>42458</v>
      </c>
      <c r="E2071" s="101" t="s">
        <v>10</v>
      </c>
      <c r="F2071" s="216" t="s">
        <v>50</v>
      </c>
      <c r="G2071" s="3" t="s">
        <v>56</v>
      </c>
      <c r="H2071" s="3" t="s">
        <v>56</v>
      </c>
      <c r="M2071" s="151" t="str">
        <f t="shared" si="100"/>
        <v/>
      </c>
      <c r="N2071" s="151" t="str">
        <f t="shared" si="101"/>
        <v>/</v>
      </c>
      <c r="Q2071" s="239" t="str">
        <f t="shared" ca="1" si="99"/>
        <v/>
      </c>
    </row>
    <row r="2072" spans="2:17" ht="15.75" hidden="1" customHeight="1" outlineLevel="1" x14ac:dyDescent="0.25">
      <c r="C2072" s="207"/>
      <c r="D2072" s="196">
        <v>42460</v>
      </c>
      <c r="E2072" s="101" t="s">
        <v>46</v>
      </c>
      <c r="F2072" s="216" t="s">
        <v>49</v>
      </c>
      <c r="G2072" s="3" t="s">
        <v>56</v>
      </c>
      <c r="H2072" s="3" t="s">
        <v>56</v>
      </c>
      <c r="M2072" s="151" t="str">
        <f t="shared" si="100"/>
        <v>/</v>
      </c>
      <c r="N2072" s="151" t="str">
        <f t="shared" si="101"/>
        <v/>
      </c>
      <c r="Q2072" s="239" t="str">
        <f t="shared" ca="1" si="99"/>
        <v/>
      </c>
    </row>
    <row r="2073" spans="2:17" ht="15.75" hidden="1" customHeight="1" outlineLevel="1" x14ac:dyDescent="0.25">
      <c r="C2073" s="208"/>
      <c r="D2073" s="196">
        <v>42462</v>
      </c>
      <c r="E2073" s="101" t="s">
        <v>3</v>
      </c>
      <c r="F2073" s="216" t="s">
        <v>49</v>
      </c>
      <c r="G2073" s="3" t="s">
        <v>56</v>
      </c>
      <c r="H2073" s="3" t="s">
        <v>56</v>
      </c>
      <c r="M2073" s="151" t="str">
        <f t="shared" si="100"/>
        <v>/</v>
      </c>
      <c r="N2073" s="151" t="str">
        <f t="shared" si="101"/>
        <v/>
      </c>
      <c r="Q2073" s="239" t="str">
        <f t="shared" ca="1" si="99"/>
        <v/>
      </c>
    </row>
    <row r="2074" spans="2:17" ht="15.75" hidden="1" customHeight="1" outlineLevel="1" x14ac:dyDescent="0.25">
      <c r="C2074" s="208"/>
      <c r="D2074" s="196">
        <v>42464</v>
      </c>
      <c r="E2074" s="101" t="s">
        <v>8</v>
      </c>
      <c r="F2074" s="216" t="s">
        <v>49</v>
      </c>
      <c r="G2074" s="3" t="s">
        <v>56</v>
      </c>
      <c r="H2074" s="3" t="s">
        <v>56</v>
      </c>
      <c r="M2074" s="151" t="str">
        <f t="shared" si="100"/>
        <v>/</v>
      </c>
      <c r="N2074" s="151" t="str">
        <f t="shared" si="101"/>
        <v/>
      </c>
      <c r="Q2074" s="239" t="str">
        <f t="shared" ca="1" si="99"/>
        <v/>
      </c>
    </row>
    <row r="2075" spans="2:17" ht="15.75" hidden="1" customHeight="1" outlineLevel="1" x14ac:dyDescent="0.25">
      <c r="C2075" s="208"/>
      <c r="D2075" s="196">
        <v>42465</v>
      </c>
      <c r="E2075" s="101" t="s">
        <v>20</v>
      </c>
      <c r="F2075" s="216" t="s">
        <v>50</v>
      </c>
      <c r="G2075" s="3" t="s">
        <v>56</v>
      </c>
      <c r="H2075" s="3" t="s">
        <v>56</v>
      </c>
      <c r="M2075" s="151" t="str">
        <f t="shared" si="100"/>
        <v/>
      </c>
      <c r="N2075" s="151" t="str">
        <f t="shared" si="101"/>
        <v>/</v>
      </c>
      <c r="Q2075" s="239" t="str">
        <f t="shared" ca="1" si="99"/>
        <v/>
      </c>
    </row>
    <row r="2076" spans="2:17" ht="15.75" hidden="1" customHeight="1" outlineLevel="1" x14ac:dyDescent="0.25">
      <c r="C2076" s="208"/>
      <c r="D2076" s="196">
        <v>42467</v>
      </c>
      <c r="E2076" s="101" t="s">
        <v>25</v>
      </c>
      <c r="F2076" s="216" t="s">
        <v>50</v>
      </c>
      <c r="G2076" s="3" t="s">
        <v>56</v>
      </c>
      <c r="H2076" s="3" t="s">
        <v>56</v>
      </c>
      <c r="M2076" s="151" t="str">
        <f t="shared" si="100"/>
        <v/>
      </c>
      <c r="N2076" s="151" t="str">
        <f t="shared" si="101"/>
        <v>/</v>
      </c>
      <c r="Q2076" s="239" t="str">
        <f t="shared" ca="1" si="99"/>
        <v/>
      </c>
    </row>
    <row r="2077" spans="2:17" ht="15.75" hidden="1" customHeight="1" outlineLevel="1" x14ac:dyDescent="0.25">
      <c r="C2077" s="208"/>
      <c r="D2077" s="196">
        <v>42469</v>
      </c>
      <c r="E2077" s="101" t="s">
        <v>15</v>
      </c>
      <c r="F2077" s="216" t="s">
        <v>50</v>
      </c>
      <c r="G2077" s="3" t="s">
        <v>56</v>
      </c>
      <c r="H2077" s="3" t="s">
        <v>56</v>
      </c>
      <c r="M2077" s="151" t="str">
        <f t="shared" si="100"/>
        <v/>
      </c>
      <c r="N2077" s="151" t="str">
        <f t="shared" si="101"/>
        <v>/</v>
      </c>
      <c r="Q2077" s="239" t="str">
        <f t="shared" ca="1" si="99"/>
        <v/>
      </c>
    </row>
    <row r="2078" spans="2:17" ht="15.75" hidden="1" customHeight="1" outlineLevel="1" x14ac:dyDescent="0.25">
      <c r="C2078" s="208"/>
      <c r="D2078" s="196">
        <v>42471</v>
      </c>
      <c r="E2078" s="101" t="s">
        <v>21</v>
      </c>
      <c r="F2078" s="216" t="s">
        <v>50</v>
      </c>
      <c r="G2078" s="3" t="s">
        <v>56</v>
      </c>
      <c r="H2078" s="3" t="s">
        <v>56</v>
      </c>
      <c r="M2078" s="151" t="str">
        <f t="shared" si="100"/>
        <v/>
      </c>
      <c r="N2078" s="151" t="str">
        <f t="shared" si="101"/>
        <v>/</v>
      </c>
      <c r="Q2078" s="239" t="str">
        <f t="shared" ca="1" si="99"/>
        <v/>
      </c>
    </row>
    <row r="2079" spans="2:17" ht="15.75" hidden="1" customHeight="1" outlineLevel="1" x14ac:dyDescent="0.25">
      <c r="C2079" s="208"/>
      <c r="D2079" s="196">
        <v>42472</v>
      </c>
      <c r="E2079" s="102" t="s">
        <v>15</v>
      </c>
      <c r="F2079" s="217" t="s">
        <v>49</v>
      </c>
      <c r="G2079" s="3" t="s">
        <v>56</v>
      </c>
      <c r="H2079" s="3" t="s">
        <v>56</v>
      </c>
      <c r="M2079" s="151" t="str">
        <f t="shared" si="100"/>
        <v>/</v>
      </c>
      <c r="N2079" s="151" t="str">
        <f t="shared" si="101"/>
        <v/>
      </c>
      <c r="Q2079" s="239" t="str">
        <f t="shared" ca="1" si="99"/>
        <v/>
      </c>
    </row>
    <row r="2080" spans="2:17" collapsed="1" x14ac:dyDescent="0.25">
      <c r="B2080" s="404" t="str">
        <f ca="1">"- "&amp;INDEX(E2081:E2162,MATCH(TODAY(),D2081:D2162,0))</f>
        <v>- OKC</v>
      </c>
      <c r="C2080" s="404"/>
      <c r="D2080" s="406" t="s">
        <v>25</v>
      </c>
      <c r="E2080" s="407"/>
      <c r="F2080" s="408"/>
      <c r="H2080" s="3"/>
      <c r="Q2080" s="239" t="str">
        <f t="shared" ca="1" si="99"/>
        <v/>
      </c>
    </row>
    <row r="2081" spans="3:17" ht="16.5" hidden="1" customHeight="1" outlineLevel="1" x14ac:dyDescent="0.25">
      <c r="C2081" s="207"/>
      <c r="D2081" s="196">
        <v>42669</v>
      </c>
      <c r="E2081" s="103" t="s">
        <v>26</v>
      </c>
      <c r="F2081" s="215" t="s">
        <v>49</v>
      </c>
      <c r="G2081" s="3">
        <v>0</v>
      </c>
      <c r="H2081" s="3">
        <v>94</v>
      </c>
      <c r="I2081" s="151">
        <v>25</v>
      </c>
      <c r="J2081" s="151">
        <v>52</v>
      </c>
      <c r="K2081" s="151">
        <v>67</v>
      </c>
      <c r="L2081" s="151">
        <v>47</v>
      </c>
      <c r="M2081" s="151">
        <f t="shared" si="100"/>
        <v>94</v>
      </c>
      <c r="N2081" s="151" t="str">
        <f t="shared" si="101"/>
        <v/>
      </c>
      <c r="O2081" s="151">
        <v>113</v>
      </c>
      <c r="Q2081" s="239" t="str">
        <f t="shared" ca="1" si="99"/>
        <v/>
      </c>
    </row>
    <row r="2082" spans="3:17" ht="15.75" hidden="1" customHeight="1" outlineLevel="1" x14ac:dyDescent="0.25">
      <c r="C2082" s="207"/>
      <c r="D2082" s="196">
        <v>42671</v>
      </c>
      <c r="E2082" s="101" t="s">
        <v>23</v>
      </c>
      <c r="F2082" s="216" t="s">
        <v>50</v>
      </c>
      <c r="G2082" s="3" t="s">
        <v>56</v>
      </c>
      <c r="H2082" s="3" t="s">
        <v>56</v>
      </c>
      <c r="M2082" s="151" t="str">
        <f t="shared" si="100"/>
        <v/>
      </c>
      <c r="N2082" s="151" t="str">
        <f t="shared" si="101"/>
        <v>/</v>
      </c>
      <c r="Q2082" s="239">
        <f t="shared" ca="1" si="99"/>
        <v>1</v>
      </c>
    </row>
    <row r="2083" spans="3:17" ht="15.75" hidden="1" customHeight="1" outlineLevel="1" x14ac:dyDescent="0.25">
      <c r="C2083" s="207"/>
      <c r="D2083" s="196">
        <v>42673</v>
      </c>
      <c r="E2083" s="101" t="s">
        <v>16</v>
      </c>
      <c r="F2083" s="216" t="s">
        <v>49</v>
      </c>
      <c r="G2083" s="3" t="s">
        <v>56</v>
      </c>
      <c r="H2083" s="3" t="s">
        <v>56</v>
      </c>
      <c r="M2083" s="151" t="str">
        <f t="shared" si="100"/>
        <v>/</v>
      </c>
      <c r="N2083" s="151" t="str">
        <f t="shared" si="101"/>
        <v/>
      </c>
      <c r="Q2083" s="239" t="str">
        <f t="shared" ca="1" si="99"/>
        <v/>
      </c>
    </row>
    <row r="2084" spans="3:17" ht="15.75" hidden="1" customHeight="1" outlineLevel="1" x14ac:dyDescent="0.25">
      <c r="C2084" s="207"/>
      <c r="D2084" s="196">
        <v>42674</v>
      </c>
      <c r="E2084" s="101" t="s">
        <v>18</v>
      </c>
      <c r="F2084" s="216" t="s">
        <v>50</v>
      </c>
      <c r="G2084" s="3" t="s">
        <v>56</v>
      </c>
      <c r="H2084" s="3" t="s">
        <v>56</v>
      </c>
      <c r="M2084" s="151" t="str">
        <f t="shared" si="100"/>
        <v/>
      </c>
      <c r="N2084" s="151" t="str">
        <f t="shared" si="101"/>
        <v>/</v>
      </c>
      <c r="Q2084" s="239" t="str">
        <f t="shared" ca="1" si="99"/>
        <v/>
      </c>
    </row>
    <row r="2085" spans="3:17" ht="15.75" hidden="1" customHeight="1" outlineLevel="1" x14ac:dyDescent="0.25">
      <c r="C2085" s="207"/>
      <c r="D2085" s="196">
        <v>42676</v>
      </c>
      <c r="E2085" s="101" t="s">
        <v>24</v>
      </c>
      <c r="F2085" s="216" t="s">
        <v>49</v>
      </c>
      <c r="G2085" s="3" t="s">
        <v>56</v>
      </c>
      <c r="H2085" s="3" t="s">
        <v>56</v>
      </c>
      <c r="M2085" s="151" t="str">
        <f t="shared" si="100"/>
        <v>/</v>
      </c>
      <c r="N2085" s="151" t="str">
        <f t="shared" si="101"/>
        <v/>
      </c>
      <c r="Q2085" s="239" t="str">
        <f t="shared" ca="1" si="99"/>
        <v/>
      </c>
    </row>
    <row r="2086" spans="3:17" ht="15.75" hidden="1" customHeight="1" outlineLevel="1" x14ac:dyDescent="0.25">
      <c r="C2086" s="207"/>
      <c r="D2086" s="196">
        <v>42678</v>
      </c>
      <c r="E2086" s="101" t="s">
        <v>22</v>
      </c>
      <c r="F2086" s="216" t="s">
        <v>50</v>
      </c>
      <c r="G2086" s="3" t="s">
        <v>56</v>
      </c>
      <c r="H2086" s="3" t="s">
        <v>56</v>
      </c>
      <c r="M2086" s="151" t="str">
        <f t="shared" si="100"/>
        <v/>
      </c>
      <c r="N2086" s="151" t="str">
        <f t="shared" si="101"/>
        <v>/</v>
      </c>
      <c r="Q2086" s="239" t="str">
        <f t="shared" ca="1" si="99"/>
        <v/>
      </c>
    </row>
    <row r="2087" spans="3:17" ht="15.75" hidden="1" customHeight="1" outlineLevel="1" x14ac:dyDescent="0.25">
      <c r="C2087" s="207"/>
      <c r="D2087" s="196">
        <v>42680</v>
      </c>
      <c r="E2087" s="101" t="s">
        <v>644</v>
      </c>
      <c r="F2087" s="216" t="s">
        <v>50</v>
      </c>
      <c r="G2087" s="3" t="s">
        <v>56</v>
      </c>
      <c r="H2087" s="3" t="s">
        <v>56</v>
      </c>
      <c r="M2087" s="151" t="str">
        <f t="shared" si="100"/>
        <v/>
      </c>
      <c r="N2087" s="151" t="str">
        <f t="shared" si="101"/>
        <v>/</v>
      </c>
      <c r="Q2087" s="239" t="str">
        <f t="shared" ca="1" si="99"/>
        <v/>
      </c>
    </row>
    <row r="2088" spans="3:17" ht="15.75" hidden="1" customHeight="1" outlineLevel="1" x14ac:dyDescent="0.25">
      <c r="C2088" s="207"/>
      <c r="D2088" s="196">
        <v>42682</v>
      </c>
      <c r="E2088" s="101" t="s">
        <v>24</v>
      </c>
      <c r="F2088" s="216" t="s">
        <v>50</v>
      </c>
      <c r="G2088" s="3" t="s">
        <v>56</v>
      </c>
      <c r="H2088" s="3" t="s">
        <v>56</v>
      </c>
      <c r="M2088" s="151" t="str">
        <f t="shared" si="100"/>
        <v/>
      </c>
      <c r="N2088" s="151" t="str">
        <f t="shared" si="101"/>
        <v>/</v>
      </c>
      <c r="Q2088" s="239" t="str">
        <f t="shared" ca="1" si="99"/>
        <v/>
      </c>
    </row>
    <row r="2089" spans="3:17" ht="15.75" hidden="1" customHeight="1" outlineLevel="1" x14ac:dyDescent="0.25">
      <c r="C2089" s="207"/>
      <c r="D2089" s="196">
        <v>42683</v>
      </c>
      <c r="E2089" s="101" t="s">
        <v>5</v>
      </c>
      <c r="F2089" s="216" t="s">
        <v>49</v>
      </c>
      <c r="G2089" s="3" t="s">
        <v>56</v>
      </c>
      <c r="H2089" s="3" t="s">
        <v>56</v>
      </c>
      <c r="M2089" s="151" t="str">
        <f t="shared" si="100"/>
        <v>/</v>
      </c>
      <c r="N2089" s="151" t="str">
        <f t="shared" si="101"/>
        <v/>
      </c>
      <c r="Q2089" s="239" t="str">
        <f t="shared" ca="1" si="99"/>
        <v/>
      </c>
    </row>
    <row r="2090" spans="3:17" ht="15.75" hidden="1" customHeight="1" outlineLevel="1" x14ac:dyDescent="0.25">
      <c r="C2090" s="207"/>
      <c r="D2090" s="196">
        <v>42686</v>
      </c>
      <c r="E2090" s="101" t="s">
        <v>45</v>
      </c>
      <c r="F2090" s="216" t="s">
        <v>49</v>
      </c>
      <c r="G2090" s="3" t="s">
        <v>56</v>
      </c>
      <c r="H2090" s="3" t="s">
        <v>56</v>
      </c>
      <c r="M2090" s="151" t="str">
        <f t="shared" si="100"/>
        <v>/</v>
      </c>
      <c r="N2090" s="151" t="str">
        <f t="shared" si="101"/>
        <v/>
      </c>
      <c r="Q2090" s="239" t="str">
        <f t="shared" ca="1" si="99"/>
        <v/>
      </c>
    </row>
    <row r="2091" spans="3:17" ht="15.75" hidden="1" customHeight="1" outlineLevel="1" x14ac:dyDescent="0.25">
      <c r="C2091" s="207"/>
      <c r="D2091" s="196">
        <v>42687</v>
      </c>
      <c r="E2091" s="101" t="s">
        <v>16</v>
      </c>
      <c r="F2091" s="216" t="s">
        <v>50</v>
      </c>
      <c r="G2091" s="3" t="s">
        <v>56</v>
      </c>
      <c r="H2091" s="3" t="s">
        <v>56</v>
      </c>
      <c r="M2091" s="151" t="str">
        <f t="shared" si="100"/>
        <v/>
      </c>
      <c r="N2091" s="151" t="str">
        <f t="shared" si="101"/>
        <v>/</v>
      </c>
      <c r="Q2091" s="239" t="str">
        <f t="shared" ref="Q2091:Q2154" ca="1" si="102">IF(D2091=TODAY(),1,"")</f>
        <v/>
      </c>
    </row>
    <row r="2092" spans="3:17" ht="15.75" hidden="1" customHeight="1" outlineLevel="1" x14ac:dyDescent="0.25">
      <c r="C2092" s="207"/>
      <c r="D2092" s="196">
        <v>42690</v>
      </c>
      <c r="E2092" s="101" t="s">
        <v>15</v>
      </c>
      <c r="F2092" s="216" t="s">
        <v>50</v>
      </c>
      <c r="G2092" s="3" t="s">
        <v>56</v>
      </c>
      <c r="H2092" s="3" t="s">
        <v>56</v>
      </c>
      <c r="M2092" s="151" t="str">
        <f t="shared" si="100"/>
        <v/>
      </c>
      <c r="N2092" s="151" t="str">
        <f t="shared" si="101"/>
        <v>/</v>
      </c>
      <c r="Q2092" s="239" t="str">
        <f t="shared" ca="1" si="102"/>
        <v/>
      </c>
    </row>
    <row r="2093" spans="3:17" ht="15.75" hidden="1" customHeight="1" outlineLevel="1" x14ac:dyDescent="0.25">
      <c r="C2093" s="207"/>
      <c r="D2093" s="196">
        <v>42692</v>
      </c>
      <c r="E2093" s="101" t="s">
        <v>7</v>
      </c>
      <c r="F2093" s="216" t="s">
        <v>50</v>
      </c>
      <c r="G2093" s="3" t="s">
        <v>56</v>
      </c>
      <c r="H2093" s="3" t="s">
        <v>56</v>
      </c>
      <c r="M2093" s="151" t="str">
        <f t="shared" si="100"/>
        <v/>
      </c>
      <c r="N2093" s="151" t="str">
        <f t="shared" si="101"/>
        <v>/</v>
      </c>
      <c r="Q2093" s="239" t="str">
        <f t="shared" ca="1" si="102"/>
        <v/>
      </c>
    </row>
    <row r="2094" spans="3:17" ht="15.75" hidden="1" customHeight="1" outlineLevel="1" x14ac:dyDescent="0.25">
      <c r="C2094" s="207"/>
      <c r="D2094" s="196">
        <v>42693</v>
      </c>
      <c r="E2094" s="101" t="s">
        <v>11</v>
      </c>
      <c r="F2094" s="216" t="s">
        <v>50</v>
      </c>
      <c r="G2094" s="3" t="s">
        <v>56</v>
      </c>
      <c r="H2094" s="3" t="s">
        <v>56</v>
      </c>
      <c r="M2094" s="151" t="str">
        <f t="shared" si="100"/>
        <v/>
      </c>
      <c r="N2094" s="151" t="str">
        <f t="shared" si="101"/>
        <v>/</v>
      </c>
      <c r="Q2094" s="239" t="str">
        <f t="shared" ca="1" si="102"/>
        <v/>
      </c>
    </row>
    <row r="2095" spans="3:17" ht="15.75" hidden="1" customHeight="1" outlineLevel="1" x14ac:dyDescent="0.25">
      <c r="C2095" s="207"/>
      <c r="D2095" s="196">
        <v>42695</v>
      </c>
      <c r="E2095" s="101" t="s">
        <v>13</v>
      </c>
      <c r="F2095" s="216" t="s">
        <v>50</v>
      </c>
      <c r="G2095" s="3" t="s">
        <v>56</v>
      </c>
      <c r="H2095" s="3" t="s">
        <v>56</v>
      </c>
      <c r="M2095" s="151" t="str">
        <f t="shared" si="100"/>
        <v/>
      </c>
      <c r="N2095" s="151" t="str">
        <f t="shared" si="101"/>
        <v>/</v>
      </c>
      <c r="Q2095" s="239" t="str">
        <f t="shared" ca="1" si="102"/>
        <v/>
      </c>
    </row>
    <row r="2096" spans="3:17" ht="15.75" hidden="1" customHeight="1" outlineLevel="1" x14ac:dyDescent="0.25">
      <c r="C2096" s="207"/>
      <c r="D2096" s="196">
        <v>42697</v>
      </c>
      <c r="E2096" s="101" t="s">
        <v>10</v>
      </c>
      <c r="F2096" s="216" t="s">
        <v>50</v>
      </c>
      <c r="G2096" s="3" t="s">
        <v>56</v>
      </c>
      <c r="H2096" s="3" t="s">
        <v>56</v>
      </c>
      <c r="M2096" s="151" t="str">
        <f t="shared" si="100"/>
        <v/>
      </c>
      <c r="N2096" s="151" t="str">
        <f t="shared" si="101"/>
        <v>/</v>
      </c>
      <c r="Q2096" s="239" t="str">
        <f t="shared" ca="1" si="102"/>
        <v/>
      </c>
    </row>
    <row r="2097" spans="3:17" ht="15.75" hidden="1" customHeight="1" outlineLevel="1" x14ac:dyDescent="0.25">
      <c r="C2097" s="207"/>
      <c r="D2097" s="196">
        <v>42699</v>
      </c>
      <c r="E2097" s="101" t="s">
        <v>21</v>
      </c>
      <c r="F2097" s="216" t="s">
        <v>49</v>
      </c>
      <c r="G2097" s="3" t="s">
        <v>56</v>
      </c>
      <c r="H2097" s="3" t="s">
        <v>56</v>
      </c>
      <c r="M2097" s="151" t="str">
        <f t="shared" si="100"/>
        <v>/</v>
      </c>
      <c r="N2097" s="151" t="str">
        <f t="shared" si="101"/>
        <v/>
      </c>
      <c r="Q2097" s="239" t="str">
        <f t="shared" ca="1" si="102"/>
        <v/>
      </c>
    </row>
    <row r="2098" spans="3:17" ht="15.75" hidden="1" customHeight="1" outlineLevel="1" x14ac:dyDescent="0.25">
      <c r="C2098" s="207"/>
      <c r="D2098" s="196">
        <v>42701</v>
      </c>
      <c r="E2098" s="101" t="s">
        <v>15</v>
      </c>
      <c r="F2098" s="216" t="s">
        <v>49</v>
      </c>
      <c r="G2098" s="3" t="s">
        <v>56</v>
      </c>
      <c r="H2098" s="3" t="s">
        <v>56</v>
      </c>
      <c r="M2098" s="151" t="str">
        <f t="shared" si="100"/>
        <v>/</v>
      </c>
      <c r="N2098" s="151" t="str">
        <f t="shared" si="101"/>
        <v/>
      </c>
      <c r="Q2098" s="239" t="str">
        <f t="shared" ca="1" si="102"/>
        <v/>
      </c>
    </row>
    <row r="2099" spans="3:17" ht="15.75" hidden="1" customHeight="1" outlineLevel="1" x14ac:dyDescent="0.25">
      <c r="C2099" s="207"/>
      <c r="D2099" s="196">
        <v>42704</v>
      </c>
      <c r="E2099" s="101" t="s">
        <v>0</v>
      </c>
      <c r="F2099" s="216" t="s">
        <v>49</v>
      </c>
      <c r="G2099" s="3" t="s">
        <v>56</v>
      </c>
      <c r="H2099" s="3" t="s">
        <v>56</v>
      </c>
      <c r="M2099" s="151" t="str">
        <f t="shared" si="100"/>
        <v>/</v>
      </c>
      <c r="N2099" s="151" t="str">
        <f t="shared" si="101"/>
        <v/>
      </c>
      <c r="Q2099" s="239" t="str">
        <f t="shared" ca="1" si="102"/>
        <v/>
      </c>
    </row>
    <row r="2100" spans="3:17" ht="15.75" hidden="1" customHeight="1" outlineLevel="1" x14ac:dyDescent="0.25">
      <c r="C2100" s="208"/>
      <c r="D2100" s="196">
        <v>42707</v>
      </c>
      <c r="E2100" s="101" t="s">
        <v>16</v>
      </c>
      <c r="F2100" s="216" t="s">
        <v>50</v>
      </c>
      <c r="G2100" s="3" t="s">
        <v>56</v>
      </c>
      <c r="H2100" s="3" t="s">
        <v>56</v>
      </c>
      <c r="M2100" s="151" t="str">
        <f t="shared" si="100"/>
        <v/>
      </c>
      <c r="N2100" s="151" t="str">
        <f t="shared" si="101"/>
        <v>/</v>
      </c>
      <c r="Q2100" s="239" t="str">
        <f t="shared" ca="1" si="102"/>
        <v/>
      </c>
    </row>
    <row r="2101" spans="3:17" ht="15.75" hidden="1" customHeight="1" outlineLevel="1" x14ac:dyDescent="0.25">
      <c r="C2101" s="208"/>
      <c r="D2101" s="196">
        <v>42710</v>
      </c>
      <c r="E2101" s="101" t="s">
        <v>28</v>
      </c>
      <c r="F2101" s="216" t="s">
        <v>50</v>
      </c>
      <c r="G2101" s="3" t="s">
        <v>56</v>
      </c>
      <c r="H2101" s="3" t="s">
        <v>56</v>
      </c>
      <c r="M2101" s="151" t="str">
        <f t="shared" si="100"/>
        <v/>
      </c>
      <c r="N2101" s="151" t="str">
        <f t="shared" si="101"/>
        <v>/</v>
      </c>
      <c r="Q2101" s="239" t="str">
        <f t="shared" ca="1" si="102"/>
        <v/>
      </c>
    </row>
    <row r="2102" spans="3:17" ht="15.75" hidden="1" customHeight="1" outlineLevel="1" x14ac:dyDescent="0.25">
      <c r="C2102" s="208"/>
      <c r="D2102" s="196">
        <v>42711</v>
      </c>
      <c r="E2102" s="101" t="s">
        <v>7</v>
      </c>
      <c r="F2102" s="216" t="s">
        <v>49</v>
      </c>
      <c r="G2102" s="3" t="s">
        <v>56</v>
      </c>
      <c r="H2102" s="3" t="s">
        <v>56</v>
      </c>
      <c r="M2102" s="151" t="str">
        <f t="shared" si="100"/>
        <v>/</v>
      </c>
      <c r="N2102" s="151" t="str">
        <f t="shared" si="101"/>
        <v/>
      </c>
      <c r="Q2102" s="239" t="str">
        <f t="shared" ca="1" si="102"/>
        <v/>
      </c>
    </row>
    <row r="2103" spans="3:17" ht="15.75" hidden="1" customHeight="1" outlineLevel="1" x14ac:dyDescent="0.25">
      <c r="C2103" s="208"/>
      <c r="D2103" s="196">
        <v>42713</v>
      </c>
      <c r="E2103" s="101" t="s">
        <v>644</v>
      </c>
      <c r="F2103" s="216" t="s">
        <v>50</v>
      </c>
      <c r="G2103" s="3" t="s">
        <v>56</v>
      </c>
      <c r="H2103" s="3" t="s">
        <v>56</v>
      </c>
      <c r="M2103" s="151" t="str">
        <f t="shared" si="100"/>
        <v/>
      </c>
      <c r="N2103" s="151" t="str">
        <f t="shared" si="101"/>
        <v>/</v>
      </c>
      <c r="Q2103" s="239" t="str">
        <f t="shared" ca="1" si="102"/>
        <v/>
      </c>
    </row>
    <row r="2104" spans="3:17" ht="15.75" hidden="1" customHeight="1" outlineLevel="1" x14ac:dyDescent="0.25">
      <c r="C2104" s="208"/>
      <c r="D2104" s="196">
        <v>42715</v>
      </c>
      <c r="E2104" s="101" t="s">
        <v>22</v>
      </c>
      <c r="F2104" s="216" t="s">
        <v>49</v>
      </c>
      <c r="G2104" s="3" t="s">
        <v>56</v>
      </c>
      <c r="H2104" s="3" t="s">
        <v>56</v>
      </c>
      <c r="M2104" s="151" t="str">
        <f t="shared" si="100"/>
        <v>/</v>
      </c>
      <c r="N2104" s="151" t="str">
        <f t="shared" si="101"/>
        <v/>
      </c>
      <c r="Q2104" s="239" t="str">
        <f t="shared" ca="1" si="102"/>
        <v/>
      </c>
    </row>
    <row r="2105" spans="3:17" ht="15.75" hidden="1" customHeight="1" outlineLevel="1" x14ac:dyDescent="0.25">
      <c r="C2105" s="208"/>
      <c r="D2105" s="196">
        <v>42717</v>
      </c>
      <c r="E2105" s="101" t="s">
        <v>9</v>
      </c>
      <c r="F2105" s="216" t="s">
        <v>49</v>
      </c>
      <c r="G2105" s="3" t="s">
        <v>56</v>
      </c>
      <c r="H2105" s="3" t="s">
        <v>56</v>
      </c>
      <c r="M2105" s="151" t="str">
        <f t="shared" si="100"/>
        <v>/</v>
      </c>
      <c r="N2105" s="151" t="str">
        <f t="shared" si="101"/>
        <v/>
      </c>
      <c r="Q2105" s="239" t="str">
        <f t="shared" ca="1" si="102"/>
        <v/>
      </c>
    </row>
    <row r="2106" spans="3:17" ht="15.75" hidden="1" customHeight="1" outlineLevel="1" x14ac:dyDescent="0.25">
      <c r="C2106" s="208"/>
      <c r="D2106" s="196">
        <v>42719</v>
      </c>
      <c r="E2106" s="101" t="s">
        <v>46</v>
      </c>
      <c r="F2106" s="216" t="s">
        <v>49</v>
      </c>
      <c r="G2106" s="3" t="s">
        <v>56</v>
      </c>
      <c r="H2106" s="3" t="s">
        <v>56</v>
      </c>
      <c r="M2106" s="151" t="str">
        <f t="shared" si="100"/>
        <v>/</v>
      </c>
      <c r="N2106" s="151" t="str">
        <f t="shared" si="101"/>
        <v/>
      </c>
      <c r="Q2106" s="239" t="str">
        <f t="shared" ca="1" si="102"/>
        <v/>
      </c>
    </row>
    <row r="2107" spans="3:17" ht="15.75" hidden="1" customHeight="1" outlineLevel="1" x14ac:dyDescent="0.25">
      <c r="C2107" s="208"/>
      <c r="D2107" s="196">
        <v>42721</v>
      </c>
      <c r="E2107" s="101" t="s">
        <v>23</v>
      </c>
      <c r="F2107" s="216" t="s">
        <v>50</v>
      </c>
      <c r="G2107" s="3" t="s">
        <v>56</v>
      </c>
      <c r="H2107" s="3" t="s">
        <v>56</v>
      </c>
      <c r="M2107" s="151" t="str">
        <f t="shared" si="100"/>
        <v/>
      </c>
      <c r="N2107" s="151" t="str">
        <f t="shared" si="101"/>
        <v>/</v>
      </c>
      <c r="Q2107" s="239" t="str">
        <f t="shared" ca="1" si="102"/>
        <v/>
      </c>
    </row>
    <row r="2108" spans="3:17" ht="15.75" hidden="1" customHeight="1" outlineLevel="1" x14ac:dyDescent="0.25">
      <c r="C2108" s="208"/>
      <c r="D2108" s="196">
        <v>42723</v>
      </c>
      <c r="E2108" s="101" t="s">
        <v>21</v>
      </c>
      <c r="F2108" s="216" t="s">
        <v>50</v>
      </c>
      <c r="G2108" s="3" t="s">
        <v>56</v>
      </c>
      <c r="H2108" s="3" t="s">
        <v>56</v>
      </c>
      <c r="M2108" s="151" t="str">
        <f t="shared" si="100"/>
        <v/>
      </c>
      <c r="N2108" s="151" t="str">
        <f t="shared" si="101"/>
        <v>/</v>
      </c>
      <c r="Q2108" s="239" t="str">
        <f t="shared" ca="1" si="102"/>
        <v/>
      </c>
    </row>
    <row r="2109" spans="3:17" ht="15.75" hidden="1" customHeight="1" outlineLevel="1" x14ac:dyDescent="0.25">
      <c r="C2109" s="208"/>
      <c r="D2109" s="196">
        <v>42725</v>
      </c>
      <c r="E2109" s="101" t="s">
        <v>17</v>
      </c>
      <c r="F2109" s="216" t="s">
        <v>49</v>
      </c>
      <c r="G2109" s="3" t="s">
        <v>56</v>
      </c>
      <c r="H2109" s="3" t="s">
        <v>56</v>
      </c>
      <c r="M2109" s="151" t="str">
        <f t="shared" si="100"/>
        <v>/</v>
      </c>
      <c r="N2109" s="151" t="str">
        <f t="shared" si="101"/>
        <v/>
      </c>
      <c r="Q2109" s="239" t="str">
        <f t="shared" ca="1" si="102"/>
        <v/>
      </c>
    </row>
    <row r="2110" spans="3:17" ht="15.75" hidden="1" customHeight="1" outlineLevel="1" x14ac:dyDescent="0.25">
      <c r="C2110" s="208"/>
      <c r="D2110" s="196">
        <v>42727</v>
      </c>
      <c r="E2110" s="101" t="s">
        <v>11</v>
      </c>
      <c r="F2110" s="216" t="s">
        <v>49</v>
      </c>
      <c r="G2110" s="3" t="s">
        <v>56</v>
      </c>
      <c r="H2110" s="3" t="s">
        <v>56</v>
      </c>
      <c r="M2110" s="151" t="str">
        <f t="shared" si="100"/>
        <v>/</v>
      </c>
      <c r="N2110" s="151" t="str">
        <f t="shared" si="101"/>
        <v/>
      </c>
      <c r="Q2110" s="239" t="str">
        <f t="shared" ca="1" si="102"/>
        <v/>
      </c>
    </row>
    <row r="2111" spans="3:17" ht="15.75" hidden="1" customHeight="1" outlineLevel="1" x14ac:dyDescent="0.25">
      <c r="C2111" s="208"/>
      <c r="D2111" s="196">
        <v>42730</v>
      </c>
      <c r="E2111" s="101" t="s">
        <v>17</v>
      </c>
      <c r="F2111" s="216" t="s">
        <v>50</v>
      </c>
      <c r="G2111" s="3" t="s">
        <v>56</v>
      </c>
      <c r="H2111" s="3" t="s">
        <v>56</v>
      </c>
      <c r="M2111" s="151" t="str">
        <f t="shared" si="100"/>
        <v/>
      </c>
      <c r="N2111" s="151" t="str">
        <f t="shared" si="101"/>
        <v>/</v>
      </c>
      <c r="Q2111" s="239" t="str">
        <f t="shared" ca="1" si="102"/>
        <v/>
      </c>
    </row>
    <row r="2112" spans="3:17" ht="15.75" hidden="1" customHeight="1" outlineLevel="1" x14ac:dyDescent="0.25">
      <c r="C2112" s="208"/>
      <c r="D2112" s="196">
        <v>42732</v>
      </c>
      <c r="E2112" s="101" t="s">
        <v>46</v>
      </c>
      <c r="F2112" s="216" t="s">
        <v>50</v>
      </c>
      <c r="G2112" s="3" t="s">
        <v>56</v>
      </c>
      <c r="H2112" s="3" t="s">
        <v>56</v>
      </c>
      <c r="M2112" s="151" t="str">
        <f t="shared" si="100"/>
        <v/>
      </c>
      <c r="N2112" s="151" t="str">
        <f t="shared" si="101"/>
        <v>/</v>
      </c>
      <c r="Q2112" s="239" t="str">
        <f t="shared" ca="1" si="102"/>
        <v/>
      </c>
    </row>
    <row r="2113" spans="3:17" ht="15.75" hidden="1" customHeight="1" outlineLevel="1" x14ac:dyDescent="0.25">
      <c r="C2113" s="208"/>
      <c r="D2113" s="196">
        <v>42733</v>
      </c>
      <c r="E2113" s="101" t="s">
        <v>12</v>
      </c>
      <c r="F2113" s="216" t="s">
        <v>49</v>
      </c>
      <c r="G2113" s="3" t="s">
        <v>56</v>
      </c>
      <c r="H2113" s="3" t="s">
        <v>56</v>
      </c>
      <c r="M2113" s="151" t="str">
        <f t="shared" si="100"/>
        <v>/</v>
      </c>
      <c r="N2113" s="151" t="str">
        <f t="shared" si="101"/>
        <v/>
      </c>
      <c r="Q2113" s="239" t="str">
        <f t="shared" ca="1" si="102"/>
        <v/>
      </c>
    </row>
    <row r="2114" spans="3:17" ht="15.75" hidden="1" customHeight="1" outlineLevel="1" x14ac:dyDescent="0.25">
      <c r="C2114" s="208"/>
      <c r="D2114" s="196">
        <v>42735</v>
      </c>
      <c r="E2114" s="101" t="s">
        <v>28</v>
      </c>
      <c r="F2114" s="216" t="s">
        <v>50</v>
      </c>
      <c r="G2114" s="3" t="s">
        <v>56</v>
      </c>
      <c r="H2114" s="3" t="s">
        <v>56</v>
      </c>
      <c r="M2114" s="151" t="str">
        <f t="shared" si="100"/>
        <v/>
      </c>
      <c r="N2114" s="151" t="str">
        <f t="shared" si="101"/>
        <v>/</v>
      </c>
      <c r="Q2114" s="239" t="str">
        <f t="shared" ca="1" si="102"/>
        <v/>
      </c>
    </row>
    <row r="2115" spans="3:17" ht="15.75" hidden="1" customHeight="1" outlineLevel="1" x14ac:dyDescent="0.25">
      <c r="C2115" s="207"/>
      <c r="D2115" s="196">
        <v>42371</v>
      </c>
      <c r="E2115" s="101" t="s">
        <v>18</v>
      </c>
      <c r="F2115" s="216" t="s">
        <v>50</v>
      </c>
      <c r="G2115" s="3" t="s">
        <v>56</v>
      </c>
      <c r="H2115" s="3" t="s">
        <v>56</v>
      </c>
      <c r="M2115" s="151" t="str">
        <f t="shared" si="100"/>
        <v/>
      </c>
      <c r="N2115" s="151" t="str">
        <f t="shared" si="101"/>
        <v>/</v>
      </c>
      <c r="Q2115" s="239" t="str">
        <f t="shared" ca="1" si="102"/>
        <v/>
      </c>
    </row>
    <row r="2116" spans="3:17" ht="15.75" hidden="1" customHeight="1" outlineLevel="1" x14ac:dyDescent="0.25">
      <c r="C2116" s="207"/>
      <c r="D2116" s="196">
        <v>42372</v>
      </c>
      <c r="E2116" s="101" t="s">
        <v>6</v>
      </c>
      <c r="F2116" s="216" t="s">
        <v>49</v>
      </c>
      <c r="G2116" s="3" t="s">
        <v>56</v>
      </c>
      <c r="H2116" s="3" t="s">
        <v>56</v>
      </c>
      <c r="M2116" s="151" t="str">
        <f t="shared" si="100"/>
        <v>/</v>
      </c>
      <c r="N2116" s="151" t="str">
        <f t="shared" si="101"/>
        <v/>
      </c>
      <c r="Q2116" s="239" t="str">
        <f t="shared" ca="1" si="102"/>
        <v/>
      </c>
    </row>
    <row r="2117" spans="3:17" ht="15.75" hidden="1" customHeight="1" outlineLevel="1" x14ac:dyDescent="0.25">
      <c r="C2117" s="207"/>
      <c r="D2117" s="196">
        <v>42374</v>
      </c>
      <c r="E2117" s="101" t="s">
        <v>645</v>
      </c>
      <c r="F2117" s="216" t="s">
        <v>50</v>
      </c>
      <c r="G2117" s="3" t="s">
        <v>56</v>
      </c>
      <c r="H2117" s="3" t="s">
        <v>56</v>
      </c>
      <c r="M2117" s="151" t="str">
        <f t="shared" si="100"/>
        <v/>
      </c>
      <c r="N2117" s="151" t="str">
        <f t="shared" si="101"/>
        <v>/</v>
      </c>
      <c r="Q2117" s="239" t="str">
        <f t="shared" ca="1" si="102"/>
        <v/>
      </c>
    </row>
    <row r="2118" spans="3:17" ht="15.75" hidden="1" customHeight="1" outlineLevel="1" x14ac:dyDescent="0.25">
      <c r="C2118" s="207"/>
      <c r="D2118" s="196">
        <v>42377</v>
      </c>
      <c r="E2118" s="101" t="s">
        <v>4</v>
      </c>
      <c r="F2118" s="216" t="s">
        <v>49</v>
      </c>
      <c r="G2118" s="3" t="s">
        <v>56</v>
      </c>
      <c r="H2118" s="3" t="s">
        <v>56</v>
      </c>
      <c r="M2118" s="151" t="str">
        <f t="shared" si="100"/>
        <v>/</v>
      </c>
      <c r="N2118" s="151" t="str">
        <f t="shared" si="101"/>
        <v/>
      </c>
      <c r="Q2118" s="239" t="str">
        <f t="shared" ca="1" si="102"/>
        <v/>
      </c>
    </row>
    <row r="2119" spans="3:17" ht="15.75" hidden="1" customHeight="1" outlineLevel="1" x14ac:dyDescent="0.25">
      <c r="C2119" s="207"/>
      <c r="D2119" s="196">
        <v>42381</v>
      </c>
      <c r="E2119" s="101" t="s">
        <v>645</v>
      </c>
      <c r="F2119" s="216" t="s">
        <v>49</v>
      </c>
      <c r="G2119" s="3" t="s">
        <v>56</v>
      </c>
      <c r="H2119" s="3" t="s">
        <v>56</v>
      </c>
      <c r="M2119" s="151" t="str">
        <f t="shared" ref="M2119:M2182" si="103">IF(F2119="D",H2119,"")</f>
        <v>/</v>
      </c>
      <c r="N2119" s="151" t="str">
        <f t="shared" ref="N2119:N2182" si="104">IF(F2119="E",H2119,"")</f>
        <v/>
      </c>
      <c r="Q2119" s="239" t="str">
        <f t="shared" ca="1" si="102"/>
        <v/>
      </c>
    </row>
    <row r="2120" spans="3:17" ht="15.75" hidden="1" customHeight="1" outlineLevel="1" x14ac:dyDescent="0.25">
      <c r="C2120" s="207"/>
      <c r="D2120" s="196">
        <v>42383</v>
      </c>
      <c r="E2120" s="101" t="s">
        <v>46</v>
      </c>
      <c r="F2120" s="216" t="s">
        <v>49</v>
      </c>
      <c r="G2120" s="3" t="s">
        <v>56</v>
      </c>
      <c r="H2120" s="3" t="s">
        <v>56</v>
      </c>
      <c r="M2120" s="151" t="str">
        <f t="shared" si="103"/>
        <v>/</v>
      </c>
      <c r="N2120" s="151" t="str">
        <f t="shared" si="104"/>
        <v/>
      </c>
      <c r="Q2120" s="239" t="str">
        <f t="shared" ca="1" si="102"/>
        <v/>
      </c>
    </row>
    <row r="2121" spans="3:17" ht="15.75" hidden="1" customHeight="1" outlineLevel="1" x14ac:dyDescent="0.25">
      <c r="C2121" s="207"/>
      <c r="D2121" s="196">
        <v>42385</v>
      </c>
      <c r="E2121" s="101" t="s">
        <v>28</v>
      </c>
      <c r="F2121" s="216" t="s">
        <v>49</v>
      </c>
      <c r="G2121" s="3" t="s">
        <v>56</v>
      </c>
      <c r="H2121" s="3" t="s">
        <v>56</v>
      </c>
      <c r="M2121" s="151" t="str">
        <f t="shared" si="103"/>
        <v>/</v>
      </c>
      <c r="N2121" s="151" t="str">
        <f t="shared" si="104"/>
        <v/>
      </c>
      <c r="Q2121" s="239" t="str">
        <f t="shared" ca="1" si="102"/>
        <v/>
      </c>
    </row>
    <row r="2122" spans="3:17" ht="15.75" hidden="1" customHeight="1" outlineLevel="1" x14ac:dyDescent="0.25">
      <c r="C2122" s="207"/>
      <c r="D2122" s="196">
        <v>42388</v>
      </c>
      <c r="E2122" s="101" t="s">
        <v>4</v>
      </c>
      <c r="F2122" s="216" t="s">
        <v>50</v>
      </c>
      <c r="G2122" s="3" t="s">
        <v>56</v>
      </c>
      <c r="H2122" s="3" t="s">
        <v>56</v>
      </c>
      <c r="M2122" s="151" t="str">
        <f t="shared" si="103"/>
        <v/>
      </c>
      <c r="N2122" s="151" t="str">
        <f t="shared" si="104"/>
        <v>/</v>
      </c>
      <c r="Q2122" s="239" t="str">
        <f t="shared" ca="1" si="102"/>
        <v/>
      </c>
    </row>
    <row r="2123" spans="3:17" ht="15.75" hidden="1" customHeight="1" outlineLevel="1" x14ac:dyDescent="0.25">
      <c r="C2123" s="207"/>
      <c r="D2123" s="196">
        <v>42390</v>
      </c>
      <c r="E2123" s="101" t="s">
        <v>9</v>
      </c>
      <c r="F2123" s="216" t="s">
        <v>50</v>
      </c>
      <c r="G2123" s="3" t="s">
        <v>56</v>
      </c>
      <c r="H2123" s="3" t="s">
        <v>56</v>
      </c>
      <c r="M2123" s="151" t="str">
        <f t="shared" si="103"/>
        <v/>
      </c>
      <c r="N2123" s="151" t="str">
        <f t="shared" si="104"/>
        <v>/</v>
      </c>
      <c r="Q2123" s="239" t="str">
        <f t="shared" ca="1" si="102"/>
        <v/>
      </c>
    </row>
    <row r="2124" spans="3:17" ht="15.75" hidden="1" customHeight="1" outlineLevel="1" x14ac:dyDescent="0.25">
      <c r="C2124" s="207"/>
      <c r="D2124" s="196">
        <v>42391</v>
      </c>
      <c r="E2124" s="101" t="s">
        <v>12</v>
      </c>
      <c r="F2124" s="216" t="s">
        <v>50</v>
      </c>
      <c r="G2124" s="3" t="s">
        <v>56</v>
      </c>
      <c r="H2124" s="3" t="s">
        <v>56</v>
      </c>
      <c r="M2124" s="151" t="str">
        <f t="shared" si="103"/>
        <v/>
      </c>
      <c r="N2124" s="151" t="str">
        <f t="shared" si="104"/>
        <v>/</v>
      </c>
      <c r="Q2124" s="239" t="str">
        <f t="shared" ca="1" si="102"/>
        <v/>
      </c>
    </row>
    <row r="2125" spans="3:17" ht="15.75" hidden="1" customHeight="1" outlineLevel="1" x14ac:dyDescent="0.25">
      <c r="C2125" s="207"/>
      <c r="D2125" s="196">
        <v>42393</v>
      </c>
      <c r="E2125" s="101" t="s">
        <v>21</v>
      </c>
      <c r="F2125" s="216" t="s">
        <v>49</v>
      </c>
      <c r="G2125" s="3" t="s">
        <v>56</v>
      </c>
      <c r="H2125" s="3" t="s">
        <v>56</v>
      </c>
      <c r="M2125" s="151" t="str">
        <f t="shared" si="103"/>
        <v>/</v>
      </c>
      <c r="N2125" s="151" t="str">
        <f t="shared" si="104"/>
        <v/>
      </c>
      <c r="Q2125" s="239" t="str">
        <f t="shared" ca="1" si="102"/>
        <v/>
      </c>
    </row>
    <row r="2126" spans="3:17" ht="15.75" hidden="1" customHeight="1" outlineLevel="1" x14ac:dyDescent="0.25">
      <c r="C2126" s="207"/>
      <c r="D2126" s="196">
        <v>42395</v>
      </c>
      <c r="E2126" s="101" t="s">
        <v>15</v>
      </c>
      <c r="F2126" s="216" t="s">
        <v>50</v>
      </c>
      <c r="G2126" s="3" t="s">
        <v>56</v>
      </c>
      <c r="H2126" s="3" t="s">
        <v>56</v>
      </c>
      <c r="M2126" s="151" t="str">
        <f t="shared" si="103"/>
        <v/>
      </c>
      <c r="N2126" s="151" t="str">
        <f t="shared" si="104"/>
        <v>/</v>
      </c>
      <c r="Q2126" s="239" t="str">
        <f t="shared" ca="1" si="102"/>
        <v/>
      </c>
    </row>
    <row r="2127" spans="3:17" ht="15.75" hidden="1" customHeight="1" outlineLevel="1" x14ac:dyDescent="0.25">
      <c r="C2127" s="207"/>
      <c r="D2127" s="196">
        <v>42397</v>
      </c>
      <c r="E2127" s="101" t="s">
        <v>15</v>
      </c>
      <c r="F2127" s="216" t="s">
        <v>49</v>
      </c>
      <c r="G2127" s="3" t="s">
        <v>56</v>
      </c>
      <c r="H2127" s="3" t="s">
        <v>56</v>
      </c>
      <c r="M2127" s="151" t="str">
        <f t="shared" si="103"/>
        <v>/</v>
      </c>
      <c r="N2127" s="151" t="str">
        <f t="shared" si="104"/>
        <v/>
      </c>
      <c r="Q2127" s="239" t="str">
        <f t="shared" ca="1" si="102"/>
        <v/>
      </c>
    </row>
    <row r="2128" spans="3:17" ht="15.75" hidden="1" customHeight="1" outlineLevel="1" x14ac:dyDescent="0.25">
      <c r="C2128" s="207"/>
      <c r="D2128" s="196">
        <v>42399</v>
      </c>
      <c r="E2128" s="101" t="s">
        <v>20</v>
      </c>
      <c r="F2128" s="216" t="s">
        <v>49</v>
      </c>
      <c r="G2128" s="3" t="s">
        <v>56</v>
      </c>
      <c r="H2128" s="3" t="s">
        <v>56</v>
      </c>
      <c r="M2128" s="151" t="str">
        <f t="shared" si="103"/>
        <v>/</v>
      </c>
      <c r="N2128" s="151" t="str">
        <f t="shared" si="104"/>
        <v/>
      </c>
      <c r="Q2128" s="239" t="str">
        <f t="shared" ca="1" si="102"/>
        <v/>
      </c>
    </row>
    <row r="2129" spans="3:17" ht="15.75" hidden="1" customHeight="1" outlineLevel="1" x14ac:dyDescent="0.25">
      <c r="C2129" s="208"/>
      <c r="D2129" s="196">
        <v>42401</v>
      </c>
      <c r="E2129" s="101" t="s">
        <v>18</v>
      </c>
      <c r="F2129" s="216" t="s">
        <v>49</v>
      </c>
      <c r="G2129" s="3" t="s">
        <v>56</v>
      </c>
      <c r="H2129" s="3" t="s">
        <v>56</v>
      </c>
      <c r="M2129" s="151" t="str">
        <f t="shared" si="103"/>
        <v>/</v>
      </c>
      <c r="N2129" s="151" t="str">
        <f t="shared" si="104"/>
        <v/>
      </c>
      <c r="Q2129" s="239" t="str">
        <f t="shared" ca="1" si="102"/>
        <v/>
      </c>
    </row>
    <row r="2130" spans="3:17" ht="15.75" hidden="1" customHeight="1" outlineLevel="1" x14ac:dyDescent="0.25">
      <c r="C2130" s="208"/>
      <c r="D2130" s="196">
        <v>42403</v>
      </c>
      <c r="E2130" s="101" t="s">
        <v>26</v>
      </c>
      <c r="F2130" s="216" t="s">
        <v>50</v>
      </c>
      <c r="G2130" s="3" t="s">
        <v>56</v>
      </c>
      <c r="H2130" s="3" t="s">
        <v>56</v>
      </c>
      <c r="M2130" s="151" t="str">
        <f t="shared" si="103"/>
        <v/>
      </c>
      <c r="N2130" s="151" t="str">
        <f t="shared" si="104"/>
        <v>/</v>
      </c>
      <c r="Q2130" s="239" t="str">
        <f t="shared" ca="1" si="102"/>
        <v/>
      </c>
    </row>
    <row r="2131" spans="3:17" ht="15.75" hidden="1" customHeight="1" outlineLevel="1" x14ac:dyDescent="0.25">
      <c r="C2131" s="208"/>
      <c r="D2131" s="196">
        <v>42404</v>
      </c>
      <c r="E2131" s="101" t="s">
        <v>8</v>
      </c>
      <c r="F2131" s="216" t="s">
        <v>49</v>
      </c>
      <c r="G2131" s="3" t="s">
        <v>56</v>
      </c>
      <c r="H2131" s="3" t="s">
        <v>56</v>
      </c>
      <c r="M2131" s="151" t="str">
        <f t="shared" si="103"/>
        <v>/</v>
      </c>
      <c r="N2131" s="151" t="str">
        <f t="shared" si="104"/>
        <v/>
      </c>
      <c r="Q2131" s="239" t="str">
        <f t="shared" ca="1" si="102"/>
        <v/>
      </c>
    </row>
    <row r="2132" spans="3:17" ht="15.75" hidden="1" customHeight="1" outlineLevel="1" x14ac:dyDescent="0.25">
      <c r="C2132" s="208"/>
      <c r="D2132" s="196">
        <v>42406</v>
      </c>
      <c r="E2132" s="101" t="s">
        <v>22</v>
      </c>
      <c r="F2132" s="216" t="s">
        <v>50</v>
      </c>
      <c r="G2132" s="3" t="s">
        <v>56</v>
      </c>
      <c r="H2132" s="3" t="s">
        <v>56</v>
      </c>
      <c r="M2132" s="151" t="str">
        <f t="shared" si="103"/>
        <v/>
      </c>
      <c r="N2132" s="151" t="str">
        <f t="shared" si="104"/>
        <v>/</v>
      </c>
      <c r="Q2132" s="239" t="str">
        <f t="shared" ca="1" si="102"/>
        <v/>
      </c>
    </row>
    <row r="2133" spans="3:17" ht="15.75" hidden="1" customHeight="1" outlineLevel="1" x14ac:dyDescent="0.25">
      <c r="C2133" s="208"/>
      <c r="D2133" s="196">
        <v>42408</v>
      </c>
      <c r="E2133" s="101" t="s">
        <v>20</v>
      </c>
      <c r="F2133" s="216" t="s">
        <v>50</v>
      </c>
      <c r="G2133" s="3" t="s">
        <v>56</v>
      </c>
      <c r="H2133" s="3" t="s">
        <v>56</v>
      </c>
      <c r="M2133" s="151" t="str">
        <f t="shared" si="103"/>
        <v/>
      </c>
      <c r="N2133" s="151" t="str">
        <f t="shared" si="104"/>
        <v>/</v>
      </c>
      <c r="Q2133" s="239" t="str">
        <f t="shared" ca="1" si="102"/>
        <v/>
      </c>
    </row>
    <row r="2134" spans="3:17" ht="15.75" hidden="1" customHeight="1" outlineLevel="1" x14ac:dyDescent="0.25">
      <c r="C2134" s="208"/>
      <c r="D2134" s="196">
        <v>42410</v>
      </c>
      <c r="E2134" s="101" t="s">
        <v>2</v>
      </c>
      <c r="F2134" s="216" t="s">
        <v>49</v>
      </c>
      <c r="G2134" s="3" t="s">
        <v>56</v>
      </c>
      <c r="H2134" s="3" t="s">
        <v>56</v>
      </c>
      <c r="M2134" s="151" t="str">
        <f t="shared" si="103"/>
        <v>/</v>
      </c>
      <c r="N2134" s="151" t="str">
        <f t="shared" si="104"/>
        <v/>
      </c>
      <c r="Q2134" s="239" t="str">
        <f t="shared" ca="1" si="102"/>
        <v/>
      </c>
    </row>
    <row r="2135" spans="3:17" ht="15.75" hidden="1" customHeight="1" outlineLevel="1" x14ac:dyDescent="0.25">
      <c r="C2135" s="208"/>
      <c r="D2135" s="196">
        <v>42411</v>
      </c>
      <c r="E2135" s="101" t="s">
        <v>17</v>
      </c>
      <c r="F2135" s="216" t="s">
        <v>50</v>
      </c>
      <c r="G2135" s="3" t="s">
        <v>56</v>
      </c>
      <c r="H2135" s="3" t="s">
        <v>56</v>
      </c>
      <c r="M2135" s="151" t="str">
        <f t="shared" si="103"/>
        <v/>
      </c>
      <c r="N2135" s="151" t="str">
        <f t="shared" si="104"/>
        <v>/</v>
      </c>
      <c r="Q2135" s="239" t="str">
        <f t="shared" ca="1" si="102"/>
        <v/>
      </c>
    </row>
    <row r="2136" spans="3:17" ht="15.75" hidden="1" customHeight="1" outlineLevel="1" x14ac:dyDescent="0.25">
      <c r="C2136" s="208"/>
      <c r="D2136" s="196">
        <v>42413</v>
      </c>
      <c r="E2136" s="101" t="s">
        <v>22</v>
      </c>
      <c r="F2136" s="216" t="s">
        <v>49</v>
      </c>
      <c r="G2136" s="3" t="s">
        <v>56</v>
      </c>
      <c r="H2136" s="3" t="s">
        <v>56</v>
      </c>
      <c r="M2136" s="151" t="str">
        <f t="shared" si="103"/>
        <v>/</v>
      </c>
      <c r="N2136" s="151" t="str">
        <f t="shared" si="104"/>
        <v/>
      </c>
      <c r="Q2136" s="239" t="str">
        <f t="shared" ca="1" si="102"/>
        <v/>
      </c>
    </row>
    <row r="2137" spans="3:17" ht="15.75" hidden="1" customHeight="1" outlineLevel="1" x14ac:dyDescent="0.25">
      <c r="C2137" s="208"/>
      <c r="D2137" s="196">
        <v>42415</v>
      </c>
      <c r="E2137" s="101" t="s">
        <v>644</v>
      </c>
      <c r="F2137" s="216" t="s">
        <v>49</v>
      </c>
      <c r="G2137" s="3" t="s">
        <v>56</v>
      </c>
      <c r="H2137" s="3" t="s">
        <v>56</v>
      </c>
      <c r="M2137" s="151" t="str">
        <f t="shared" si="103"/>
        <v>/</v>
      </c>
      <c r="N2137" s="151" t="str">
        <f t="shared" si="104"/>
        <v/>
      </c>
      <c r="Q2137" s="239" t="str">
        <f t="shared" ca="1" si="102"/>
        <v/>
      </c>
    </row>
    <row r="2138" spans="3:17" ht="15.75" hidden="1" customHeight="1" outlineLevel="1" x14ac:dyDescent="0.25">
      <c r="C2138" s="208"/>
      <c r="D2138" s="196">
        <v>42424</v>
      </c>
      <c r="E2138" s="101" t="s">
        <v>2</v>
      </c>
      <c r="F2138" s="216" t="s">
        <v>50</v>
      </c>
      <c r="G2138" s="3" t="s">
        <v>56</v>
      </c>
      <c r="H2138" s="3" t="s">
        <v>56</v>
      </c>
      <c r="M2138" s="151" t="str">
        <f t="shared" si="103"/>
        <v/>
      </c>
      <c r="N2138" s="151" t="str">
        <f t="shared" si="104"/>
        <v>/</v>
      </c>
      <c r="Q2138" s="239" t="str">
        <f t="shared" ca="1" si="102"/>
        <v/>
      </c>
    </row>
    <row r="2139" spans="3:17" ht="15.75" hidden="1" customHeight="1" outlineLevel="1" x14ac:dyDescent="0.25">
      <c r="C2139" s="208"/>
      <c r="D2139" s="196">
        <v>42426</v>
      </c>
      <c r="E2139" s="101" t="s">
        <v>8</v>
      </c>
      <c r="F2139" s="216" t="s">
        <v>50</v>
      </c>
      <c r="G2139" s="3" t="s">
        <v>56</v>
      </c>
      <c r="H2139" s="3" t="s">
        <v>56</v>
      </c>
      <c r="M2139" s="151" t="str">
        <f t="shared" si="103"/>
        <v/>
      </c>
      <c r="N2139" s="151" t="str">
        <f t="shared" si="104"/>
        <v>/</v>
      </c>
      <c r="Q2139" s="239" t="str">
        <f t="shared" ca="1" si="102"/>
        <v/>
      </c>
    </row>
    <row r="2140" spans="3:17" ht="15.75" hidden="1" customHeight="1" outlineLevel="1" x14ac:dyDescent="0.25">
      <c r="C2140" s="208"/>
      <c r="D2140" s="196">
        <v>42428</v>
      </c>
      <c r="E2140" s="101" t="s">
        <v>20</v>
      </c>
      <c r="F2140" s="216" t="s">
        <v>50</v>
      </c>
      <c r="G2140" s="3" t="s">
        <v>56</v>
      </c>
      <c r="H2140" s="3" t="s">
        <v>56</v>
      </c>
      <c r="M2140" s="151" t="str">
        <f t="shared" si="103"/>
        <v/>
      </c>
      <c r="N2140" s="151" t="str">
        <f t="shared" si="104"/>
        <v>/</v>
      </c>
      <c r="Q2140" s="239" t="str">
        <f t="shared" ca="1" si="102"/>
        <v/>
      </c>
    </row>
    <row r="2141" spans="3:17" ht="15.75" hidden="1" customHeight="1" outlineLevel="1" x14ac:dyDescent="0.25">
      <c r="C2141" s="207"/>
      <c r="D2141" s="196">
        <v>42431</v>
      </c>
      <c r="E2141" s="101" t="s">
        <v>3</v>
      </c>
      <c r="F2141" s="216" t="s">
        <v>49</v>
      </c>
      <c r="G2141" s="3" t="s">
        <v>56</v>
      </c>
      <c r="H2141" s="3" t="s">
        <v>56</v>
      </c>
      <c r="M2141" s="151" t="str">
        <f t="shared" si="103"/>
        <v>/</v>
      </c>
      <c r="N2141" s="151" t="str">
        <f t="shared" si="104"/>
        <v/>
      </c>
      <c r="Q2141" s="239" t="str">
        <f t="shared" ca="1" si="102"/>
        <v/>
      </c>
    </row>
    <row r="2142" spans="3:17" ht="15.75" hidden="1" customHeight="1" outlineLevel="1" x14ac:dyDescent="0.25">
      <c r="C2142" s="207"/>
      <c r="D2142" s="196">
        <v>42432</v>
      </c>
      <c r="E2142" s="101" t="s">
        <v>23</v>
      </c>
      <c r="F2142" s="216" t="s">
        <v>49</v>
      </c>
      <c r="G2142" s="3" t="s">
        <v>56</v>
      </c>
      <c r="H2142" s="3" t="s">
        <v>56</v>
      </c>
      <c r="M2142" s="151" t="str">
        <f t="shared" si="103"/>
        <v>/</v>
      </c>
      <c r="N2142" s="151" t="str">
        <f t="shared" si="104"/>
        <v/>
      </c>
      <c r="Q2142" s="239" t="str">
        <f t="shared" ca="1" si="102"/>
        <v/>
      </c>
    </row>
    <row r="2143" spans="3:17" ht="15.75" hidden="1" customHeight="1" outlineLevel="1" x14ac:dyDescent="0.25">
      <c r="C2143" s="207"/>
      <c r="D2143" s="196">
        <v>42434</v>
      </c>
      <c r="E2143" s="101" t="s">
        <v>1</v>
      </c>
      <c r="F2143" s="216" t="s">
        <v>49</v>
      </c>
      <c r="G2143" s="3" t="s">
        <v>56</v>
      </c>
      <c r="H2143" s="3" t="s">
        <v>56</v>
      </c>
      <c r="M2143" s="151" t="str">
        <f t="shared" si="103"/>
        <v>/</v>
      </c>
      <c r="N2143" s="151" t="str">
        <f t="shared" si="104"/>
        <v/>
      </c>
      <c r="Q2143" s="239" t="str">
        <f t="shared" ca="1" si="102"/>
        <v/>
      </c>
    </row>
    <row r="2144" spans="3:17" ht="15.75" hidden="1" customHeight="1" outlineLevel="1" x14ac:dyDescent="0.25">
      <c r="C2144" s="207"/>
      <c r="D2144" s="196">
        <v>42436</v>
      </c>
      <c r="E2144" s="101" t="s">
        <v>13</v>
      </c>
      <c r="F2144" s="216" t="s">
        <v>49</v>
      </c>
      <c r="G2144" s="3" t="s">
        <v>56</v>
      </c>
      <c r="H2144" s="3" t="s">
        <v>56</v>
      </c>
      <c r="M2144" s="151" t="str">
        <f t="shared" si="103"/>
        <v>/</v>
      </c>
      <c r="N2144" s="151" t="str">
        <f t="shared" si="104"/>
        <v/>
      </c>
      <c r="Q2144" s="239" t="str">
        <f t="shared" ca="1" si="102"/>
        <v/>
      </c>
    </row>
    <row r="2145" spans="3:17" ht="15.75" hidden="1" customHeight="1" outlineLevel="1" x14ac:dyDescent="0.25">
      <c r="C2145" s="207"/>
      <c r="D2145" s="196">
        <v>42438</v>
      </c>
      <c r="E2145" s="101" t="s">
        <v>644</v>
      </c>
      <c r="F2145" s="216" t="s">
        <v>49</v>
      </c>
      <c r="G2145" s="3" t="s">
        <v>56</v>
      </c>
      <c r="H2145" s="3" t="s">
        <v>56</v>
      </c>
      <c r="M2145" s="151" t="str">
        <f t="shared" si="103"/>
        <v>/</v>
      </c>
      <c r="N2145" s="151" t="str">
        <f t="shared" si="104"/>
        <v/>
      </c>
      <c r="Q2145" s="239" t="str">
        <f t="shared" ca="1" si="102"/>
        <v/>
      </c>
    </row>
    <row r="2146" spans="3:17" ht="15.75" hidden="1" customHeight="1" outlineLevel="1" x14ac:dyDescent="0.25">
      <c r="C2146" s="207"/>
      <c r="D2146" s="196">
        <v>42440</v>
      </c>
      <c r="E2146" s="101" t="s">
        <v>645</v>
      </c>
      <c r="F2146" s="216" t="s">
        <v>50</v>
      </c>
      <c r="G2146" s="3" t="s">
        <v>56</v>
      </c>
      <c r="H2146" s="3" t="s">
        <v>56</v>
      </c>
      <c r="M2146" s="151" t="str">
        <f t="shared" si="103"/>
        <v/>
      </c>
      <c r="N2146" s="151" t="str">
        <f t="shared" si="104"/>
        <v>/</v>
      </c>
      <c r="Q2146" s="239" t="str">
        <f t="shared" ca="1" si="102"/>
        <v/>
      </c>
    </row>
    <row r="2147" spans="3:17" ht="15.75" hidden="1" customHeight="1" outlineLevel="1" x14ac:dyDescent="0.25">
      <c r="C2147" s="207"/>
      <c r="D2147" s="196">
        <v>42441</v>
      </c>
      <c r="E2147" s="101" t="s">
        <v>24</v>
      </c>
      <c r="F2147" s="216" t="s">
        <v>49</v>
      </c>
      <c r="G2147" s="3" t="s">
        <v>56</v>
      </c>
      <c r="H2147" s="3" t="s">
        <v>56</v>
      </c>
      <c r="M2147" s="151" t="str">
        <f t="shared" si="103"/>
        <v>/</v>
      </c>
      <c r="N2147" s="151" t="str">
        <f t="shared" si="104"/>
        <v/>
      </c>
      <c r="Q2147" s="239" t="str">
        <f t="shared" ca="1" si="102"/>
        <v/>
      </c>
    </row>
    <row r="2148" spans="3:17" ht="15.75" hidden="1" customHeight="1" outlineLevel="1" x14ac:dyDescent="0.25">
      <c r="C2148" s="207"/>
      <c r="D2148" s="196">
        <v>42444</v>
      </c>
      <c r="E2148" s="101" t="s">
        <v>26</v>
      </c>
      <c r="F2148" s="216" t="s">
        <v>49</v>
      </c>
      <c r="G2148" s="3" t="s">
        <v>56</v>
      </c>
      <c r="H2148" s="3" t="s">
        <v>56</v>
      </c>
      <c r="M2148" s="151" t="str">
        <f t="shared" si="103"/>
        <v>/</v>
      </c>
      <c r="N2148" s="151" t="str">
        <f t="shared" si="104"/>
        <v/>
      </c>
      <c r="Q2148" s="239" t="str">
        <f t="shared" ca="1" si="102"/>
        <v/>
      </c>
    </row>
    <row r="2149" spans="3:17" ht="15.75" hidden="1" customHeight="1" outlineLevel="1" x14ac:dyDescent="0.25">
      <c r="C2149" s="207"/>
      <c r="D2149" s="196">
        <v>42446</v>
      </c>
      <c r="E2149" s="101" t="s">
        <v>10</v>
      </c>
      <c r="F2149" s="216" t="s">
        <v>49</v>
      </c>
      <c r="G2149" s="3" t="s">
        <v>56</v>
      </c>
      <c r="H2149" s="3" t="s">
        <v>56</v>
      </c>
      <c r="M2149" s="151" t="str">
        <f t="shared" si="103"/>
        <v>/</v>
      </c>
      <c r="N2149" s="151" t="str">
        <f t="shared" si="104"/>
        <v/>
      </c>
      <c r="Q2149" s="239" t="str">
        <f t="shared" ca="1" si="102"/>
        <v/>
      </c>
    </row>
    <row r="2150" spans="3:17" ht="15.75" hidden="1" customHeight="1" outlineLevel="1" x14ac:dyDescent="0.25">
      <c r="C2150" s="207"/>
      <c r="D2150" s="196">
        <v>42448</v>
      </c>
      <c r="E2150" s="101" t="s">
        <v>5</v>
      </c>
      <c r="F2150" s="216" t="s">
        <v>50</v>
      </c>
      <c r="G2150" s="3" t="s">
        <v>56</v>
      </c>
      <c r="H2150" s="3" t="s">
        <v>56</v>
      </c>
      <c r="M2150" s="151" t="str">
        <f t="shared" si="103"/>
        <v/>
      </c>
      <c r="N2150" s="151" t="str">
        <f t="shared" si="104"/>
        <v>/</v>
      </c>
      <c r="Q2150" s="239" t="str">
        <f t="shared" ca="1" si="102"/>
        <v/>
      </c>
    </row>
    <row r="2151" spans="3:17" ht="15.75" hidden="1" customHeight="1" outlineLevel="1" x14ac:dyDescent="0.25">
      <c r="C2151" s="207"/>
      <c r="D2151" s="196">
        <v>42450</v>
      </c>
      <c r="E2151" s="101" t="s">
        <v>6</v>
      </c>
      <c r="F2151" s="216" t="s">
        <v>50</v>
      </c>
      <c r="G2151" s="3" t="s">
        <v>56</v>
      </c>
      <c r="H2151" s="3" t="s">
        <v>56</v>
      </c>
      <c r="M2151" s="151" t="str">
        <f t="shared" si="103"/>
        <v/>
      </c>
      <c r="N2151" s="151" t="str">
        <f t="shared" si="104"/>
        <v>/</v>
      </c>
      <c r="Q2151" s="239" t="str">
        <f t="shared" ca="1" si="102"/>
        <v/>
      </c>
    </row>
    <row r="2152" spans="3:17" ht="15.75" hidden="1" customHeight="1" outlineLevel="1" x14ac:dyDescent="0.25">
      <c r="C2152" s="207"/>
      <c r="D2152" s="196">
        <v>42452</v>
      </c>
      <c r="E2152" s="101" t="s">
        <v>45</v>
      </c>
      <c r="F2152" s="216" t="s">
        <v>50</v>
      </c>
      <c r="G2152" s="3" t="s">
        <v>56</v>
      </c>
      <c r="H2152" s="3" t="s">
        <v>56</v>
      </c>
      <c r="M2152" s="151" t="str">
        <f t="shared" si="103"/>
        <v/>
      </c>
      <c r="N2152" s="151" t="str">
        <f t="shared" si="104"/>
        <v>/</v>
      </c>
      <c r="Q2152" s="239" t="str">
        <f t="shared" ca="1" si="102"/>
        <v/>
      </c>
    </row>
    <row r="2153" spans="3:17" ht="15.75" hidden="1" customHeight="1" outlineLevel="1" x14ac:dyDescent="0.25">
      <c r="C2153" s="207"/>
      <c r="D2153" s="196">
        <v>42453</v>
      </c>
      <c r="E2153" s="101" t="s">
        <v>1</v>
      </c>
      <c r="F2153" s="216" t="s">
        <v>50</v>
      </c>
      <c r="G2153" s="3" t="s">
        <v>56</v>
      </c>
      <c r="H2153" s="3" t="s">
        <v>56</v>
      </c>
      <c r="M2153" s="151" t="str">
        <f t="shared" si="103"/>
        <v/>
      </c>
      <c r="N2153" s="151" t="str">
        <f t="shared" si="104"/>
        <v>/</v>
      </c>
      <c r="Q2153" s="239" t="str">
        <f t="shared" ca="1" si="102"/>
        <v/>
      </c>
    </row>
    <row r="2154" spans="3:17" ht="15.75" hidden="1" customHeight="1" outlineLevel="1" x14ac:dyDescent="0.25">
      <c r="C2154" s="207"/>
      <c r="D2154" s="196">
        <v>42455</v>
      </c>
      <c r="E2154" s="101" t="s">
        <v>3</v>
      </c>
      <c r="F2154" s="216" t="s">
        <v>50</v>
      </c>
      <c r="G2154" s="3" t="s">
        <v>56</v>
      </c>
      <c r="H2154" s="3" t="s">
        <v>56</v>
      </c>
      <c r="M2154" s="151" t="str">
        <f t="shared" si="103"/>
        <v/>
      </c>
      <c r="N2154" s="151" t="str">
        <f t="shared" si="104"/>
        <v>/</v>
      </c>
      <c r="Q2154" s="239" t="str">
        <f t="shared" ca="1" si="102"/>
        <v/>
      </c>
    </row>
    <row r="2155" spans="3:17" ht="15.75" hidden="1" customHeight="1" outlineLevel="1" x14ac:dyDescent="0.25">
      <c r="C2155" s="207"/>
      <c r="D2155" s="196">
        <v>42457</v>
      </c>
      <c r="E2155" s="101" t="s">
        <v>0</v>
      </c>
      <c r="F2155" s="216" t="s">
        <v>50</v>
      </c>
      <c r="G2155" s="3" t="s">
        <v>56</v>
      </c>
      <c r="H2155" s="3" t="s">
        <v>56</v>
      </c>
      <c r="M2155" s="151" t="str">
        <f t="shared" si="103"/>
        <v/>
      </c>
      <c r="N2155" s="151" t="str">
        <f t="shared" si="104"/>
        <v>/</v>
      </c>
      <c r="Q2155" s="239" t="str">
        <f t="shared" ref="Q2155:Q2218" ca="1" si="105">IF(D2155=TODAY(),1,"")</f>
        <v/>
      </c>
    </row>
    <row r="2156" spans="3:17" ht="15.75" hidden="1" customHeight="1" outlineLevel="1" x14ac:dyDescent="0.25">
      <c r="C2156" s="207"/>
      <c r="D2156" s="196">
        <v>42459</v>
      </c>
      <c r="E2156" s="101" t="s">
        <v>18</v>
      </c>
      <c r="F2156" s="216" t="s">
        <v>49</v>
      </c>
      <c r="G2156" s="3" t="s">
        <v>56</v>
      </c>
      <c r="H2156" s="3" t="s">
        <v>56</v>
      </c>
      <c r="M2156" s="151" t="str">
        <f t="shared" si="103"/>
        <v>/</v>
      </c>
      <c r="N2156" s="151" t="str">
        <f t="shared" si="104"/>
        <v/>
      </c>
      <c r="Q2156" s="239" t="str">
        <f t="shared" ca="1" si="105"/>
        <v/>
      </c>
    </row>
    <row r="2157" spans="3:17" ht="15.75" hidden="1" customHeight="1" outlineLevel="1" x14ac:dyDescent="0.25">
      <c r="C2157" s="208"/>
      <c r="D2157" s="196">
        <v>42461</v>
      </c>
      <c r="E2157" s="101" t="s">
        <v>24</v>
      </c>
      <c r="F2157" s="216" t="s">
        <v>50</v>
      </c>
      <c r="G2157" s="3" t="s">
        <v>56</v>
      </c>
      <c r="H2157" s="3" t="s">
        <v>56</v>
      </c>
      <c r="M2157" s="151" t="str">
        <f t="shared" si="103"/>
        <v/>
      </c>
      <c r="N2157" s="151" t="str">
        <f t="shared" si="104"/>
        <v>/</v>
      </c>
      <c r="Q2157" s="239" t="str">
        <f t="shared" ca="1" si="105"/>
        <v/>
      </c>
    </row>
    <row r="2158" spans="3:17" ht="15.75" hidden="1" customHeight="1" outlineLevel="1" x14ac:dyDescent="0.25">
      <c r="C2158" s="208"/>
      <c r="D2158" s="196">
        <v>42462</v>
      </c>
      <c r="E2158" s="101" t="s">
        <v>17</v>
      </c>
      <c r="F2158" s="216" t="s">
        <v>49</v>
      </c>
      <c r="G2158" s="3" t="s">
        <v>56</v>
      </c>
      <c r="H2158" s="3" t="s">
        <v>56</v>
      </c>
      <c r="M2158" s="151" t="str">
        <f t="shared" si="103"/>
        <v>/</v>
      </c>
      <c r="N2158" s="151" t="str">
        <f t="shared" si="104"/>
        <v/>
      </c>
      <c r="Q2158" s="239" t="str">
        <f t="shared" ca="1" si="105"/>
        <v/>
      </c>
    </row>
    <row r="2159" spans="3:17" ht="15.75" hidden="1" customHeight="1" outlineLevel="1" x14ac:dyDescent="0.25">
      <c r="C2159" s="208"/>
      <c r="D2159" s="196">
        <v>42465</v>
      </c>
      <c r="E2159" s="101" t="s">
        <v>16</v>
      </c>
      <c r="F2159" s="216" t="s">
        <v>49</v>
      </c>
      <c r="G2159" s="3" t="s">
        <v>56</v>
      </c>
      <c r="H2159" s="3" t="s">
        <v>56</v>
      </c>
      <c r="M2159" s="151" t="str">
        <f t="shared" si="103"/>
        <v>/</v>
      </c>
      <c r="N2159" s="151" t="str">
        <f t="shared" si="104"/>
        <v/>
      </c>
      <c r="Q2159" s="239" t="str">
        <f t="shared" ca="1" si="105"/>
        <v/>
      </c>
    </row>
    <row r="2160" spans="3:17" ht="15.75" hidden="1" customHeight="1" outlineLevel="1" x14ac:dyDescent="0.25">
      <c r="C2160" s="208"/>
      <c r="D2160" s="196">
        <v>42467</v>
      </c>
      <c r="E2160" s="101" t="s">
        <v>23</v>
      </c>
      <c r="F2160" s="216" t="s">
        <v>49</v>
      </c>
      <c r="G2160" s="3" t="s">
        <v>56</v>
      </c>
      <c r="H2160" s="3" t="s">
        <v>56</v>
      </c>
      <c r="M2160" s="151" t="str">
        <f t="shared" si="103"/>
        <v>/</v>
      </c>
      <c r="N2160" s="151" t="str">
        <f t="shared" si="104"/>
        <v/>
      </c>
      <c r="Q2160" s="239" t="str">
        <f t="shared" ca="1" si="105"/>
        <v/>
      </c>
    </row>
    <row r="2161" spans="2:17" ht="15.75" hidden="1" customHeight="1" outlineLevel="1" x14ac:dyDescent="0.25">
      <c r="C2161" s="208"/>
      <c r="D2161" s="196">
        <v>42469</v>
      </c>
      <c r="E2161" s="101" t="s">
        <v>645</v>
      </c>
      <c r="F2161" s="216" t="s">
        <v>49</v>
      </c>
      <c r="G2161" s="3" t="s">
        <v>56</v>
      </c>
      <c r="H2161" s="3" t="s">
        <v>56</v>
      </c>
      <c r="M2161" s="151" t="str">
        <f t="shared" si="103"/>
        <v>/</v>
      </c>
      <c r="N2161" s="151" t="str">
        <f t="shared" si="104"/>
        <v/>
      </c>
      <c r="Q2161" s="239" t="str">
        <f t="shared" ca="1" si="105"/>
        <v/>
      </c>
    </row>
    <row r="2162" spans="2:17" ht="15.75" hidden="1" customHeight="1" outlineLevel="1" x14ac:dyDescent="0.25">
      <c r="C2162" s="208"/>
      <c r="D2162" s="196">
        <v>42471</v>
      </c>
      <c r="E2162" s="102" t="s">
        <v>26</v>
      </c>
      <c r="F2162" s="217" t="s">
        <v>50</v>
      </c>
      <c r="G2162" s="3" t="s">
        <v>56</v>
      </c>
      <c r="H2162" s="3" t="s">
        <v>56</v>
      </c>
      <c r="M2162" s="151" t="str">
        <f t="shared" si="103"/>
        <v/>
      </c>
      <c r="N2162" s="151" t="str">
        <f t="shared" si="104"/>
        <v>/</v>
      </c>
      <c r="Q2162" s="239" t="str">
        <f t="shared" ca="1" si="105"/>
        <v/>
      </c>
    </row>
    <row r="2163" spans="2:17" collapsed="1" x14ac:dyDescent="0.25">
      <c r="B2163" s="404" t="e">
        <f ca="1">"- "&amp;INDEX(E2164:E2245,MATCH(TODAY(),D2164:D2245,0))</f>
        <v>#N/A</v>
      </c>
      <c r="C2163" s="404"/>
      <c r="D2163" s="406" t="s">
        <v>24</v>
      </c>
      <c r="E2163" s="407"/>
      <c r="F2163" s="408"/>
      <c r="H2163" s="3"/>
      <c r="Q2163" s="239" t="str">
        <f t="shared" ca="1" si="105"/>
        <v/>
      </c>
    </row>
    <row r="2164" spans="2:17" ht="16.5" hidden="1" customHeight="1" outlineLevel="1" x14ac:dyDescent="0.25">
      <c r="C2164" s="207"/>
      <c r="D2164" s="196">
        <v>42668</v>
      </c>
      <c r="E2164" s="103" t="s">
        <v>28</v>
      </c>
      <c r="F2164" s="215" t="s">
        <v>49</v>
      </c>
      <c r="G2164" s="3">
        <v>1</v>
      </c>
      <c r="H2164" s="3">
        <v>113</v>
      </c>
      <c r="I2164" s="151">
        <v>68</v>
      </c>
      <c r="J2164" s="151">
        <v>46</v>
      </c>
      <c r="K2164" s="151">
        <v>100</v>
      </c>
      <c r="L2164" s="151">
        <v>52</v>
      </c>
      <c r="M2164" s="151">
        <f t="shared" si="103"/>
        <v>113</v>
      </c>
      <c r="N2164" s="151" t="str">
        <f t="shared" si="104"/>
        <v/>
      </c>
      <c r="O2164" s="151">
        <v>104</v>
      </c>
      <c r="Q2164" s="239" t="str">
        <f t="shared" ca="1" si="105"/>
        <v/>
      </c>
    </row>
    <row r="2165" spans="2:17" ht="15.75" hidden="1" customHeight="1" outlineLevel="1" x14ac:dyDescent="0.25">
      <c r="C2165" s="207"/>
      <c r="D2165" s="196">
        <v>42670</v>
      </c>
      <c r="E2165" s="101" t="s">
        <v>18</v>
      </c>
      <c r="F2165" s="216" t="s">
        <v>49</v>
      </c>
      <c r="G2165" s="3">
        <v>0</v>
      </c>
      <c r="H2165" s="3">
        <v>106</v>
      </c>
      <c r="I2165" s="151">
        <v>22</v>
      </c>
      <c r="J2165" s="151">
        <v>52</v>
      </c>
      <c r="K2165" s="151">
        <v>75</v>
      </c>
      <c r="L2165" s="151">
        <v>46</v>
      </c>
      <c r="M2165" s="151">
        <f t="shared" si="103"/>
        <v>106</v>
      </c>
      <c r="N2165" s="151" t="str">
        <f t="shared" si="104"/>
        <v/>
      </c>
      <c r="O2165" s="151">
        <v>114</v>
      </c>
      <c r="Q2165" s="239" t="str">
        <f t="shared" ca="1" si="105"/>
        <v/>
      </c>
    </row>
    <row r="2166" spans="2:17" ht="15.75" hidden="1" customHeight="1" outlineLevel="1" x14ac:dyDescent="0.25">
      <c r="C2166" s="207"/>
      <c r="D2166" s="196">
        <v>42672</v>
      </c>
      <c r="E2166" s="101" t="s">
        <v>15</v>
      </c>
      <c r="F2166" s="216" t="s">
        <v>50</v>
      </c>
      <c r="G2166" s="3" t="s">
        <v>56</v>
      </c>
      <c r="H2166" s="3" t="s">
        <v>56</v>
      </c>
      <c r="M2166" s="151" t="str">
        <f t="shared" si="103"/>
        <v/>
      </c>
      <c r="N2166" s="151" t="str">
        <f t="shared" si="104"/>
        <v>/</v>
      </c>
      <c r="Q2166" s="239" t="str">
        <f t="shared" ca="1" si="105"/>
        <v/>
      </c>
    </row>
    <row r="2167" spans="2:17" ht="15.75" hidden="1" customHeight="1" outlineLevel="1" x14ac:dyDescent="0.25">
      <c r="C2167" s="207"/>
      <c r="D2167" s="196">
        <v>42675</v>
      </c>
      <c r="E2167" s="101" t="s">
        <v>16</v>
      </c>
      <c r="F2167" s="216" t="s">
        <v>49</v>
      </c>
      <c r="G2167" s="3" t="s">
        <v>56</v>
      </c>
      <c r="H2167" s="3" t="s">
        <v>56</v>
      </c>
      <c r="M2167" s="151" t="str">
        <f t="shared" si="103"/>
        <v>/</v>
      </c>
      <c r="N2167" s="151" t="str">
        <f t="shared" si="104"/>
        <v/>
      </c>
      <c r="Q2167" s="239" t="str">
        <f t="shared" ca="1" si="105"/>
        <v/>
      </c>
    </row>
    <row r="2168" spans="2:17" ht="15.75" hidden="1" customHeight="1" outlineLevel="1" x14ac:dyDescent="0.25">
      <c r="C2168" s="207"/>
      <c r="D2168" s="196">
        <v>42676</v>
      </c>
      <c r="E2168" s="101" t="s">
        <v>25</v>
      </c>
      <c r="F2168" s="216" t="s">
        <v>50</v>
      </c>
      <c r="G2168" s="3" t="s">
        <v>56</v>
      </c>
      <c r="H2168" s="3" t="s">
        <v>56</v>
      </c>
      <c r="M2168" s="151" t="str">
        <f t="shared" si="103"/>
        <v/>
      </c>
      <c r="N2168" s="151" t="str">
        <f t="shared" si="104"/>
        <v>/</v>
      </c>
      <c r="Q2168" s="239" t="str">
        <f t="shared" ca="1" si="105"/>
        <v/>
      </c>
    </row>
    <row r="2169" spans="2:17" ht="15.75" hidden="1" customHeight="1" outlineLevel="1" x14ac:dyDescent="0.25">
      <c r="C2169" s="207"/>
      <c r="D2169" s="196">
        <v>42678</v>
      </c>
      <c r="E2169" s="101" t="s">
        <v>645</v>
      </c>
      <c r="F2169" s="216" t="s">
        <v>50</v>
      </c>
      <c r="G2169" s="3" t="s">
        <v>56</v>
      </c>
      <c r="H2169" s="3" t="s">
        <v>56</v>
      </c>
      <c r="M2169" s="151" t="str">
        <f t="shared" si="103"/>
        <v/>
      </c>
      <c r="N2169" s="151" t="str">
        <f t="shared" si="104"/>
        <v>/</v>
      </c>
      <c r="Q2169" s="239" t="str">
        <f t="shared" ca="1" si="105"/>
        <v/>
      </c>
    </row>
    <row r="2170" spans="2:17" ht="15.75" hidden="1" customHeight="1" outlineLevel="1" x14ac:dyDescent="0.25">
      <c r="C2170" s="207"/>
      <c r="D2170" s="196">
        <v>42680</v>
      </c>
      <c r="E2170" s="101" t="s">
        <v>20</v>
      </c>
      <c r="F2170" s="216" t="s">
        <v>50</v>
      </c>
      <c r="G2170" s="3" t="s">
        <v>56</v>
      </c>
      <c r="H2170" s="3" t="s">
        <v>56</v>
      </c>
      <c r="M2170" s="151" t="str">
        <f t="shared" si="103"/>
        <v/>
      </c>
      <c r="N2170" s="151" t="str">
        <f t="shared" si="104"/>
        <v>/</v>
      </c>
      <c r="Q2170" s="239" t="str">
        <f t="shared" ca="1" si="105"/>
        <v/>
      </c>
    </row>
    <row r="2171" spans="2:17" ht="15.75" hidden="1" customHeight="1" outlineLevel="1" x14ac:dyDescent="0.25">
      <c r="C2171" s="207"/>
      <c r="D2171" s="196">
        <v>42682</v>
      </c>
      <c r="E2171" s="101" t="s">
        <v>25</v>
      </c>
      <c r="F2171" s="216" t="s">
        <v>49</v>
      </c>
      <c r="G2171" s="3" t="s">
        <v>56</v>
      </c>
      <c r="H2171" s="3" t="s">
        <v>56</v>
      </c>
      <c r="M2171" s="151" t="str">
        <f t="shared" si="103"/>
        <v>/</v>
      </c>
      <c r="N2171" s="151" t="str">
        <f t="shared" si="104"/>
        <v/>
      </c>
      <c r="Q2171" s="239" t="str">
        <f t="shared" ca="1" si="105"/>
        <v/>
      </c>
    </row>
    <row r="2172" spans="2:17" ht="15.75" hidden="1" customHeight="1" outlineLevel="1" x14ac:dyDescent="0.25">
      <c r="C2172" s="207"/>
      <c r="D2172" s="196">
        <v>42683</v>
      </c>
      <c r="E2172" s="101" t="s">
        <v>18</v>
      </c>
      <c r="F2172" s="216" t="s">
        <v>50</v>
      </c>
      <c r="G2172" s="3" t="s">
        <v>56</v>
      </c>
      <c r="H2172" s="3" t="s">
        <v>56</v>
      </c>
      <c r="M2172" s="151" t="str">
        <f t="shared" si="103"/>
        <v/>
      </c>
      <c r="N2172" s="151" t="str">
        <f t="shared" si="104"/>
        <v>/</v>
      </c>
      <c r="Q2172" s="239" t="str">
        <f t="shared" ca="1" si="105"/>
        <v/>
      </c>
    </row>
    <row r="2173" spans="2:17" ht="15.75" hidden="1" customHeight="1" outlineLevel="1" x14ac:dyDescent="0.25">
      <c r="C2173" s="207"/>
      <c r="D2173" s="196">
        <v>42685</v>
      </c>
      <c r="E2173" s="101" t="s">
        <v>26</v>
      </c>
      <c r="F2173" s="216" t="s">
        <v>49</v>
      </c>
      <c r="G2173" s="3" t="s">
        <v>56</v>
      </c>
      <c r="H2173" s="3" t="s">
        <v>56</v>
      </c>
      <c r="M2173" s="151" t="str">
        <f t="shared" si="103"/>
        <v>/</v>
      </c>
      <c r="N2173" s="151" t="str">
        <f t="shared" si="104"/>
        <v/>
      </c>
      <c r="Q2173" s="239" t="str">
        <f t="shared" ca="1" si="105"/>
        <v/>
      </c>
    </row>
    <row r="2174" spans="2:17" ht="15.75" hidden="1" customHeight="1" outlineLevel="1" x14ac:dyDescent="0.25">
      <c r="C2174" s="207"/>
      <c r="D2174" s="196">
        <v>42687</v>
      </c>
      <c r="E2174" s="101" t="s">
        <v>15</v>
      </c>
      <c r="F2174" s="216" t="s">
        <v>49</v>
      </c>
      <c r="G2174" s="3" t="s">
        <v>56</v>
      </c>
      <c r="H2174" s="3" t="s">
        <v>56</v>
      </c>
      <c r="M2174" s="151" t="str">
        <f t="shared" si="103"/>
        <v>/</v>
      </c>
      <c r="N2174" s="151" t="str">
        <f t="shared" si="104"/>
        <v/>
      </c>
      <c r="Q2174" s="239" t="str">
        <f t="shared" ca="1" si="105"/>
        <v/>
      </c>
    </row>
    <row r="2175" spans="2:17" ht="15.75" hidden="1" customHeight="1" outlineLevel="1" x14ac:dyDescent="0.25">
      <c r="C2175" s="207"/>
      <c r="D2175" s="196">
        <v>42689</v>
      </c>
      <c r="E2175" s="101" t="s">
        <v>2</v>
      </c>
      <c r="F2175" s="216" t="s">
        <v>49</v>
      </c>
      <c r="G2175" s="3" t="s">
        <v>56</v>
      </c>
      <c r="H2175" s="3" t="s">
        <v>56</v>
      </c>
      <c r="M2175" s="151" t="str">
        <f t="shared" si="103"/>
        <v>/</v>
      </c>
      <c r="N2175" s="151" t="str">
        <f t="shared" si="104"/>
        <v/>
      </c>
      <c r="Q2175" s="239" t="str">
        <f t="shared" ca="1" si="105"/>
        <v/>
      </c>
    </row>
    <row r="2176" spans="2:17" ht="15.75" hidden="1" customHeight="1" outlineLevel="1" x14ac:dyDescent="0.25">
      <c r="C2176" s="207"/>
      <c r="D2176" s="196">
        <v>42691</v>
      </c>
      <c r="E2176" s="101" t="s">
        <v>17</v>
      </c>
      <c r="F2176" s="216" t="s">
        <v>50</v>
      </c>
      <c r="G2176" s="3" t="s">
        <v>56</v>
      </c>
      <c r="H2176" s="3" t="s">
        <v>56</v>
      </c>
      <c r="M2176" s="151" t="str">
        <f t="shared" si="103"/>
        <v/>
      </c>
      <c r="N2176" s="151" t="str">
        <f t="shared" si="104"/>
        <v>/</v>
      </c>
      <c r="Q2176" s="239" t="str">
        <f t="shared" ca="1" si="105"/>
        <v/>
      </c>
    </row>
    <row r="2177" spans="3:17" ht="15.75" hidden="1" customHeight="1" outlineLevel="1" x14ac:dyDescent="0.25">
      <c r="C2177" s="207"/>
      <c r="D2177" s="196">
        <v>42692</v>
      </c>
      <c r="E2177" s="101" t="s">
        <v>22</v>
      </c>
      <c r="F2177" s="216" t="s">
        <v>50</v>
      </c>
      <c r="G2177" s="3" t="s">
        <v>56</v>
      </c>
      <c r="H2177" s="3" t="s">
        <v>56</v>
      </c>
      <c r="M2177" s="151" t="str">
        <f t="shared" si="103"/>
        <v/>
      </c>
      <c r="N2177" s="151" t="str">
        <f t="shared" si="104"/>
        <v>/</v>
      </c>
      <c r="Q2177" s="239" t="str">
        <f t="shared" ca="1" si="105"/>
        <v/>
      </c>
    </row>
    <row r="2178" spans="3:17" ht="15.75" hidden="1" customHeight="1" outlineLevel="1" x14ac:dyDescent="0.25">
      <c r="C2178" s="207"/>
      <c r="D2178" s="196">
        <v>42694</v>
      </c>
      <c r="E2178" s="101" t="s">
        <v>45</v>
      </c>
      <c r="F2178" s="216" t="s">
        <v>50</v>
      </c>
      <c r="G2178" s="3" t="s">
        <v>56</v>
      </c>
      <c r="H2178" s="3" t="s">
        <v>56</v>
      </c>
      <c r="M2178" s="151" t="str">
        <f t="shared" si="103"/>
        <v/>
      </c>
      <c r="N2178" s="151" t="str">
        <f t="shared" si="104"/>
        <v>/</v>
      </c>
      <c r="Q2178" s="239" t="str">
        <f t="shared" ca="1" si="105"/>
        <v/>
      </c>
    </row>
    <row r="2179" spans="3:17" ht="15.75" hidden="1" customHeight="1" outlineLevel="1" x14ac:dyDescent="0.25">
      <c r="C2179" s="207"/>
      <c r="D2179" s="196">
        <v>42696</v>
      </c>
      <c r="E2179" s="101" t="s">
        <v>9</v>
      </c>
      <c r="F2179" s="216" t="s">
        <v>50</v>
      </c>
      <c r="G2179" s="3" t="s">
        <v>56</v>
      </c>
      <c r="H2179" s="3" t="s">
        <v>56</v>
      </c>
      <c r="M2179" s="151" t="str">
        <f t="shared" si="103"/>
        <v/>
      </c>
      <c r="N2179" s="151" t="str">
        <f t="shared" si="104"/>
        <v>/</v>
      </c>
      <c r="Q2179" s="239" t="str">
        <f t="shared" ca="1" si="105"/>
        <v/>
      </c>
    </row>
    <row r="2180" spans="3:17" ht="15.75" hidden="1" customHeight="1" outlineLevel="1" x14ac:dyDescent="0.25">
      <c r="C2180" s="207"/>
      <c r="D2180" s="196">
        <v>42697</v>
      </c>
      <c r="E2180" s="101" t="s">
        <v>4</v>
      </c>
      <c r="F2180" s="216" t="s">
        <v>50</v>
      </c>
      <c r="G2180" s="3" t="s">
        <v>56</v>
      </c>
      <c r="H2180" s="3" t="s">
        <v>56</v>
      </c>
      <c r="M2180" s="151" t="str">
        <f t="shared" si="103"/>
        <v/>
      </c>
      <c r="N2180" s="151" t="str">
        <f t="shared" si="104"/>
        <v>/</v>
      </c>
      <c r="Q2180" s="239" t="str">
        <f t="shared" ca="1" si="105"/>
        <v/>
      </c>
    </row>
    <row r="2181" spans="3:17" ht="15.75" hidden="1" customHeight="1" outlineLevel="1" x14ac:dyDescent="0.25">
      <c r="C2181" s="207"/>
      <c r="D2181" s="196">
        <v>42699</v>
      </c>
      <c r="E2181" s="101" t="s">
        <v>22</v>
      </c>
      <c r="F2181" s="216" t="s">
        <v>49</v>
      </c>
      <c r="G2181" s="3" t="s">
        <v>56</v>
      </c>
      <c r="H2181" s="3" t="s">
        <v>56</v>
      </c>
      <c r="M2181" s="151" t="str">
        <f t="shared" si="103"/>
        <v>/</v>
      </c>
      <c r="N2181" s="151" t="str">
        <f t="shared" si="104"/>
        <v/>
      </c>
      <c r="Q2181" s="239" t="str">
        <f t="shared" ca="1" si="105"/>
        <v/>
      </c>
    </row>
    <row r="2182" spans="3:17" ht="15.75" hidden="1" customHeight="1" outlineLevel="1" x14ac:dyDescent="0.25">
      <c r="C2182" s="207"/>
      <c r="D2182" s="196">
        <v>42701</v>
      </c>
      <c r="E2182" s="101" t="s">
        <v>17</v>
      </c>
      <c r="F2182" s="216" t="s">
        <v>49</v>
      </c>
      <c r="G2182" s="3" t="s">
        <v>56</v>
      </c>
      <c r="H2182" s="3" t="s">
        <v>56</v>
      </c>
      <c r="M2182" s="151" t="str">
        <f t="shared" si="103"/>
        <v>/</v>
      </c>
      <c r="N2182" s="151" t="str">
        <f t="shared" si="104"/>
        <v/>
      </c>
      <c r="Q2182" s="239" t="str">
        <f t="shared" ca="1" si="105"/>
        <v/>
      </c>
    </row>
    <row r="2183" spans="3:17" ht="15.75" hidden="1" customHeight="1" outlineLevel="1" x14ac:dyDescent="0.25">
      <c r="C2183" s="207"/>
      <c r="D2183" s="196">
        <v>42704</v>
      </c>
      <c r="E2183" s="101" t="s">
        <v>7</v>
      </c>
      <c r="F2183" s="216" t="s">
        <v>49</v>
      </c>
      <c r="G2183" s="3" t="s">
        <v>56</v>
      </c>
      <c r="H2183" s="3" t="s">
        <v>56</v>
      </c>
      <c r="M2183" s="151" t="str">
        <f t="shared" ref="M2183:M2245" si="106">IF(F2183="D",H2183,"")</f>
        <v>/</v>
      </c>
      <c r="N2183" s="151" t="str">
        <f t="shared" ref="N2183:N2245" si="107">IF(F2183="E",H2183,"")</f>
        <v/>
      </c>
      <c r="Q2183" s="239" t="str">
        <f t="shared" ca="1" si="105"/>
        <v/>
      </c>
    </row>
    <row r="2184" spans="3:17" ht="15.75" hidden="1" customHeight="1" outlineLevel="1" x14ac:dyDescent="0.25">
      <c r="C2184" s="208"/>
      <c r="D2184" s="196">
        <v>42707</v>
      </c>
      <c r="E2184" s="101" t="s">
        <v>6</v>
      </c>
      <c r="F2184" s="216" t="s">
        <v>49</v>
      </c>
      <c r="G2184" s="3" t="s">
        <v>56</v>
      </c>
      <c r="H2184" s="3" t="s">
        <v>56</v>
      </c>
      <c r="M2184" s="151" t="str">
        <f t="shared" si="106"/>
        <v>/</v>
      </c>
      <c r="N2184" s="151" t="str">
        <f t="shared" si="107"/>
        <v/>
      </c>
      <c r="Q2184" s="239" t="str">
        <f t="shared" ca="1" si="105"/>
        <v/>
      </c>
    </row>
    <row r="2185" spans="3:17" ht="15.75" hidden="1" customHeight="1" outlineLevel="1" x14ac:dyDescent="0.25">
      <c r="C2185" s="208"/>
      <c r="D2185" s="196">
        <v>42709</v>
      </c>
      <c r="E2185" s="101" t="s">
        <v>2</v>
      </c>
      <c r="F2185" s="216" t="s">
        <v>50</v>
      </c>
      <c r="G2185" s="3" t="s">
        <v>56</v>
      </c>
      <c r="H2185" s="3" t="s">
        <v>56</v>
      </c>
      <c r="M2185" s="151" t="str">
        <f t="shared" si="106"/>
        <v/>
      </c>
      <c r="N2185" s="151" t="str">
        <f t="shared" si="107"/>
        <v>/</v>
      </c>
      <c r="Q2185" s="239" t="str">
        <f t="shared" ca="1" si="105"/>
        <v/>
      </c>
    </row>
    <row r="2186" spans="3:17" ht="15.75" hidden="1" customHeight="1" outlineLevel="1" x14ac:dyDescent="0.25">
      <c r="C2186" s="208"/>
      <c r="D2186" s="196">
        <v>42711</v>
      </c>
      <c r="E2186" s="101" t="s">
        <v>8</v>
      </c>
      <c r="F2186" s="216" t="s">
        <v>50</v>
      </c>
      <c r="G2186" s="3" t="s">
        <v>56</v>
      </c>
      <c r="H2186" s="3" t="s">
        <v>56</v>
      </c>
      <c r="M2186" s="151" t="str">
        <f t="shared" si="106"/>
        <v/>
      </c>
      <c r="N2186" s="151" t="str">
        <f t="shared" si="107"/>
        <v>/</v>
      </c>
      <c r="Q2186" s="239" t="str">
        <f t="shared" ca="1" si="105"/>
        <v/>
      </c>
    </row>
    <row r="2187" spans="3:17" ht="15.75" hidden="1" customHeight="1" outlineLevel="1" x14ac:dyDescent="0.25">
      <c r="C2187" s="208"/>
      <c r="D2187" s="196">
        <v>42712</v>
      </c>
      <c r="E2187" s="101" t="s">
        <v>20</v>
      </c>
      <c r="F2187" s="216" t="s">
        <v>50</v>
      </c>
      <c r="G2187" s="3" t="s">
        <v>56</v>
      </c>
      <c r="H2187" s="3" t="s">
        <v>56</v>
      </c>
      <c r="M2187" s="151" t="str">
        <f t="shared" si="106"/>
        <v/>
      </c>
      <c r="N2187" s="151" t="str">
        <f t="shared" si="107"/>
        <v>/</v>
      </c>
      <c r="Q2187" s="239" t="str">
        <f t="shared" ca="1" si="105"/>
        <v/>
      </c>
    </row>
    <row r="2188" spans="3:17" ht="15.75" hidden="1" customHeight="1" outlineLevel="1" x14ac:dyDescent="0.25">
      <c r="C2188" s="208"/>
      <c r="D2188" s="196">
        <v>42714</v>
      </c>
      <c r="E2188" s="101" t="s">
        <v>7</v>
      </c>
      <c r="F2188" s="216" t="s">
        <v>50</v>
      </c>
      <c r="G2188" s="3" t="s">
        <v>56</v>
      </c>
      <c r="H2188" s="3" t="s">
        <v>56</v>
      </c>
      <c r="M2188" s="151" t="str">
        <f t="shared" si="106"/>
        <v/>
      </c>
      <c r="N2188" s="151" t="str">
        <f t="shared" si="107"/>
        <v>/</v>
      </c>
      <c r="Q2188" s="239" t="str">
        <f t="shared" ca="1" si="105"/>
        <v/>
      </c>
    </row>
    <row r="2189" spans="3:17" ht="15.75" hidden="1" customHeight="1" outlineLevel="1" x14ac:dyDescent="0.25">
      <c r="C2189" s="208"/>
      <c r="D2189" s="196">
        <v>42716</v>
      </c>
      <c r="E2189" s="101" t="s">
        <v>18</v>
      </c>
      <c r="F2189" s="216" t="s">
        <v>50</v>
      </c>
      <c r="G2189" s="3" t="s">
        <v>56</v>
      </c>
      <c r="H2189" s="3" t="s">
        <v>56</v>
      </c>
      <c r="M2189" s="151" t="str">
        <f t="shared" si="106"/>
        <v/>
      </c>
      <c r="N2189" s="151" t="str">
        <f t="shared" si="107"/>
        <v>/</v>
      </c>
      <c r="Q2189" s="239" t="str">
        <f t="shared" ca="1" si="105"/>
        <v/>
      </c>
    </row>
    <row r="2190" spans="3:17" ht="15.75" hidden="1" customHeight="1" outlineLevel="1" x14ac:dyDescent="0.25">
      <c r="C2190" s="208"/>
      <c r="D2190" s="196">
        <v>42717</v>
      </c>
      <c r="E2190" s="101" t="s">
        <v>23</v>
      </c>
      <c r="F2190" s="216" t="s">
        <v>49</v>
      </c>
      <c r="G2190" s="3" t="s">
        <v>56</v>
      </c>
      <c r="H2190" s="3" t="s">
        <v>56</v>
      </c>
      <c r="M2190" s="151" t="str">
        <f t="shared" si="106"/>
        <v>/</v>
      </c>
      <c r="N2190" s="151" t="str">
        <f t="shared" si="107"/>
        <v/>
      </c>
      <c r="Q2190" s="239" t="str">
        <f t="shared" ca="1" si="105"/>
        <v/>
      </c>
    </row>
    <row r="2191" spans="3:17" ht="15.75" hidden="1" customHeight="1" outlineLevel="1" x14ac:dyDescent="0.25">
      <c r="C2191" s="208"/>
      <c r="D2191" s="196">
        <v>42719</v>
      </c>
      <c r="E2191" s="101" t="s">
        <v>15</v>
      </c>
      <c r="F2191" s="216" t="s">
        <v>50</v>
      </c>
      <c r="G2191" s="3" t="s">
        <v>56</v>
      </c>
      <c r="H2191" s="3" t="s">
        <v>56</v>
      </c>
      <c r="M2191" s="151" t="str">
        <f t="shared" si="106"/>
        <v/>
      </c>
      <c r="N2191" s="151" t="str">
        <f t="shared" si="107"/>
        <v>/</v>
      </c>
      <c r="Q2191" s="239" t="str">
        <f t="shared" ca="1" si="105"/>
        <v/>
      </c>
    </row>
    <row r="2192" spans="3:17" ht="15.75" hidden="1" customHeight="1" outlineLevel="1" x14ac:dyDescent="0.25">
      <c r="C2192" s="208"/>
      <c r="D2192" s="196">
        <v>42721</v>
      </c>
      <c r="E2192" s="101" t="s">
        <v>16</v>
      </c>
      <c r="F2192" s="216" t="s">
        <v>50</v>
      </c>
      <c r="G2192" s="3" t="s">
        <v>56</v>
      </c>
      <c r="H2192" s="3" t="s">
        <v>56</v>
      </c>
      <c r="M2192" s="151" t="str">
        <f t="shared" si="106"/>
        <v/>
      </c>
      <c r="N2192" s="151" t="str">
        <f t="shared" si="107"/>
        <v>/</v>
      </c>
      <c r="Q2192" s="239" t="str">
        <f t="shared" ca="1" si="105"/>
        <v/>
      </c>
    </row>
    <row r="2193" spans="3:17" ht="15.75" hidden="1" customHeight="1" outlineLevel="1" x14ac:dyDescent="0.25">
      <c r="C2193" s="208"/>
      <c r="D2193" s="196">
        <v>42724</v>
      </c>
      <c r="E2193" s="101" t="s">
        <v>26</v>
      </c>
      <c r="F2193" s="216" t="s">
        <v>50</v>
      </c>
      <c r="G2193" s="3" t="s">
        <v>56</v>
      </c>
      <c r="H2193" s="3" t="s">
        <v>56</v>
      </c>
      <c r="M2193" s="151" t="str">
        <f t="shared" si="106"/>
        <v/>
      </c>
      <c r="N2193" s="151" t="str">
        <f t="shared" si="107"/>
        <v>/</v>
      </c>
      <c r="Q2193" s="239" t="str">
        <f t="shared" ca="1" si="105"/>
        <v/>
      </c>
    </row>
    <row r="2194" spans="3:17" ht="15.75" hidden="1" customHeight="1" outlineLevel="1" x14ac:dyDescent="0.25">
      <c r="C2194" s="208"/>
      <c r="D2194" s="196">
        <v>42725</v>
      </c>
      <c r="E2194" s="101" t="s">
        <v>645</v>
      </c>
      <c r="F2194" s="216" t="s">
        <v>49</v>
      </c>
      <c r="G2194" s="3" t="s">
        <v>56</v>
      </c>
      <c r="H2194" s="3" t="s">
        <v>56</v>
      </c>
      <c r="M2194" s="151" t="str">
        <f t="shared" si="106"/>
        <v>/</v>
      </c>
      <c r="N2194" s="151" t="str">
        <f t="shared" si="107"/>
        <v/>
      </c>
      <c r="Q2194" s="239" t="str">
        <f t="shared" ca="1" si="105"/>
        <v/>
      </c>
    </row>
    <row r="2195" spans="3:17" ht="15.75" hidden="1" customHeight="1" outlineLevel="1" x14ac:dyDescent="0.25">
      <c r="C2195" s="208"/>
      <c r="D2195" s="196">
        <v>42727</v>
      </c>
      <c r="E2195" s="101" t="s">
        <v>46</v>
      </c>
      <c r="F2195" s="216" t="s">
        <v>49</v>
      </c>
      <c r="G2195" s="3" t="s">
        <v>56</v>
      </c>
      <c r="H2195" s="3" t="s">
        <v>56</v>
      </c>
      <c r="M2195" s="151" t="str">
        <f t="shared" si="106"/>
        <v>/</v>
      </c>
      <c r="N2195" s="151" t="str">
        <f t="shared" si="107"/>
        <v/>
      </c>
      <c r="Q2195" s="239" t="str">
        <f t="shared" ca="1" si="105"/>
        <v/>
      </c>
    </row>
    <row r="2196" spans="3:17" ht="15.75" hidden="1" customHeight="1" outlineLevel="1" x14ac:dyDescent="0.25">
      <c r="C2196" s="208"/>
      <c r="D2196" s="196">
        <v>42730</v>
      </c>
      <c r="E2196" s="101" t="s">
        <v>12</v>
      </c>
      <c r="F2196" s="216" t="s">
        <v>49</v>
      </c>
      <c r="G2196" s="3" t="s">
        <v>56</v>
      </c>
      <c r="H2196" s="3" t="s">
        <v>56</v>
      </c>
      <c r="M2196" s="151" t="str">
        <f t="shared" si="106"/>
        <v>/</v>
      </c>
      <c r="N2196" s="151" t="str">
        <f t="shared" si="107"/>
        <v/>
      </c>
      <c r="Q2196" s="239" t="str">
        <f t="shared" ca="1" si="105"/>
        <v/>
      </c>
    </row>
    <row r="2197" spans="3:17" ht="15.75" hidden="1" customHeight="1" outlineLevel="1" x14ac:dyDescent="0.25">
      <c r="C2197" s="208"/>
      <c r="D2197" s="196">
        <v>42732</v>
      </c>
      <c r="E2197" s="101" t="s">
        <v>26</v>
      </c>
      <c r="F2197" s="216" t="s">
        <v>49</v>
      </c>
      <c r="G2197" s="3" t="s">
        <v>56</v>
      </c>
      <c r="H2197" s="3" t="s">
        <v>56</v>
      </c>
      <c r="M2197" s="151" t="str">
        <f t="shared" si="106"/>
        <v>/</v>
      </c>
      <c r="N2197" s="151" t="str">
        <f t="shared" si="107"/>
        <v/>
      </c>
      <c r="Q2197" s="239" t="str">
        <f t="shared" ca="1" si="105"/>
        <v/>
      </c>
    </row>
    <row r="2198" spans="3:17" ht="15.75" hidden="1" customHeight="1" outlineLevel="1" x14ac:dyDescent="0.25">
      <c r="C2198" s="208"/>
      <c r="D2198" s="196">
        <v>42734</v>
      </c>
      <c r="E2198" s="101" t="s">
        <v>46</v>
      </c>
      <c r="F2198" s="216" t="s">
        <v>50</v>
      </c>
      <c r="G2198" s="3" t="s">
        <v>56</v>
      </c>
      <c r="H2198" s="3" t="s">
        <v>56</v>
      </c>
      <c r="M2198" s="151" t="str">
        <f t="shared" si="106"/>
        <v/>
      </c>
      <c r="N2198" s="151" t="str">
        <f t="shared" si="107"/>
        <v>/</v>
      </c>
      <c r="Q2198" s="239" t="str">
        <f t="shared" ca="1" si="105"/>
        <v/>
      </c>
    </row>
    <row r="2199" spans="3:17" ht="15.75" hidden="1" customHeight="1" outlineLevel="1" x14ac:dyDescent="0.25">
      <c r="C2199" s="207"/>
      <c r="D2199" s="196">
        <v>42370</v>
      </c>
      <c r="E2199" s="101" t="s">
        <v>21</v>
      </c>
      <c r="F2199" s="216" t="s">
        <v>50</v>
      </c>
      <c r="G2199" s="3" t="s">
        <v>56</v>
      </c>
      <c r="H2199" s="3" t="s">
        <v>56</v>
      </c>
      <c r="M2199" s="151" t="str">
        <f t="shared" si="106"/>
        <v/>
      </c>
      <c r="N2199" s="151" t="str">
        <f t="shared" si="107"/>
        <v>/</v>
      </c>
      <c r="Q2199" s="239" t="str">
        <f t="shared" ca="1" si="105"/>
        <v/>
      </c>
    </row>
    <row r="2200" spans="3:17" ht="15.75" hidden="1" customHeight="1" outlineLevel="1" x14ac:dyDescent="0.25">
      <c r="C2200" s="207"/>
      <c r="D2200" s="196">
        <v>42373</v>
      </c>
      <c r="E2200" s="101" t="s">
        <v>16</v>
      </c>
      <c r="F2200" s="216" t="s">
        <v>50</v>
      </c>
      <c r="G2200" s="3" t="s">
        <v>56</v>
      </c>
      <c r="H2200" s="3" t="s">
        <v>56</v>
      </c>
      <c r="M2200" s="151" t="str">
        <f t="shared" si="106"/>
        <v/>
      </c>
      <c r="N2200" s="151" t="str">
        <f t="shared" si="107"/>
        <v>/</v>
      </c>
      <c r="Q2200" s="239" t="str">
        <f t="shared" ca="1" si="105"/>
        <v/>
      </c>
    </row>
    <row r="2201" spans="3:17" ht="15.75" hidden="1" customHeight="1" outlineLevel="1" x14ac:dyDescent="0.25">
      <c r="C2201" s="207"/>
      <c r="D2201" s="196">
        <v>42374</v>
      </c>
      <c r="E2201" s="101" t="s">
        <v>644</v>
      </c>
      <c r="F2201" s="216" t="s">
        <v>49</v>
      </c>
      <c r="G2201" s="3" t="s">
        <v>56</v>
      </c>
      <c r="H2201" s="3" t="s">
        <v>56</v>
      </c>
      <c r="M2201" s="151" t="str">
        <f t="shared" si="106"/>
        <v>/</v>
      </c>
      <c r="N2201" s="151" t="str">
        <f t="shared" si="107"/>
        <v/>
      </c>
      <c r="Q2201" s="239" t="str">
        <f t="shared" ca="1" si="105"/>
        <v/>
      </c>
    </row>
    <row r="2202" spans="3:17" ht="15.75" hidden="1" customHeight="1" outlineLevel="1" x14ac:dyDescent="0.25">
      <c r="C2202" s="207"/>
      <c r="D2202" s="196">
        <v>42376</v>
      </c>
      <c r="E2202" s="101" t="s">
        <v>5</v>
      </c>
      <c r="F2202" s="216" t="s">
        <v>49</v>
      </c>
      <c r="G2202" s="3" t="s">
        <v>56</v>
      </c>
      <c r="H2202" s="3" t="s">
        <v>56</v>
      </c>
      <c r="M2202" s="151" t="str">
        <f t="shared" si="106"/>
        <v>/</v>
      </c>
      <c r="N2202" s="151" t="str">
        <f t="shared" si="107"/>
        <v/>
      </c>
      <c r="Q2202" s="239" t="str">
        <f t="shared" ca="1" si="105"/>
        <v/>
      </c>
    </row>
    <row r="2203" spans="3:17" ht="15.75" hidden="1" customHeight="1" outlineLevel="1" x14ac:dyDescent="0.25">
      <c r="C2203" s="207"/>
      <c r="D2203" s="196">
        <v>42379</v>
      </c>
      <c r="E2203" s="101" t="s">
        <v>644</v>
      </c>
      <c r="F2203" s="216" t="s">
        <v>50</v>
      </c>
      <c r="G2203" s="3" t="s">
        <v>56</v>
      </c>
      <c r="H2203" s="3" t="s">
        <v>56</v>
      </c>
      <c r="M2203" s="151" t="str">
        <f t="shared" si="106"/>
        <v/>
      </c>
      <c r="N2203" s="151" t="str">
        <f t="shared" si="107"/>
        <v>/</v>
      </c>
      <c r="Q2203" s="239" t="str">
        <f t="shared" ca="1" si="105"/>
        <v/>
      </c>
    </row>
    <row r="2204" spans="3:17" ht="15.75" hidden="1" customHeight="1" outlineLevel="1" x14ac:dyDescent="0.25">
      <c r="C2204" s="207"/>
      <c r="D2204" s="196">
        <v>42380</v>
      </c>
      <c r="E2204" s="101" t="s">
        <v>4</v>
      </c>
      <c r="F2204" s="216" t="s">
        <v>49</v>
      </c>
      <c r="G2204" s="3" t="s">
        <v>56</v>
      </c>
      <c r="H2204" s="3" t="s">
        <v>56</v>
      </c>
      <c r="M2204" s="151" t="str">
        <f t="shared" si="106"/>
        <v>/</v>
      </c>
      <c r="N2204" s="151" t="str">
        <f t="shared" si="107"/>
        <v/>
      </c>
      <c r="Q2204" s="239" t="str">
        <f t="shared" ca="1" si="105"/>
        <v/>
      </c>
    </row>
    <row r="2205" spans="3:17" ht="15.75" hidden="1" customHeight="1" outlineLevel="1" x14ac:dyDescent="0.25">
      <c r="C2205" s="207"/>
      <c r="D2205" s="196">
        <v>42382</v>
      </c>
      <c r="E2205" s="101" t="s">
        <v>10</v>
      </c>
      <c r="F2205" s="216" t="s">
        <v>49</v>
      </c>
      <c r="G2205" s="3" t="s">
        <v>56</v>
      </c>
      <c r="H2205" s="3" t="s">
        <v>56</v>
      </c>
      <c r="M2205" s="151" t="str">
        <f t="shared" si="106"/>
        <v>/</v>
      </c>
      <c r="N2205" s="151" t="str">
        <f t="shared" si="107"/>
        <v/>
      </c>
      <c r="Q2205" s="239" t="str">
        <f t="shared" ca="1" si="105"/>
        <v/>
      </c>
    </row>
    <row r="2206" spans="3:17" ht="15.75" hidden="1" customHeight="1" outlineLevel="1" x14ac:dyDescent="0.25">
      <c r="C2206" s="207"/>
      <c r="D2206" s="196">
        <v>42385</v>
      </c>
      <c r="E2206" s="101" t="s">
        <v>13</v>
      </c>
      <c r="F2206" s="216" t="s">
        <v>50</v>
      </c>
      <c r="G2206" s="3" t="s">
        <v>56</v>
      </c>
      <c r="H2206" s="3" t="s">
        <v>56</v>
      </c>
      <c r="M2206" s="151" t="str">
        <f t="shared" si="106"/>
        <v/>
      </c>
      <c r="N2206" s="151" t="str">
        <f t="shared" si="107"/>
        <v>/</v>
      </c>
      <c r="Q2206" s="239" t="str">
        <f t="shared" ca="1" si="105"/>
        <v/>
      </c>
    </row>
    <row r="2207" spans="3:17" ht="15.75" hidden="1" customHeight="1" outlineLevel="1" x14ac:dyDescent="0.25">
      <c r="C2207" s="207"/>
      <c r="D2207" s="196">
        <v>42387</v>
      </c>
      <c r="E2207" s="101" t="s">
        <v>3</v>
      </c>
      <c r="F2207" s="216" t="s">
        <v>50</v>
      </c>
      <c r="G2207" s="3" t="s">
        <v>56</v>
      </c>
      <c r="H2207" s="3" t="s">
        <v>56</v>
      </c>
      <c r="M2207" s="151" t="str">
        <f t="shared" si="106"/>
        <v/>
      </c>
      <c r="N2207" s="151" t="str">
        <f t="shared" si="107"/>
        <v>/</v>
      </c>
      <c r="Q2207" s="239" t="str">
        <f t="shared" ca="1" si="105"/>
        <v/>
      </c>
    </row>
    <row r="2208" spans="3:17" ht="15.75" hidden="1" customHeight="1" outlineLevel="1" x14ac:dyDescent="0.25">
      <c r="C2208" s="207"/>
      <c r="D2208" s="196">
        <v>42389</v>
      </c>
      <c r="E2208" s="101" t="s">
        <v>11</v>
      </c>
      <c r="F2208" s="216" t="s">
        <v>50</v>
      </c>
      <c r="G2208" s="3" t="s">
        <v>56</v>
      </c>
      <c r="H2208" s="3" t="s">
        <v>56</v>
      </c>
      <c r="M2208" s="151" t="str">
        <f t="shared" si="106"/>
        <v/>
      </c>
      <c r="N2208" s="151" t="str">
        <f t="shared" si="107"/>
        <v>/</v>
      </c>
      <c r="Q2208" s="239" t="str">
        <f t="shared" ca="1" si="105"/>
        <v/>
      </c>
    </row>
    <row r="2209" spans="3:17" ht="15.75" hidden="1" customHeight="1" outlineLevel="1" x14ac:dyDescent="0.25">
      <c r="C2209" s="207"/>
      <c r="D2209" s="196">
        <v>42390</v>
      </c>
      <c r="E2209" s="101" t="s">
        <v>1</v>
      </c>
      <c r="F2209" s="216" t="s">
        <v>50</v>
      </c>
      <c r="G2209" s="3" t="s">
        <v>56</v>
      </c>
      <c r="H2209" s="3" t="s">
        <v>56</v>
      </c>
      <c r="M2209" s="151" t="str">
        <f t="shared" si="106"/>
        <v/>
      </c>
      <c r="N2209" s="151" t="str">
        <f t="shared" si="107"/>
        <v>/</v>
      </c>
      <c r="Q2209" s="239" t="str">
        <f t="shared" ca="1" si="105"/>
        <v/>
      </c>
    </row>
    <row r="2210" spans="3:17" ht="15.75" hidden="1" customHeight="1" outlineLevel="1" x14ac:dyDescent="0.25">
      <c r="C2210" s="207"/>
      <c r="D2210" s="196">
        <v>42394</v>
      </c>
      <c r="E2210" s="101" t="s">
        <v>644</v>
      </c>
      <c r="F2210" s="216" t="s">
        <v>49</v>
      </c>
      <c r="G2210" s="3" t="s">
        <v>56</v>
      </c>
      <c r="H2210" s="3" t="s">
        <v>56</v>
      </c>
      <c r="M2210" s="151" t="str">
        <f t="shared" si="106"/>
        <v>/</v>
      </c>
      <c r="N2210" s="151" t="str">
        <f t="shared" si="107"/>
        <v/>
      </c>
      <c r="Q2210" s="239" t="str">
        <f t="shared" ca="1" si="105"/>
        <v/>
      </c>
    </row>
    <row r="2211" spans="3:17" ht="15.75" hidden="1" customHeight="1" outlineLevel="1" x14ac:dyDescent="0.25">
      <c r="C2211" s="207"/>
      <c r="D2211" s="196">
        <v>42396</v>
      </c>
      <c r="E2211" s="101" t="s">
        <v>20</v>
      </c>
      <c r="F2211" s="216" t="s">
        <v>49</v>
      </c>
      <c r="G2211" s="3" t="s">
        <v>56</v>
      </c>
      <c r="H2211" s="3" t="s">
        <v>56</v>
      </c>
      <c r="M2211" s="151" t="str">
        <f t="shared" si="106"/>
        <v>/</v>
      </c>
      <c r="N2211" s="151" t="str">
        <f t="shared" si="107"/>
        <v/>
      </c>
      <c r="Q2211" s="239" t="str">
        <f t="shared" ca="1" si="105"/>
        <v/>
      </c>
    </row>
    <row r="2212" spans="3:17" ht="15.75" hidden="1" customHeight="1" outlineLevel="1" x14ac:dyDescent="0.25">
      <c r="C2212" s="207"/>
      <c r="D2212" s="196">
        <v>42398</v>
      </c>
      <c r="E2212" s="101" t="s">
        <v>16</v>
      </c>
      <c r="F2212" s="216" t="s">
        <v>49</v>
      </c>
      <c r="G2212" s="3" t="s">
        <v>56</v>
      </c>
      <c r="H2212" s="3" t="s">
        <v>56</v>
      </c>
      <c r="M2212" s="151" t="str">
        <f t="shared" si="106"/>
        <v>/</v>
      </c>
      <c r="N2212" s="151" t="str">
        <f t="shared" si="107"/>
        <v/>
      </c>
      <c r="Q2212" s="239" t="str">
        <f t="shared" ca="1" si="105"/>
        <v/>
      </c>
    </row>
    <row r="2213" spans="3:17" ht="15.75" hidden="1" customHeight="1" outlineLevel="1" x14ac:dyDescent="0.25">
      <c r="C2213" s="207"/>
      <c r="D2213" s="196">
        <v>42400</v>
      </c>
      <c r="E2213" s="101" t="s">
        <v>3</v>
      </c>
      <c r="F2213" s="216" t="s">
        <v>49</v>
      </c>
      <c r="G2213" s="3" t="s">
        <v>56</v>
      </c>
      <c r="H2213" s="3" t="s">
        <v>56</v>
      </c>
      <c r="M2213" s="151" t="str">
        <f t="shared" si="106"/>
        <v>/</v>
      </c>
      <c r="N2213" s="151" t="str">
        <f t="shared" si="107"/>
        <v/>
      </c>
      <c r="Q2213" s="239" t="str">
        <f t="shared" ca="1" si="105"/>
        <v/>
      </c>
    </row>
    <row r="2214" spans="3:17" ht="15.75" hidden="1" customHeight="1" outlineLevel="1" x14ac:dyDescent="0.25">
      <c r="C2214" s="208"/>
      <c r="D2214" s="196">
        <v>42403</v>
      </c>
      <c r="E2214" s="101" t="s">
        <v>645</v>
      </c>
      <c r="F2214" s="216" t="s">
        <v>49</v>
      </c>
      <c r="G2214" s="3" t="s">
        <v>56</v>
      </c>
      <c r="H2214" s="3" t="s">
        <v>56</v>
      </c>
      <c r="M2214" s="151" t="str">
        <f t="shared" si="106"/>
        <v>/</v>
      </c>
      <c r="N2214" s="151" t="str">
        <f t="shared" si="107"/>
        <v/>
      </c>
      <c r="Q2214" s="239" t="str">
        <f t="shared" ca="1" si="105"/>
        <v/>
      </c>
    </row>
    <row r="2215" spans="3:17" ht="15.75" hidden="1" customHeight="1" outlineLevel="1" x14ac:dyDescent="0.25">
      <c r="C2215" s="208"/>
      <c r="D2215" s="196">
        <v>42405</v>
      </c>
      <c r="E2215" s="101" t="s">
        <v>23</v>
      </c>
      <c r="F2215" s="216" t="s">
        <v>50</v>
      </c>
      <c r="G2215" s="3" t="s">
        <v>56</v>
      </c>
      <c r="H2215" s="3" t="s">
        <v>56</v>
      </c>
      <c r="M2215" s="151" t="str">
        <f t="shared" si="106"/>
        <v/>
      </c>
      <c r="N2215" s="151" t="str">
        <f t="shared" si="107"/>
        <v>/</v>
      </c>
      <c r="Q2215" s="239" t="str">
        <f t="shared" ca="1" si="105"/>
        <v/>
      </c>
    </row>
    <row r="2216" spans="3:17" ht="15.75" hidden="1" customHeight="1" outlineLevel="1" x14ac:dyDescent="0.25">
      <c r="C2216" s="208"/>
      <c r="D2216" s="196">
        <v>42407</v>
      </c>
      <c r="E2216" s="101" t="s">
        <v>645</v>
      </c>
      <c r="F2216" s="216" t="s">
        <v>50</v>
      </c>
      <c r="G2216" s="3" t="s">
        <v>56</v>
      </c>
      <c r="H2216" s="3" t="s">
        <v>56</v>
      </c>
      <c r="M2216" s="151" t="str">
        <f t="shared" si="106"/>
        <v/>
      </c>
      <c r="N2216" s="151" t="str">
        <f t="shared" si="107"/>
        <v>/</v>
      </c>
      <c r="Q2216" s="239" t="str">
        <f t="shared" ca="1" si="105"/>
        <v/>
      </c>
    </row>
    <row r="2217" spans="3:17" ht="15.75" hidden="1" customHeight="1" outlineLevel="1" x14ac:dyDescent="0.25">
      <c r="C2217" s="208"/>
      <c r="D2217" s="196">
        <v>42409</v>
      </c>
      <c r="E2217" s="101" t="s">
        <v>1</v>
      </c>
      <c r="F2217" s="216" t="s">
        <v>49</v>
      </c>
      <c r="G2217" s="3" t="s">
        <v>56</v>
      </c>
      <c r="H2217" s="3" t="s">
        <v>56</v>
      </c>
      <c r="M2217" s="151" t="str">
        <f t="shared" si="106"/>
        <v>/</v>
      </c>
      <c r="N2217" s="151" t="str">
        <f t="shared" si="107"/>
        <v/>
      </c>
      <c r="Q2217" s="239" t="str">
        <f t="shared" ca="1" si="105"/>
        <v/>
      </c>
    </row>
    <row r="2218" spans="3:17" ht="15.75" hidden="1" customHeight="1" outlineLevel="1" x14ac:dyDescent="0.25">
      <c r="C2218" s="208"/>
      <c r="D2218" s="196">
        <v>42413</v>
      </c>
      <c r="E2218" s="101" t="s">
        <v>0</v>
      </c>
      <c r="F2218" s="216" t="s">
        <v>49</v>
      </c>
      <c r="G2218" s="3" t="s">
        <v>56</v>
      </c>
      <c r="H2218" s="3" t="s">
        <v>56</v>
      </c>
      <c r="M2218" s="151" t="str">
        <f t="shared" si="106"/>
        <v>/</v>
      </c>
      <c r="N2218" s="151" t="str">
        <f t="shared" si="107"/>
        <v/>
      </c>
      <c r="Q2218" s="239" t="str">
        <f t="shared" ca="1" si="105"/>
        <v/>
      </c>
    </row>
    <row r="2219" spans="3:17" ht="15.75" hidden="1" customHeight="1" outlineLevel="1" x14ac:dyDescent="0.25">
      <c r="C2219" s="208"/>
      <c r="D2219" s="196">
        <v>42415</v>
      </c>
      <c r="E2219" s="101" t="s">
        <v>28</v>
      </c>
      <c r="F2219" s="216" t="s">
        <v>50</v>
      </c>
      <c r="G2219" s="3" t="s">
        <v>56</v>
      </c>
      <c r="H2219" s="3" t="s">
        <v>56</v>
      </c>
      <c r="M2219" s="151" t="str">
        <f t="shared" si="106"/>
        <v/>
      </c>
      <c r="N2219" s="151" t="str">
        <f t="shared" si="107"/>
        <v>/</v>
      </c>
      <c r="Q2219" s="239" t="str">
        <f t="shared" ref="Q2219:Q2282" ca="1" si="108">IF(D2219=TODAY(),1,"")</f>
        <v/>
      </c>
    </row>
    <row r="2220" spans="3:17" ht="15.75" hidden="1" customHeight="1" outlineLevel="1" x14ac:dyDescent="0.25">
      <c r="C2220" s="208"/>
      <c r="D2220" s="196">
        <v>42423</v>
      </c>
      <c r="E2220" s="101" t="s">
        <v>10</v>
      </c>
      <c r="F2220" s="216" t="s">
        <v>50</v>
      </c>
      <c r="G2220" s="3" t="s">
        <v>56</v>
      </c>
      <c r="H2220" s="3" t="s">
        <v>56</v>
      </c>
      <c r="M2220" s="151" t="str">
        <f t="shared" si="106"/>
        <v/>
      </c>
      <c r="N2220" s="151" t="str">
        <f t="shared" si="107"/>
        <v>/</v>
      </c>
      <c r="Q2220" s="239" t="str">
        <f t="shared" ca="1" si="108"/>
        <v/>
      </c>
    </row>
    <row r="2221" spans="3:17" ht="15.75" hidden="1" customHeight="1" outlineLevel="1" x14ac:dyDescent="0.25">
      <c r="C2221" s="208"/>
      <c r="D2221" s="196">
        <v>42426</v>
      </c>
      <c r="E2221" s="101" t="s">
        <v>12</v>
      </c>
      <c r="F2221" s="216" t="s">
        <v>50</v>
      </c>
      <c r="G2221" s="3" t="s">
        <v>56</v>
      </c>
      <c r="H2221" s="3" t="s">
        <v>56</v>
      </c>
      <c r="M2221" s="151" t="str">
        <f t="shared" si="106"/>
        <v/>
      </c>
      <c r="N2221" s="151" t="str">
        <f t="shared" si="107"/>
        <v>/</v>
      </c>
      <c r="Q2221" s="239" t="str">
        <f t="shared" ca="1" si="108"/>
        <v/>
      </c>
    </row>
    <row r="2222" spans="3:17" ht="15.75" hidden="1" customHeight="1" outlineLevel="1" x14ac:dyDescent="0.25">
      <c r="C2222" s="208"/>
      <c r="D2222" s="196">
        <v>42428</v>
      </c>
      <c r="E2222" s="101" t="s">
        <v>5</v>
      </c>
      <c r="F2222" s="216" t="s">
        <v>50</v>
      </c>
      <c r="G2222" s="3" t="s">
        <v>56</v>
      </c>
      <c r="H2222" s="3" t="s">
        <v>56</v>
      </c>
      <c r="M2222" s="151" t="str">
        <f t="shared" si="106"/>
        <v/>
      </c>
      <c r="N2222" s="151" t="str">
        <f t="shared" si="107"/>
        <v>/</v>
      </c>
      <c r="Q2222" s="239" t="str">
        <f t="shared" ca="1" si="108"/>
        <v/>
      </c>
    </row>
    <row r="2223" spans="3:17" ht="15.75" hidden="1" customHeight="1" outlineLevel="1" x14ac:dyDescent="0.25">
      <c r="C2223" s="207"/>
      <c r="D2223" s="196">
        <v>42431</v>
      </c>
      <c r="E2223" s="101" t="s">
        <v>23</v>
      </c>
      <c r="F2223" s="216" t="s">
        <v>49</v>
      </c>
      <c r="G2223" s="3" t="s">
        <v>56</v>
      </c>
      <c r="H2223" s="3" t="s">
        <v>56</v>
      </c>
      <c r="M2223" s="151" t="str">
        <f t="shared" si="106"/>
        <v>/</v>
      </c>
      <c r="N2223" s="151" t="str">
        <f t="shared" si="107"/>
        <v/>
      </c>
      <c r="Q2223" s="239" t="str">
        <f t="shared" ca="1" si="108"/>
        <v/>
      </c>
    </row>
    <row r="2224" spans="3:17" ht="15.75" hidden="1" customHeight="1" outlineLevel="1" x14ac:dyDescent="0.25">
      <c r="C2224" s="207"/>
      <c r="D2224" s="196">
        <v>42433</v>
      </c>
      <c r="E2224" s="101" t="s">
        <v>45</v>
      </c>
      <c r="F2224" s="216" t="s">
        <v>49</v>
      </c>
      <c r="G2224" s="3" t="s">
        <v>56</v>
      </c>
      <c r="H2224" s="3" t="s">
        <v>56</v>
      </c>
      <c r="M2224" s="151" t="str">
        <f t="shared" si="106"/>
        <v>/</v>
      </c>
      <c r="N2224" s="151" t="str">
        <f t="shared" si="107"/>
        <v/>
      </c>
      <c r="Q2224" s="239" t="str">
        <f t="shared" ca="1" si="108"/>
        <v/>
      </c>
    </row>
    <row r="2225" spans="3:17" ht="15.75" hidden="1" customHeight="1" outlineLevel="1" x14ac:dyDescent="0.25">
      <c r="C2225" s="207"/>
      <c r="D2225" s="196">
        <v>42435</v>
      </c>
      <c r="E2225" s="101" t="s">
        <v>21</v>
      </c>
      <c r="F2225" s="216" t="s">
        <v>50</v>
      </c>
      <c r="G2225" s="3" t="s">
        <v>56</v>
      </c>
      <c r="H2225" s="3" t="s">
        <v>56</v>
      </c>
      <c r="M2225" s="151" t="str">
        <f t="shared" si="106"/>
        <v/>
      </c>
      <c r="N2225" s="151" t="str">
        <f t="shared" si="107"/>
        <v>/</v>
      </c>
      <c r="Q2225" s="239" t="str">
        <f t="shared" ca="1" si="108"/>
        <v/>
      </c>
    </row>
    <row r="2226" spans="3:17" ht="15.75" hidden="1" customHeight="1" outlineLevel="1" x14ac:dyDescent="0.25">
      <c r="C2226" s="207"/>
      <c r="D2226" s="196">
        <v>42436</v>
      </c>
      <c r="E2226" s="101" t="s">
        <v>23</v>
      </c>
      <c r="F2226" s="216" t="s">
        <v>50</v>
      </c>
      <c r="G2226" s="3" t="s">
        <v>56</v>
      </c>
      <c r="H2226" s="3" t="s">
        <v>56</v>
      </c>
      <c r="M2226" s="151" t="str">
        <f t="shared" si="106"/>
        <v/>
      </c>
      <c r="N2226" s="151" t="str">
        <f t="shared" si="107"/>
        <v>/</v>
      </c>
      <c r="Q2226" s="239" t="str">
        <f t="shared" ca="1" si="108"/>
        <v/>
      </c>
    </row>
    <row r="2227" spans="3:17" ht="15.75" hidden="1" customHeight="1" outlineLevel="1" x14ac:dyDescent="0.25">
      <c r="C2227" s="207"/>
      <c r="D2227" s="196">
        <v>42438</v>
      </c>
      <c r="E2227" s="101" t="s">
        <v>11</v>
      </c>
      <c r="F2227" s="216" t="s">
        <v>49</v>
      </c>
      <c r="G2227" s="3" t="s">
        <v>56</v>
      </c>
      <c r="H2227" s="3" t="s">
        <v>56</v>
      </c>
      <c r="M2227" s="151" t="str">
        <f t="shared" si="106"/>
        <v>/</v>
      </c>
      <c r="N2227" s="151" t="str">
        <f t="shared" si="107"/>
        <v/>
      </c>
      <c r="Q2227" s="239" t="str">
        <f t="shared" ca="1" si="108"/>
        <v/>
      </c>
    </row>
    <row r="2228" spans="3:17" ht="15.75" hidden="1" customHeight="1" outlineLevel="1" x14ac:dyDescent="0.25">
      <c r="C2228" s="207"/>
      <c r="D2228" s="196">
        <v>42440</v>
      </c>
      <c r="E2228" s="101" t="s">
        <v>13</v>
      </c>
      <c r="F2228" s="216" t="s">
        <v>49</v>
      </c>
      <c r="G2228" s="3" t="s">
        <v>56</v>
      </c>
      <c r="H2228" s="3" t="s">
        <v>56</v>
      </c>
      <c r="M2228" s="151" t="str">
        <f t="shared" si="106"/>
        <v>/</v>
      </c>
      <c r="N2228" s="151" t="str">
        <f t="shared" si="107"/>
        <v/>
      </c>
      <c r="Q2228" s="239" t="str">
        <f t="shared" ca="1" si="108"/>
        <v/>
      </c>
    </row>
    <row r="2229" spans="3:17" ht="15.75" hidden="1" customHeight="1" outlineLevel="1" x14ac:dyDescent="0.25">
      <c r="C2229" s="207"/>
      <c r="D2229" s="196">
        <v>42441</v>
      </c>
      <c r="E2229" s="101" t="s">
        <v>25</v>
      </c>
      <c r="F2229" s="216" t="s">
        <v>50</v>
      </c>
      <c r="G2229" s="3" t="s">
        <v>56</v>
      </c>
      <c r="H2229" s="3" t="s">
        <v>56</v>
      </c>
      <c r="M2229" s="151" t="str">
        <f t="shared" si="106"/>
        <v/>
      </c>
      <c r="N2229" s="151" t="str">
        <f t="shared" si="107"/>
        <v>/</v>
      </c>
      <c r="Q2229" s="239" t="str">
        <f t="shared" ca="1" si="108"/>
        <v/>
      </c>
    </row>
    <row r="2230" spans="3:17" ht="15.75" hidden="1" customHeight="1" outlineLevel="1" x14ac:dyDescent="0.25">
      <c r="C2230" s="207"/>
      <c r="D2230" s="196">
        <v>42443</v>
      </c>
      <c r="E2230" s="101" t="s">
        <v>22</v>
      </c>
      <c r="F2230" s="216" t="s">
        <v>50</v>
      </c>
      <c r="G2230" s="3" t="s">
        <v>56</v>
      </c>
      <c r="H2230" s="3" t="s">
        <v>56</v>
      </c>
      <c r="M2230" s="151" t="str">
        <f t="shared" si="106"/>
        <v/>
      </c>
      <c r="N2230" s="151" t="str">
        <f t="shared" si="107"/>
        <v>/</v>
      </c>
      <c r="Q2230" s="239" t="str">
        <f t="shared" ca="1" si="108"/>
        <v/>
      </c>
    </row>
    <row r="2231" spans="3:17" ht="15.75" hidden="1" customHeight="1" outlineLevel="1" x14ac:dyDescent="0.25">
      <c r="C2231" s="207"/>
      <c r="D2231" s="196">
        <v>42444</v>
      </c>
      <c r="E2231" s="101" t="s">
        <v>46</v>
      </c>
      <c r="F2231" s="216" t="s">
        <v>50</v>
      </c>
      <c r="G2231" s="3" t="s">
        <v>56</v>
      </c>
      <c r="H2231" s="3" t="s">
        <v>56</v>
      </c>
      <c r="M2231" s="151" t="str">
        <f t="shared" si="106"/>
        <v/>
      </c>
      <c r="N2231" s="151" t="str">
        <f t="shared" si="107"/>
        <v>/</v>
      </c>
      <c r="Q2231" s="239" t="str">
        <f t="shared" ca="1" si="108"/>
        <v/>
      </c>
    </row>
    <row r="2232" spans="3:17" ht="15.75" hidden="1" customHeight="1" outlineLevel="1" x14ac:dyDescent="0.25">
      <c r="C2232" s="207"/>
      <c r="D2232" s="196">
        <v>42447</v>
      </c>
      <c r="E2232" s="101" t="s">
        <v>0</v>
      </c>
      <c r="F2232" s="216" t="s">
        <v>50</v>
      </c>
      <c r="G2232" s="3" t="s">
        <v>56</v>
      </c>
      <c r="H2232" s="3" t="s">
        <v>56</v>
      </c>
      <c r="M2232" s="151" t="str">
        <f t="shared" si="106"/>
        <v/>
      </c>
      <c r="N2232" s="151" t="str">
        <f t="shared" si="107"/>
        <v>/</v>
      </c>
      <c r="Q2232" s="239" t="str">
        <f t="shared" ca="1" si="108"/>
        <v/>
      </c>
    </row>
    <row r="2233" spans="3:17" ht="15.75" hidden="1" customHeight="1" outlineLevel="1" x14ac:dyDescent="0.25">
      <c r="C2233" s="207"/>
      <c r="D2233" s="196">
        <v>42448</v>
      </c>
      <c r="E2233" s="101" t="s">
        <v>6</v>
      </c>
      <c r="F2233" s="216" t="s">
        <v>50</v>
      </c>
      <c r="G2233" s="3" t="s">
        <v>56</v>
      </c>
      <c r="H2233" s="3" t="s">
        <v>56</v>
      </c>
      <c r="M2233" s="151" t="str">
        <f t="shared" si="106"/>
        <v/>
      </c>
      <c r="N2233" s="151" t="str">
        <f t="shared" si="107"/>
        <v>/</v>
      </c>
      <c r="Q2233" s="239" t="str">
        <f t="shared" ca="1" si="108"/>
        <v/>
      </c>
    </row>
    <row r="2234" spans="3:17" ht="15.75" hidden="1" customHeight="1" outlineLevel="1" x14ac:dyDescent="0.25">
      <c r="C2234" s="207"/>
      <c r="D2234" s="196">
        <v>42450</v>
      </c>
      <c r="E2234" s="101" t="s">
        <v>8</v>
      </c>
      <c r="F2234" s="216" t="s">
        <v>49</v>
      </c>
      <c r="G2234" s="3" t="s">
        <v>56</v>
      </c>
      <c r="H2234" s="3" t="s">
        <v>56</v>
      </c>
      <c r="M2234" s="151" t="str">
        <f t="shared" si="106"/>
        <v>/</v>
      </c>
      <c r="N2234" s="151" t="str">
        <f t="shared" si="107"/>
        <v/>
      </c>
      <c r="Q2234" s="239" t="str">
        <f t="shared" ca="1" si="108"/>
        <v/>
      </c>
    </row>
    <row r="2235" spans="3:17" ht="15.75" hidden="1" customHeight="1" outlineLevel="1" x14ac:dyDescent="0.25">
      <c r="C2235" s="207"/>
      <c r="D2235" s="196">
        <v>42452</v>
      </c>
      <c r="E2235" s="101" t="s">
        <v>9</v>
      </c>
      <c r="F2235" s="216" t="s">
        <v>49</v>
      </c>
      <c r="G2235" s="3" t="s">
        <v>56</v>
      </c>
      <c r="H2235" s="3" t="s">
        <v>56</v>
      </c>
      <c r="M2235" s="151" t="str">
        <f t="shared" si="106"/>
        <v>/</v>
      </c>
      <c r="N2235" s="151" t="str">
        <f t="shared" si="107"/>
        <v/>
      </c>
      <c r="Q2235" s="239" t="str">
        <f t="shared" ca="1" si="108"/>
        <v/>
      </c>
    </row>
    <row r="2236" spans="3:17" ht="15.75" hidden="1" customHeight="1" outlineLevel="1" x14ac:dyDescent="0.25">
      <c r="C2236" s="207"/>
      <c r="D2236" s="196">
        <v>42454</v>
      </c>
      <c r="E2236" s="101" t="s">
        <v>21</v>
      </c>
      <c r="F2236" s="216" t="s">
        <v>49</v>
      </c>
      <c r="G2236" s="3" t="s">
        <v>56</v>
      </c>
      <c r="H2236" s="3" t="s">
        <v>56</v>
      </c>
      <c r="M2236" s="151" t="str">
        <f t="shared" si="106"/>
        <v>/</v>
      </c>
      <c r="N2236" s="151" t="str">
        <f t="shared" si="107"/>
        <v/>
      </c>
      <c r="Q2236" s="239" t="str">
        <f t="shared" ca="1" si="108"/>
        <v/>
      </c>
    </row>
    <row r="2237" spans="3:17" ht="15.75" hidden="1" customHeight="1" outlineLevel="1" x14ac:dyDescent="0.25">
      <c r="C2237" s="207"/>
      <c r="D2237" s="196">
        <v>42455</v>
      </c>
      <c r="E2237" s="101" t="s">
        <v>644</v>
      </c>
      <c r="F2237" s="216" t="s">
        <v>50</v>
      </c>
      <c r="G2237" s="3" t="s">
        <v>56</v>
      </c>
      <c r="H2237" s="3" t="s">
        <v>56</v>
      </c>
      <c r="M2237" s="151" t="str">
        <f t="shared" si="106"/>
        <v/>
      </c>
      <c r="N2237" s="151" t="str">
        <f t="shared" si="107"/>
        <v>/</v>
      </c>
      <c r="Q2237" s="239" t="str">
        <f t="shared" ca="1" si="108"/>
        <v/>
      </c>
    </row>
    <row r="2238" spans="3:17" ht="15.75" hidden="1" customHeight="1" outlineLevel="1" x14ac:dyDescent="0.25">
      <c r="C2238" s="207"/>
      <c r="D2238" s="196">
        <v>42457</v>
      </c>
      <c r="E2238" s="101" t="s">
        <v>15</v>
      </c>
      <c r="F2238" s="216" t="s">
        <v>49</v>
      </c>
      <c r="G2238" s="3" t="s">
        <v>56</v>
      </c>
      <c r="H2238" s="3" t="s">
        <v>56</v>
      </c>
      <c r="M2238" s="151" t="str">
        <f t="shared" si="106"/>
        <v>/</v>
      </c>
      <c r="N2238" s="151" t="str">
        <f t="shared" si="107"/>
        <v/>
      </c>
      <c r="Q2238" s="239" t="str">
        <f t="shared" ca="1" si="108"/>
        <v/>
      </c>
    </row>
    <row r="2239" spans="3:17" ht="15.75" hidden="1" customHeight="1" outlineLevel="1" x14ac:dyDescent="0.25">
      <c r="C2239" s="207"/>
      <c r="D2239" s="196">
        <v>42459</v>
      </c>
      <c r="E2239" s="101" t="s">
        <v>17</v>
      </c>
      <c r="F2239" s="216" t="s">
        <v>49</v>
      </c>
      <c r="G2239" s="3" t="s">
        <v>56</v>
      </c>
      <c r="H2239" s="3" t="s">
        <v>56</v>
      </c>
      <c r="M2239" s="151" t="str">
        <f t="shared" si="106"/>
        <v>/</v>
      </c>
      <c r="N2239" s="151" t="str">
        <f t="shared" si="107"/>
        <v/>
      </c>
      <c r="Q2239" s="239" t="str">
        <f t="shared" ca="1" si="108"/>
        <v/>
      </c>
    </row>
    <row r="2240" spans="3:17" ht="15.75" hidden="1" customHeight="1" outlineLevel="1" x14ac:dyDescent="0.25">
      <c r="C2240" s="208"/>
      <c r="D2240" s="196">
        <v>42461</v>
      </c>
      <c r="E2240" s="101" t="s">
        <v>25</v>
      </c>
      <c r="F2240" s="216" t="s">
        <v>49</v>
      </c>
      <c r="G2240" s="3" t="s">
        <v>56</v>
      </c>
      <c r="H2240" s="3" t="s">
        <v>56</v>
      </c>
      <c r="M2240" s="151" t="str">
        <f t="shared" si="106"/>
        <v>/</v>
      </c>
      <c r="N2240" s="151" t="str">
        <f t="shared" si="107"/>
        <v/>
      </c>
      <c r="Q2240" s="239" t="str">
        <f t="shared" ca="1" si="108"/>
        <v/>
      </c>
    </row>
    <row r="2241" spans="2:17" ht="15.75" hidden="1" customHeight="1" outlineLevel="1" x14ac:dyDescent="0.25">
      <c r="C2241" s="208"/>
      <c r="D2241" s="196">
        <v>42464</v>
      </c>
      <c r="E2241" s="101" t="s">
        <v>28</v>
      </c>
      <c r="F2241" s="216" t="s">
        <v>50</v>
      </c>
      <c r="G2241" s="3" t="s">
        <v>56</v>
      </c>
      <c r="H2241" s="3" t="s">
        <v>56</v>
      </c>
      <c r="M2241" s="151" t="str">
        <f t="shared" si="106"/>
        <v/>
      </c>
      <c r="N2241" s="151" t="str">
        <f t="shared" si="107"/>
        <v>/</v>
      </c>
      <c r="Q2241" s="239" t="str">
        <f t="shared" ca="1" si="108"/>
        <v/>
      </c>
    </row>
    <row r="2242" spans="2:17" ht="15.75" hidden="1" customHeight="1" outlineLevel="1" x14ac:dyDescent="0.25">
      <c r="C2242" s="208"/>
      <c r="D2242" s="196">
        <v>42466</v>
      </c>
      <c r="E2242" s="101" t="s">
        <v>21</v>
      </c>
      <c r="F2242" s="216" t="s">
        <v>49</v>
      </c>
      <c r="G2242" s="3" t="s">
        <v>56</v>
      </c>
      <c r="H2242" s="3" t="s">
        <v>56</v>
      </c>
      <c r="M2242" s="151" t="str">
        <f t="shared" si="106"/>
        <v>/</v>
      </c>
      <c r="N2242" s="151" t="str">
        <f t="shared" si="107"/>
        <v/>
      </c>
      <c r="Q2242" s="239" t="str">
        <f t="shared" ca="1" si="108"/>
        <v/>
      </c>
    </row>
    <row r="2243" spans="2:17" ht="15.75" hidden="1" customHeight="1" outlineLevel="1" x14ac:dyDescent="0.25">
      <c r="C2243" s="208"/>
      <c r="D2243" s="196">
        <v>42468</v>
      </c>
      <c r="E2243" s="101" t="s">
        <v>28</v>
      </c>
      <c r="F2243" s="216" t="s">
        <v>49</v>
      </c>
      <c r="G2243" s="3" t="s">
        <v>56</v>
      </c>
      <c r="H2243" s="3" t="s">
        <v>56</v>
      </c>
      <c r="M2243" s="151" t="str">
        <f t="shared" si="106"/>
        <v>/</v>
      </c>
      <c r="N2243" s="151" t="str">
        <f t="shared" si="107"/>
        <v/>
      </c>
      <c r="Q2243" s="239" t="str">
        <f t="shared" ca="1" si="108"/>
        <v/>
      </c>
    </row>
    <row r="2244" spans="2:17" ht="15.75" hidden="1" customHeight="1" outlineLevel="1" x14ac:dyDescent="0.25">
      <c r="C2244" s="208"/>
      <c r="D2244" s="196">
        <v>42470</v>
      </c>
      <c r="E2244" s="101" t="s">
        <v>46</v>
      </c>
      <c r="F2244" s="216" t="s">
        <v>49</v>
      </c>
      <c r="G2244" s="3" t="s">
        <v>56</v>
      </c>
      <c r="H2244" s="3" t="s">
        <v>56</v>
      </c>
      <c r="M2244" s="151" t="str">
        <f t="shared" si="106"/>
        <v>/</v>
      </c>
      <c r="N2244" s="151" t="str">
        <f t="shared" si="107"/>
        <v/>
      </c>
      <c r="Q2244" s="239" t="str">
        <f t="shared" ca="1" si="108"/>
        <v/>
      </c>
    </row>
    <row r="2245" spans="2:17" ht="15.75" hidden="1" customHeight="1" outlineLevel="1" x14ac:dyDescent="0.25">
      <c r="C2245" s="208"/>
      <c r="D2245" s="196">
        <v>42472</v>
      </c>
      <c r="E2245" s="102" t="s">
        <v>22</v>
      </c>
      <c r="F2245" s="217" t="s">
        <v>49</v>
      </c>
      <c r="G2245" s="3" t="s">
        <v>56</v>
      </c>
      <c r="H2245" s="3" t="s">
        <v>56</v>
      </c>
      <c r="M2245" s="151" t="str">
        <f t="shared" si="106"/>
        <v>/</v>
      </c>
      <c r="N2245" s="151" t="str">
        <f t="shared" si="107"/>
        <v/>
      </c>
      <c r="Q2245" s="239" t="str">
        <f t="shared" ca="1" si="108"/>
        <v/>
      </c>
    </row>
    <row r="2246" spans="2:17" collapsed="1" x14ac:dyDescent="0.25">
      <c r="B2246" s="404" t="e">
        <f ca="1">"- "&amp;INDEX(E2247:E2328,MATCH(TODAY(),D2247:D2328,0))</f>
        <v>#N/A</v>
      </c>
      <c r="C2246" s="404"/>
      <c r="D2246" s="406" t="s">
        <v>26</v>
      </c>
      <c r="E2246" s="407"/>
      <c r="F2246" s="408"/>
      <c r="H2246" s="3"/>
      <c r="Q2246" s="239" t="str">
        <f t="shared" ca="1" si="108"/>
        <v/>
      </c>
    </row>
    <row r="2247" spans="2:17" ht="16.5" hidden="1" customHeight="1" outlineLevel="1" x14ac:dyDescent="0.25">
      <c r="C2247" s="207"/>
      <c r="D2247" s="196">
        <v>42669</v>
      </c>
      <c r="E2247" s="103" t="s">
        <v>25</v>
      </c>
      <c r="F2247" s="215" t="s">
        <v>50</v>
      </c>
      <c r="G2247" s="3">
        <v>1</v>
      </c>
      <c r="H2247" s="3">
        <v>113</v>
      </c>
      <c r="I2247" s="151">
        <v>29</v>
      </c>
      <c r="J2247" s="151">
        <v>58</v>
      </c>
      <c r="K2247" s="151">
        <v>73</v>
      </c>
      <c r="L2247" s="151">
        <v>51</v>
      </c>
      <c r="M2247" s="151" t="str">
        <f t="shared" ref="M2247:M2310" si="109">IF(F2247="D",H2247,"")</f>
        <v/>
      </c>
      <c r="N2247" s="151">
        <f t="shared" ref="N2247:N2310" si="110">IF(F2247="E",H2247,"")</f>
        <v>113</v>
      </c>
      <c r="P2247" s="151">
        <v>94</v>
      </c>
      <c r="Q2247" s="239" t="str">
        <f t="shared" ca="1" si="108"/>
        <v/>
      </c>
    </row>
    <row r="2248" spans="2:17" ht="15.75" hidden="1" customHeight="1" outlineLevel="1" x14ac:dyDescent="0.25">
      <c r="C2248" s="207"/>
      <c r="D2248" s="196">
        <v>42670</v>
      </c>
      <c r="E2248" s="101" t="s">
        <v>46</v>
      </c>
      <c r="F2248" s="216" t="s">
        <v>49</v>
      </c>
      <c r="G2248" s="3">
        <v>0</v>
      </c>
      <c r="H2248" s="3">
        <v>94</v>
      </c>
      <c r="I2248" s="151">
        <v>30</v>
      </c>
      <c r="J2248" s="151">
        <v>44</v>
      </c>
      <c r="K2248" s="151">
        <v>84</v>
      </c>
      <c r="L2248" s="151">
        <v>40</v>
      </c>
      <c r="M2248" s="151">
        <f t="shared" si="109"/>
        <v>94</v>
      </c>
      <c r="N2248" s="151" t="str">
        <f t="shared" si="110"/>
        <v/>
      </c>
      <c r="O2248" s="151">
        <v>102</v>
      </c>
      <c r="Q2248" s="239" t="str">
        <f t="shared" ca="1" si="108"/>
        <v/>
      </c>
    </row>
    <row r="2249" spans="2:17" ht="15.75" hidden="1" customHeight="1" outlineLevel="1" x14ac:dyDescent="0.25">
      <c r="C2249" s="207"/>
      <c r="D2249" s="196">
        <v>42672</v>
      </c>
      <c r="E2249" s="101" t="s">
        <v>21</v>
      </c>
      <c r="F2249" s="216" t="s">
        <v>49</v>
      </c>
      <c r="G2249" s="3" t="s">
        <v>56</v>
      </c>
      <c r="H2249" s="3" t="s">
        <v>56</v>
      </c>
      <c r="M2249" s="151" t="str">
        <f t="shared" si="109"/>
        <v>/</v>
      </c>
      <c r="N2249" s="151" t="str">
        <f t="shared" si="110"/>
        <v/>
      </c>
      <c r="Q2249" s="239" t="str">
        <f t="shared" ca="1" si="108"/>
        <v/>
      </c>
    </row>
    <row r="2250" spans="2:17" ht="15.75" hidden="1" customHeight="1" outlineLevel="1" x14ac:dyDescent="0.25">
      <c r="C2250" s="207"/>
      <c r="D2250" s="196">
        <v>42674</v>
      </c>
      <c r="E2250" s="101" t="s">
        <v>0</v>
      </c>
      <c r="F2250" s="216" t="s">
        <v>50</v>
      </c>
      <c r="G2250" s="3" t="s">
        <v>56</v>
      </c>
      <c r="H2250" s="3" t="s">
        <v>56</v>
      </c>
      <c r="M2250" s="151" t="str">
        <f t="shared" si="109"/>
        <v/>
      </c>
      <c r="N2250" s="151" t="str">
        <f t="shared" si="110"/>
        <v>/</v>
      </c>
      <c r="Q2250" s="239" t="str">
        <f t="shared" ca="1" si="108"/>
        <v/>
      </c>
    </row>
    <row r="2251" spans="2:17" ht="15.75" hidden="1" customHeight="1" outlineLevel="1" x14ac:dyDescent="0.25">
      <c r="C2251" s="207"/>
      <c r="D2251" s="196">
        <v>42675</v>
      </c>
      <c r="E2251" s="101" t="s">
        <v>6</v>
      </c>
      <c r="F2251" s="216" t="s">
        <v>50</v>
      </c>
      <c r="G2251" s="3" t="s">
        <v>56</v>
      </c>
      <c r="H2251" s="3" t="s">
        <v>56</v>
      </c>
      <c r="M2251" s="151" t="str">
        <f t="shared" si="109"/>
        <v/>
      </c>
      <c r="N2251" s="151" t="str">
        <f t="shared" si="110"/>
        <v>/</v>
      </c>
      <c r="Q2251" s="239" t="str">
        <f t="shared" ca="1" si="108"/>
        <v/>
      </c>
    </row>
    <row r="2252" spans="2:17" ht="15.75" hidden="1" customHeight="1" outlineLevel="1" x14ac:dyDescent="0.25">
      <c r="C2252" s="207"/>
      <c r="D2252" s="196">
        <v>42677</v>
      </c>
      <c r="E2252" s="101" t="s">
        <v>10</v>
      </c>
      <c r="F2252" s="216" t="s">
        <v>50</v>
      </c>
      <c r="G2252" s="3" t="s">
        <v>56</v>
      </c>
      <c r="H2252" s="3" t="s">
        <v>56</v>
      </c>
      <c r="M2252" s="151" t="str">
        <f t="shared" si="109"/>
        <v/>
      </c>
      <c r="N2252" s="151" t="str">
        <f t="shared" si="110"/>
        <v>/</v>
      </c>
      <c r="Q2252" s="239" t="str">
        <f t="shared" ca="1" si="108"/>
        <v/>
      </c>
    </row>
    <row r="2253" spans="2:17" ht="15.75" hidden="1" customHeight="1" outlineLevel="1" x14ac:dyDescent="0.25">
      <c r="C2253" s="207"/>
      <c r="D2253" s="196">
        <v>42679</v>
      </c>
      <c r="E2253" s="101" t="s">
        <v>8</v>
      </c>
      <c r="F2253" s="216" t="s">
        <v>50</v>
      </c>
      <c r="G2253" s="3" t="s">
        <v>56</v>
      </c>
      <c r="H2253" s="3" t="s">
        <v>56</v>
      </c>
      <c r="M2253" s="151" t="str">
        <f t="shared" si="109"/>
        <v/>
      </c>
      <c r="N2253" s="151" t="str">
        <f t="shared" si="110"/>
        <v>/</v>
      </c>
      <c r="Q2253" s="239" t="str">
        <f t="shared" ca="1" si="108"/>
        <v/>
      </c>
    </row>
    <row r="2254" spans="2:17" ht="15.75" hidden="1" customHeight="1" outlineLevel="1" x14ac:dyDescent="0.25">
      <c r="C2254" s="207"/>
      <c r="D2254" s="196">
        <v>42680</v>
      </c>
      <c r="E2254" s="101" t="s">
        <v>12</v>
      </c>
      <c r="F2254" s="216" t="s">
        <v>50</v>
      </c>
      <c r="G2254" s="3" t="s">
        <v>56</v>
      </c>
      <c r="H2254" s="3" t="s">
        <v>56</v>
      </c>
      <c r="M2254" s="151" t="str">
        <f t="shared" si="109"/>
        <v/>
      </c>
      <c r="N2254" s="151" t="str">
        <f t="shared" si="110"/>
        <v>/</v>
      </c>
      <c r="Q2254" s="239" t="str">
        <f t="shared" ca="1" si="108"/>
        <v/>
      </c>
    </row>
    <row r="2255" spans="2:17" ht="15.75" hidden="1" customHeight="1" outlineLevel="1" x14ac:dyDescent="0.25">
      <c r="C2255" s="207"/>
      <c r="D2255" s="196">
        <v>42682</v>
      </c>
      <c r="E2255" s="101" t="s">
        <v>22</v>
      </c>
      <c r="F2255" s="216" t="s">
        <v>49</v>
      </c>
      <c r="G2255" s="3" t="s">
        <v>56</v>
      </c>
      <c r="H2255" s="3" t="s">
        <v>56</v>
      </c>
      <c r="M2255" s="151" t="str">
        <f t="shared" si="109"/>
        <v>/</v>
      </c>
      <c r="N2255" s="151" t="str">
        <f t="shared" si="110"/>
        <v/>
      </c>
      <c r="Q2255" s="239" t="str">
        <f t="shared" ca="1" si="108"/>
        <v/>
      </c>
    </row>
    <row r="2256" spans="2:17" ht="15.75" hidden="1" customHeight="1" outlineLevel="1" x14ac:dyDescent="0.25">
      <c r="C2256" s="207"/>
      <c r="D2256" s="196">
        <v>42684</v>
      </c>
      <c r="E2256" s="101" t="s">
        <v>644</v>
      </c>
      <c r="F2256" s="216" t="s">
        <v>49</v>
      </c>
      <c r="G2256" s="3" t="s">
        <v>56</v>
      </c>
      <c r="H2256" s="3" t="s">
        <v>56</v>
      </c>
      <c r="M2256" s="151" t="str">
        <f t="shared" si="109"/>
        <v>/</v>
      </c>
      <c r="N2256" s="151" t="str">
        <f t="shared" si="110"/>
        <v/>
      </c>
      <c r="Q2256" s="239" t="str">
        <f t="shared" ca="1" si="108"/>
        <v/>
      </c>
    </row>
    <row r="2257" spans="3:17" ht="15.75" hidden="1" customHeight="1" outlineLevel="1" x14ac:dyDescent="0.25">
      <c r="C2257" s="207"/>
      <c r="D2257" s="196">
        <v>42685</v>
      </c>
      <c r="E2257" s="101" t="s">
        <v>24</v>
      </c>
      <c r="F2257" s="216" t="s">
        <v>50</v>
      </c>
      <c r="G2257" s="3" t="s">
        <v>56</v>
      </c>
      <c r="H2257" s="3" t="s">
        <v>56</v>
      </c>
      <c r="M2257" s="151" t="str">
        <f t="shared" si="109"/>
        <v/>
      </c>
      <c r="N2257" s="151" t="str">
        <f t="shared" si="110"/>
        <v>/</v>
      </c>
      <c r="Q2257" s="239" t="str">
        <f t="shared" ca="1" si="108"/>
        <v/>
      </c>
    </row>
    <row r="2258" spans="3:17" ht="15.75" hidden="1" customHeight="1" outlineLevel="1" x14ac:dyDescent="0.25">
      <c r="C2258" s="207"/>
      <c r="D2258" s="196">
        <v>42690</v>
      </c>
      <c r="E2258" s="101" t="s">
        <v>46</v>
      </c>
      <c r="F2258" s="216" t="s">
        <v>49</v>
      </c>
      <c r="G2258" s="3" t="s">
        <v>56</v>
      </c>
      <c r="H2258" s="3" t="s">
        <v>56</v>
      </c>
      <c r="M2258" s="151" t="str">
        <f t="shared" si="109"/>
        <v>/</v>
      </c>
      <c r="N2258" s="151" t="str">
        <f t="shared" si="110"/>
        <v/>
      </c>
      <c r="Q2258" s="239" t="str">
        <f t="shared" ca="1" si="108"/>
        <v/>
      </c>
    </row>
    <row r="2259" spans="3:17" ht="15.75" hidden="1" customHeight="1" outlineLevel="1" x14ac:dyDescent="0.25">
      <c r="C2259" s="207"/>
      <c r="D2259" s="196">
        <v>42692</v>
      </c>
      <c r="E2259" s="101" t="s">
        <v>18</v>
      </c>
      <c r="F2259" s="216" t="s">
        <v>49</v>
      </c>
      <c r="G2259" s="3" t="s">
        <v>56</v>
      </c>
      <c r="H2259" s="3" t="s">
        <v>56</v>
      </c>
      <c r="M2259" s="151" t="str">
        <f t="shared" si="109"/>
        <v>/</v>
      </c>
      <c r="N2259" s="151" t="str">
        <f t="shared" si="110"/>
        <v/>
      </c>
      <c r="Q2259" s="239" t="str">
        <f t="shared" ca="1" si="108"/>
        <v/>
      </c>
    </row>
    <row r="2260" spans="3:17" ht="15.75" hidden="1" customHeight="1" outlineLevel="1" x14ac:dyDescent="0.25">
      <c r="C2260" s="207"/>
      <c r="D2260" s="196">
        <v>42694</v>
      </c>
      <c r="E2260" s="101" t="s">
        <v>12</v>
      </c>
      <c r="F2260" s="216" t="s">
        <v>49</v>
      </c>
      <c r="G2260" s="3" t="s">
        <v>56</v>
      </c>
      <c r="H2260" s="3" t="s">
        <v>56</v>
      </c>
      <c r="M2260" s="151" t="str">
        <f t="shared" si="109"/>
        <v>/</v>
      </c>
      <c r="N2260" s="151" t="str">
        <f t="shared" si="110"/>
        <v/>
      </c>
      <c r="Q2260" s="239" t="str">
        <f t="shared" ca="1" si="108"/>
        <v/>
      </c>
    </row>
    <row r="2261" spans="3:17" ht="15.75" hidden="1" customHeight="1" outlineLevel="1" x14ac:dyDescent="0.25">
      <c r="C2261" s="207"/>
      <c r="D2261" s="196">
        <v>42697</v>
      </c>
      <c r="E2261" s="101" t="s">
        <v>23</v>
      </c>
      <c r="F2261" s="216" t="s">
        <v>49</v>
      </c>
      <c r="G2261" s="3" t="s">
        <v>56</v>
      </c>
      <c r="H2261" s="3" t="s">
        <v>56</v>
      </c>
      <c r="M2261" s="151" t="str">
        <f t="shared" si="109"/>
        <v>/</v>
      </c>
      <c r="N2261" s="151" t="str">
        <f t="shared" si="110"/>
        <v/>
      </c>
      <c r="Q2261" s="239" t="str">
        <f t="shared" ca="1" si="108"/>
        <v/>
      </c>
    </row>
    <row r="2262" spans="3:17" ht="15.75" hidden="1" customHeight="1" outlineLevel="1" x14ac:dyDescent="0.25">
      <c r="C2262" s="207"/>
      <c r="D2262" s="196">
        <v>42699</v>
      </c>
      <c r="E2262" s="101" t="s">
        <v>17</v>
      </c>
      <c r="F2262" s="216" t="s">
        <v>49</v>
      </c>
      <c r="G2262" s="3" t="s">
        <v>56</v>
      </c>
      <c r="H2262" s="3" t="s">
        <v>56</v>
      </c>
      <c r="M2262" s="151" t="str">
        <f t="shared" si="109"/>
        <v>/</v>
      </c>
      <c r="N2262" s="151" t="str">
        <f t="shared" si="110"/>
        <v/>
      </c>
      <c r="Q2262" s="239" t="str">
        <f t="shared" ca="1" si="108"/>
        <v/>
      </c>
    </row>
    <row r="2263" spans="3:17" ht="15.75" hidden="1" customHeight="1" outlineLevel="1" x14ac:dyDescent="0.25">
      <c r="C2263" s="207"/>
      <c r="D2263" s="196">
        <v>42701</v>
      </c>
      <c r="E2263" s="101" t="s">
        <v>45</v>
      </c>
      <c r="F2263" s="216" t="s">
        <v>50</v>
      </c>
      <c r="G2263" s="3" t="s">
        <v>56</v>
      </c>
      <c r="H2263" s="3" t="s">
        <v>56</v>
      </c>
      <c r="M2263" s="151" t="str">
        <f t="shared" si="109"/>
        <v/>
      </c>
      <c r="N2263" s="151" t="str">
        <f t="shared" si="110"/>
        <v>/</v>
      </c>
      <c r="Q2263" s="239" t="str">
        <f t="shared" ca="1" si="108"/>
        <v/>
      </c>
    </row>
    <row r="2264" spans="3:17" ht="15.75" hidden="1" customHeight="1" outlineLevel="1" x14ac:dyDescent="0.25">
      <c r="C2264" s="207"/>
      <c r="D2264" s="196">
        <v>42702</v>
      </c>
      <c r="E2264" s="101" t="s">
        <v>13</v>
      </c>
      <c r="F2264" s="216" t="s">
        <v>50</v>
      </c>
      <c r="G2264" s="3" t="s">
        <v>56</v>
      </c>
      <c r="H2264" s="3" t="s">
        <v>56</v>
      </c>
      <c r="M2264" s="151" t="str">
        <f t="shared" si="109"/>
        <v/>
      </c>
      <c r="N2264" s="151" t="str">
        <f t="shared" si="110"/>
        <v>/</v>
      </c>
      <c r="Q2264" s="239" t="str">
        <f t="shared" ca="1" si="108"/>
        <v/>
      </c>
    </row>
    <row r="2265" spans="3:17" ht="15.75" hidden="1" customHeight="1" outlineLevel="1" x14ac:dyDescent="0.25">
      <c r="C2265" s="207"/>
      <c r="D2265" s="196">
        <v>42704</v>
      </c>
      <c r="E2265" s="101" t="s">
        <v>11</v>
      </c>
      <c r="F2265" s="216" t="s">
        <v>50</v>
      </c>
      <c r="G2265" s="3" t="s">
        <v>56</v>
      </c>
      <c r="H2265" s="3" t="s">
        <v>56</v>
      </c>
      <c r="M2265" s="151" t="str">
        <f t="shared" si="109"/>
        <v/>
      </c>
      <c r="N2265" s="151" t="str">
        <f t="shared" si="110"/>
        <v>/</v>
      </c>
      <c r="Q2265" s="239" t="str">
        <f t="shared" ca="1" si="108"/>
        <v/>
      </c>
    </row>
    <row r="2266" spans="3:17" ht="15.75" hidden="1" customHeight="1" outlineLevel="1" x14ac:dyDescent="0.25">
      <c r="C2266" s="208"/>
      <c r="D2266" s="196">
        <v>42706</v>
      </c>
      <c r="E2266" s="101" t="s">
        <v>1</v>
      </c>
      <c r="F2266" s="216" t="s">
        <v>50</v>
      </c>
      <c r="G2266" s="3" t="s">
        <v>56</v>
      </c>
      <c r="H2266" s="3" t="s">
        <v>56</v>
      </c>
      <c r="M2266" s="151" t="str">
        <f t="shared" si="109"/>
        <v/>
      </c>
      <c r="N2266" s="151" t="str">
        <f t="shared" si="110"/>
        <v>/</v>
      </c>
      <c r="Q2266" s="239" t="str">
        <f t="shared" ca="1" si="108"/>
        <v/>
      </c>
    </row>
    <row r="2267" spans="3:17" ht="15.75" hidden="1" customHeight="1" outlineLevel="1" x14ac:dyDescent="0.25">
      <c r="C2267" s="208"/>
      <c r="D2267" s="196">
        <v>42708</v>
      </c>
      <c r="E2267" s="101" t="s">
        <v>9</v>
      </c>
      <c r="F2267" s="216" t="s">
        <v>50</v>
      </c>
      <c r="G2267" s="3" t="s">
        <v>56</v>
      </c>
      <c r="H2267" s="3" t="s">
        <v>56</v>
      </c>
      <c r="M2267" s="151" t="str">
        <f t="shared" si="109"/>
        <v/>
      </c>
      <c r="N2267" s="151" t="str">
        <f t="shared" si="110"/>
        <v>/</v>
      </c>
      <c r="Q2267" s="239" t="str">
        <f t="shared" ca="1" si="108"/>
        <v/>
      </c>
    </row>
    <row r="2268" spans="3:17" ht="15.75" hidden="1" customHeight="1" outlineLevel="1" x14ac:dyDescent="0.25">
      <c r="C2268" s="208"/>
      <c r="D2268" s="196">
        <v>42711</v>
      </c>
      <c r="E2268" s="101" t="s">
        <v>645</v>
      </c>
      <c r="F2268" s="216" t="s">
        <v>50</v>
      </c>
      <c r="G2268" s="3" t="s">
        <v>56</v>
      </c>
      <c r="H2268" s="3" t="s">
        <v>56</v>
      </c>
      <c r="M2268" s="151" t="str">
        <f t="shared" si="109"/>
        <v/>
      </c>
      <c r="N2268" s="151" t="str">
        <f t="shared" si="110"/>
        <v>/</v>
      </c>
      <c r="Q2268" s="239" t="str">
        <f t="shared" ca="1" si="108"/>
        <v/>
      </c>
    </row>
    <row r="2269" spans="3:17" ht="15.75" hidden="1" customHeight="1" outlineLevel="1" x14ac:dyDescent="0.25">
      <c r="C2269" s="208"/>
      <c r="D2269" s="196">
        <v>42713</v>
      </c>
      <c r="E2269" s="101" t="s">
        <v>9</v>
      </c>
      <c r="F2269" s="216" t="s">
        <v>49</v>
      </c>
      <c r="G2269" s="3" t="s">
        <v>56</v>
      </c>
      <c r="H2269" s="3" t="s">
        <v>56</v>
      </c>
      <c r="M2269" s="151" t="str">
        <f t="shared" si="109"/>
        <v>/</v>
      </c>
      <c r="N2269" s="151" t="str">
        <f t="shared" si="110"/>
        <v/>
      </c>
      <c r="Q2269" s="239" t="str">
        <f t="shared" ca="1" si="108"/>
        <v/>
      </c>
    </row>
    <row r="2270" spans="3:17" ht="15.75" hidden="1" customHeight="1" outlineLevel="1" x14ac:dyDescent="0.25">
      <c r="C2270" s="208"/>
      <c r="D2270" s="196">
        <v>42714</v>
      </c>
      <c r="E2270" s="101" t="s">
        <v>28</v>
      </c>
      <c r="F2270" s="216" t="s">
        <v>50</v>
      </c>
      <c r="G2270" s="3" t="s">
        <v>56</v>
      </c>
      <c r="H2270" s="3" t="s">
        <v>56</v>
      </c>
      <c r="M2270" s="151" t="str">
        <f t="shared" si="109"/>
        <v/>
      </c>
      <c r="N2270" s="151" t="str">
        <f t="shared" si="110"/>
        <v>/</v>
      </c>
      <c r="Q2270" s="239" t="str">
        <f t="shared" ca="1" si="108"/>
        <v/>
      </c>
    </row>
    <row r="2271" spans="3:17" ht="15.75" hidden="1" customHeight="1" outlineLevel="1" x14ac:dyDescent="0.25">
      <c r="C2271" s="208"/>
      <c r="D2271" s="196">
        <v>42716</v>
      </c>
      <c r="E2271" s="101" t="s">
        <v>644</v>
      </c>
      <c r="F2271" s="216" t="s">
        <v>49</v>
      </c>
      <c r="G2271" s="3" t="s">
        <v>56</v>
      </c>
      <c r="H2271" s="3" t="s">
        <v>56</v>
      </c>
      <c r="M2271" s="151" t="str">
        <f t="shared" si="109"/>
        <v>/</v>
      </c>
      <c r="N2271" s="151" t="str">
        <f t="shared" si="110"/>
        <v/>
      </c>
      <c r="Q2271" s="239" t="str">
        <f t="shared" ca="1" si="108"/>
        <v/>
      </c>
    </row>
    <row r="2272" spans="3:17" ht="15.75" hidden="1" customHeight="1" outlineLevel="1" x14ac:dyDescent="0.25">
      <c r="C2272" s="208"/>
      <c r="D2272" s="196">
        <v>42718</v>
      </c>
      <c r="E2272" s="101" t="s">
        <v>17</v>
      </c>
      <c r="F2272" s="216" t="s">
        <v>50</v>
      </c>
      <c r="G2272" s="3" t="s">
        <v>56</v>
      </c>
      <c r="H2272" s="3" t="s">
        <v>56</v>
      </c>
      <c r="M2272" s="151" t="str">
        <f t="shared" si="109"/>
        <v/>
      </c>
      <c r="N2272" s="151" t="str">
        <f t="shared" si="110"/>
        <v>/</v>
      </c>
      <c r="Q2272" s="239" t="str">
        <f t="shared" ca="1" si="108"/>
        <v/>
      </c>
    </row>
    <row r="2273" spans="3:17" ht="15.75" hidden="1" customHeight="1" outlineLevel="1" x14ac:dyDescent="0.25">
      <c r="C2273" s="208"/>
      <c r="D2273" s="196">
        <v>42720</v>
      </c>
      <c r="E2273" s="101" t="s">
        <v>20</v>
      </c>
      <c r="F2273" s="216" t="s">
        <v>50</v>
      </c>
      <c r="G2273" s="3" t="s">
        <v>56</v>
      </c>
      <c r="H2273" s="3" t="s">
        <v>56</v>
      </c>
      <c r="M2273" s="151" t="str">
        <f t="shared" si="109"/>
        <v/>
      </c>
      <c r="N2273" s="151" t="str">
        <f t="shared" si="110"/>
        <v>/</v>
      </c>
      <c r="Q2273" s="239" t="str">
        <f t="shared" ca="1" si="108"/>
        <v/>
      </c>
    </row>
    <row r="2274" spans="3:17" ht="15.75" hidden="1" customHeight="1" outlineLevel="1" x14ac:dyDescent="0.25">
      <c r="C2274" s="208"/>
      <c r="D2274" s="196">
        <v>42722</v>
      </c>
      <c r="E2274" s="101" t="s">
        <v>645</v>
      </c>
      <c r="F2274" s="216" t="s">
        <v>50</v>
      </c>
      <c r="G2274" s="3" t="s">
        <v>56</v>
      </c>
      <c r="H2274" s="3" t="s">
        <v>56</v>
      </c>
      <c r="M2274" s="151" t="str">
        <f t="shared" si="109"/>
        <v/>
      </c>
      <c r="N2274" s="151" t="str">
        <f t="shared" si="110"/>
        <v>/</v>
      </c>
      <c r="Q2274" s="239" t="str">
        <f t="shared" ca="1" si="108"/>
        <v/>
      </c>
    </row>
    <row r="2275" spans="3:17" ht="15.75" hidden="1" customHeight="1" outlineLevel="1" x14ac:dyDescent="0.25">
      <c r="C2275" s="208"/>
      <c r="D2275" s="196">
        <v>42724</v>
      </c>
      <c r="E2275" s="101" t="s">
        <v>24</v>
      </c>
      <c r="F2275" s="216" t="s">
        <v>49</v>
      </c>
      <c r="G2275" s="3" t="s">
        <v>56</v>
      </c>
      <c r="H2275" s="3" t="s">
        <v>56</v>
      </c>
      <c r="M2275" s="151" t="str">
        <f t="shared" si="109"/>
        <v>/</v>
      </c>
      <c r="N2275" s="151" t="str">
        <f t="shared" si="110"/>
        <v/>
      </c>
      <c r="Q2275" s="239" t="str">
        <f t="shared" ca="1" si="108"/>
        <v/>
      </c>
    </row>
    <row r="2276" spans="3:17" ht="15.75" hidden="1" customHeight="1" outlineLevel="1" x14ac:dyDescent="0.25">
      <c r="C2276" s="208"/>
      <c r="D2276" s="196">
        <v>42725</v>
      </c>
      <c r="E2276" s="101" t="s">
        <v>28</v>
      </c>
      <c r="F2276" s="216" t="s">
        <v>50</v>
      </c>
      <c r="G2276" s="3" t="s">
        <v>56</v>
      </c>
      <c r="H2276" s="3" t="s">
        <v>56</v>
      </c>
      <c r="M2276" s="151" t="str">
        <f t="shared" si="109"/>
        <v/>
      </c>
      <c r="N2276" s="151" t="str">
        <f t="shared" si="110"/>
        <v>/</v>
      </c>
      <c r="Q2276" s="239" t="str">
        <f t="shared" ca="1" si="108"/>
        <v/>
      </c>
    </row>
    <row r="2277" spans="3:17" ht="15.75" hidden="1" customHeight="1" outlineLevel="1" x14ac:dyDescent="0.25">
      <c r="C2277" s="208"/>
      <c r="D2277" s="196">
        <v>42727</v>
      </c>
      <c r="E2277" s="101" t="s">
        <v>21</v>
      </c>
      <c r="F2277" s="216" t="s">
        <v>50</v>
      </c>
      <c r="G2277" s="3" t="s">
        <v>56</v>
      </c>
      <c r="H2277" s="3" t="s">
        <v>56</v>
      </c>
      <c r="M2277" s="151" t="str">
        <f t="shared" si="109"/>
        <v/>
      </c>
      <c r="N2277" s="151" t="str">
        <f t="shared" si="110"/>
        <v>/</v>
      </c>
      <c r="Q2277" s="239" t="str">
        <f t="shared" ca="1" si="108"/>
        <v/>
      </c>
    </row>
    <row r="2278" spans="3:17" ht="15.75" hidden="1" customHeight="1" outlineLevel="1" x14ac:dyDescent="0.25">
      <c r="C2278" s="208"/>
      <c r="D2278" s="196">
        <v>42730</v>
      </c>
      <c r="E2278" s="101" t="s">
        <v>11</v>
      </c>
      <c r="F2278" s="216" t="s">
        <v>49</v>
      </c>
      <c r="G2278" s="3" t="s">
        <v>56</v>
      </c>
      <c r="H2278" s="3" t="s">
        <v>56</v>
      </c>
      <c r="M2278" s="151" t="str">
        <f t="shared" si="109"/>
        <v>/</v>
      </c>
      <c r="N2278" s="151" t="str">
        <f t="shared" si="110"/>
        <v/>
      </c>
      <c r="Q2278" s="239" t="str">
        <f t="shared" ca="1" si="108"/>
        <v/>
      </c>
    </row>
    <row r="2279" spans="3:17" ht="15.75" hidden="1" customHeight="1" outlineLevel="1" x14ac:dyDescent="0.25">
      <c r="C2279" s="208"/>
      <c r="D2279" s="196">
        <v>42732</v>
      </c>
      <c r="E2279" s="101" t="s">
        <v>24</v>
      </c>
      <c r="F2279" s="216" t="s">
        <v>50</v>
      </c>
      <c r="G2279" s="3" t="s">
        <v>56</v>
      </c>
      <c r="H2279" s="3" t="s">
        <v>56</v>
      </c>
      <c r="M2279" s="151" t="str">
        <f t="shared" si="109"/>
        <v/>
      </c>
      <c r="N2279" s="151" t="str">
        <f t="shared" si="110"/>
        <v>/</v>
      </c>
      <c r="Q2279" s="239" t="str">
        <f t="shared" ca="1" si="108"/>
        <v/>
      </c>
    </row>
    <row r="2280" spans="3:17" ht="15.75" hidden="1" customHeight="1" outlineLevel="1" x14ac:dyDescent="0.25">
      <c r="C2280" s="208"/>
      <c r="D2280" s="196">
        <v>42735</v>
      </c>
      <c r="E2280" s="101" t="s">
        <v>20</v>
      </c>
      <c r="F2280" s="216" t="s">
        <v>49</v>
      </c>
      <c r="G2280" s="3" t="s">
        <v>56</v>
      </c>
      <c r="H2280" s="3" t="s">
        <v>56</v>
      </c>
      <c r="M2280" s="151" t="str">
        <f t="shared" si="109"/>
        <v>/</v>
      </c>
      <c r="N2280" s="151" t="str">
        <f t="shared" si="110"/>
        <v/>
      </c>
      <c r="Q2280" s="239" t="str">
        <f t="shared" ca="1" si="108"/>
        <v/>
      </c>
    </row>
    <row r="2281" spans="3:17" ht="15.75" hidden="1" customHeight="1" outlineLevel="1" x14ac:dyDescent="0.25">
      <c r="C2281" s="207"/>
      <c r="D2281" s="196">
        <v>42372</v>
      </c>
      <c r="E2281" s="101" t="s">
        <v>15</v>
      </c>
      <c r="F2281" s="216" t="s">
        <v>50</v>
      </c>
      <c r="G2281" s="3" t="s">
        <v>56</v>
      </c>
      <c r="H2281" s="3" t="s">
        <v>56</v>
      </c>
      <c r="M2281" s="151" t="str">
        <f t="shared" si="109"/>
        <v/>
      </c>
      <c r="N2281" s="151" t="str">
        <f t="shared" si="110"/>
        <v>/</v>
      </c>
      <c r="Q2281" s="239" t="str">
        <f t="shared" ca="1" si="108"/>
        <v/>
      </c>
    </row>
    <row r="2282" spans="3:17" ht="15.75" hidden="1" customHeight="1" outlineLevel="1" x14ac:dyDescent="0.25">
      <c r="C2282" s="207"/>
      <c r="D2282" s="196">
        <v>42373</v>
      </c>
      <c r="E2282" s="101" t="s">
        <v>6</v>
      </c>
      <c r="F2282" s="216" t="s">
        <v>49</v>
      </c>
      <c r="G2282" s="3" t="s">
        <v>56</v>
      </c>
      <c r="H2282" s="3" t="s">
        <v>56</v>
      </c>
      <c r="M2282" s="151" t="str">
        <f t="shared" si="109"/>
        <v>/</v>
      </c>
      <c r="N2282" s="151" t="str">
        <f t="shared" si="110"/>
        <v/>
      </c>
      <c r="Q2282" s="239" t="str">
        <f t="shared" ca="1" si="108"/>
        <v/>
      </c>
    </row>
    <row r="2283" spans="3:17" ht="15.75" hidden="1" customHeight="1" outlineLevel="1" x14ac:dyDescent="0.25">
      <c r="C2283" s="207"/>
      <c r="D2283" s="196">
        <v>42375</v>
      </c>
      <c r="E2283" s="101" t="s">
        <v>18</v>
      </c>
      <c r="F2283" s="216" t="s">
        <v>49</v>
      </c>
      <c r="G2283" s="3" t="s">
        <v>56</v>
      </c>
      <c r="H2283" s="3" t="s">
        <v>56</v>
      </c>
      <c r="M2283" s="151" t="str">
        <f t="shared" si="109"/>
        <v>/</v>
      </c>
      <c r="N2283" s="151" t="str">
        <f t="shared" si="110"/>
        <v/>
      </c>
      <c r="Q2283" s="239" t="str">
        <f t="shared" ref="Q2283:Q2346" ca="1" si="111">IF(D2283=TODAY(),1,"")</f>
        <v/>
      </c>
    </row>
    <row r="2284" spans="3:17" ht="15.75" hidden="1" customHeight="1" outlineLevel="1" x14ac:dyDescent="0.25">
      <c r="C2284" s="207"/>
      <c r="D2284" s="196">
        <v>42377</v>
      </c>
      <c r="E2284" s="101" t="s">
        <v>16</v>
      </c>
      <c r="F2284" s="216" t="s">
        <v>49</v>
      </c>
      <c r="G2284" s="3" t="s">
        <v>56</v>
      </c>
      <c r="H2284" s="3" t="s">
        <v>56</v>
      </c>
      <c r="M2284" s="151" t="str">
        <f t="shared" si="109"/>
        <v>/</v>
      </c>
      <c r="N2284" s="151" t="str">
        <f t="shared" si="110"/>
        <v/>
      </c>
      <c r="Q2284" s="239" t="str">
        <f t="shared" ca="1" si="111"/>
        <v/>
      </c>
    </row>
    <row r="2285" spans="3:17" ht="15.75" hidden="1" customHeight="1" outlineLevel="1" x14ac:dyDescent="0.25">
      <c r="C2285" s="207"/>
      <c r="D2285" s="196">
        <v>42379</v>
      </c>
      <c r="E2285" s="101" t="s">
        <v>5</v>
      </c>
      <c r="F2285" s="216" t="s">
        <v>49</v>
      </c>
      <c r="G2285" s="3" t="s">
        <v>56</v>
      </c>
      <c r="H2285" s="3" t="s">
        <v>56</v>
      </c>
      <c r="M2285" s="151" t="str">
        <f t="shared" si="109"/>
        <v>/</v>
      </c>
      <c r="N2285" s="151" t="str">
        <f t="shared" si="110"/>
        <v/>
      </c>
      <c r="Q2285" s="239" t="str">
        <f t="shared" ca="1" si="111"/>
        <v/>
      </c>
    </row>
    <row r="2286" spans="3:17" ht="15.75" hidden="1" customHeight="1" outlineLevel="1" x14ac:dyDescent="0.25">
      <c r="C2286" s="207"/>
      <c r="D2286" s="196">
        <v>42382</v>
      </c>
      <c r="E2286" s="101" t="s">
        <v>4</v>
      </c>
      <c r="F2286" s="216" t="s">
        <v>49</v>
      </c>
      <c r="G2286" s="3" t="s">
        <v>56</v>
      </c>
      <c r="H2286" s="3" t="s">
        <v>56</v>
      </c>
      <c r="M2286" s="151" t="str">
        <f t="shared" si="109"/>
        <v>/</v>
      </c>
      <c r="N2286" s="151" t="str">
        <f t="shared" si="110"/>
        <v/>
      </c>
      <c r="Q2286" s="239" t="str">
        <f t="shared" ca="1" si="111"/>
        <v/>
      </c>
    </row>
    <row r="2287" spans="3:17" ht="15.75" hidden="1" customHeight="1" outlineLevel="1" x14ac:dyDescent="0.25">
      <c r="C2287" s="207"/>
      <c r="D2287" s="196">
        <v>42384</v>
      </c>
      <c r="E2287" s="101" t="s">
        <v>23</v>
      </c>
      <c r="F2287" s="216" t="s">
        <v>49</v>
      </c>
      <c r="G2287" s="3" t="s">
        <v>56</v>
      </c>
      <c r="H2287" s="3" t="s">
        <v>56</v>
      </c>
      <c r="M2287" s="151" t="str">
        <f t="shared" si="109"/>
        <v>/</v>
      </c>
      <c r="N2287" s="151" t="str">
        <f t="shared" si="110"/>
        <v/>
      </c>
      <c r="Q2287" s="239" t="str">
        <f t="shared" ca="1" si="111"/>
        <v/>
      </c>
    </row>
    <row r="2288" spans="3:17" ht="15.75" hidden="1" customHeight="1" outlineLevel="1" x14ac:dyDescent="0.25">
      <c r="C2288" s="207"/>
      <c r="D2288" s="196">
        <v>42387</v>
      </c>
      <c r="E2288" s="101" t="s">
        <v>7</v>
      </c>
      <c r="F2288" s="216" t="s">
        <v>49</v>
      </c>
      <c r="G2288" s="3" t="s">
        <v>56</v>
      </c>
      <c r="H2288" s="3" t="s">
        <v>56</v>
      </c>
      <c r="M2288" s="151" t="str">
        <f t="shared" si="109"/>
        <v>/</v>
      </c>
      <c r="N2288" s="151" t="str">
        <f t="shared" si="110"/>
        <v/>
      </c>
      <c r="Q2288" s="239" t="str">
        <f t="shared" ca="1" si="111"/>
        <v/>
      </c>
    </row>
    <row r="2289" spans="3:17" ht="15.75" hidden="1" customHeight="1" outlineLevel="1" x14ac:dyDescent="0.25">
      <c r="C2289" s="207"/>
      <c r="D2289" s="196">
        <v>42389</v>
      </c>
      <c r="E2289" s="101" t="s">
        <v>20</v>
      </c>
      <c r="F2289" s="216" t="s">
        <v>50</v>
      </c>
      <c r="G2289" s="3" t="s">
        <v>56</v>
      </c>
      <c r="H2289" s="3" t="s">
        <v>56</v>
      </c>
      <c r="M2289" s="151" t="str">
        <f t="shared" si="109"/>
        <v/>
      </c>
      <c r="N2289" s="151" t="str">
        <f t="shared" si="110"/>
        <v>/</v>
      </c>
      <c r="Q2289" s="239" t="str">
        <f t="shared" ca="1" si="111"/>
        <v/>
      </c>
    </row>
    <row r="2290" spans="3:17" ht="15.75" hidden="1" customHeight="1" outlineLevel="1" x14ac:dyDescent="0.25">
      <c r="C2290" s="207"/>
      <c r="D2290" s="196">
        <v>42390</v>
      </c>
      <c r="E2290" s="101" t="s">
        <v>2</v>
      </c>
      <c r="F2290" s="216" t="s">
        <v>50</v>
      </c>
      <c r="G2290" s="3" t="s">
        <v>56</v>
      </c>
      <c r="H2290" s="3" t="s">
        <v>56</v>
      </c>
      <c r="M2290" s="151" t="str">
        <f t="shared" si="109"/>
        <v/>
      </c>
      <c r="N2290" s="151" t="str">
        <f t="shared" si="110"/>
        <v>/</v>
      </c>
      <c r="Q2290" s="239" t="str">
        <f t="shared" ca="1" si="111"/>
        <v/>
      </c>
    </row>
    <row r="2291" spans="3:17" ht="15.75" hidden="1" customHeight="1" outlineLevel="1" x14ac:dyDescent="0.25">
      <c r="C2291" s="207"/>
      <c r="D2291" s="196">
        <v>42392</v>
      </c>
      <c r="E2291" s="101" t="s">
        <v>5</v>
      </c>
      <c r="F2291" s="216" t="s">
        <v>50</v>
      </c>
      <c r="G2291" s="3" t="s">
        <v>56</v>
      </c>
      <c r="H2291" s="3" t="s">
        <v>56</v>
      </c>
      <c r="M2291" s="151" t="str">
        <f t="shared" si="109"/>
        <v/>
      </c>
      <c r="N2291" s="151" t="str">
        <f t="shared" si="110"/>
        <v>/</v>
      </c>
      <c r="Q2291" s="239" t="str">
        <f t="shared" ca="1" si="111"/>
        <v/>
      </c>
    </row>
    <row r="2292" spans="3:17" ht="15.75" hidden="1" customHeight="1" outlineLevel="1" x14ac:dyDescent="0.25">
      <c r="C2292" s="207"/>
      <c r="D2292" s="196">
        <v>42394</v>
      </c>
      <c r="E2292" s="101" t="s">
        <v>4</v>
      </c>
      <c r="F2292" s="216" t="s">
        <v>50</v>
      </c>
      <c r="G2292" s="3" t="s">
        <v>56</v>
      </c>
      <c r="H2292" s="3" t="s">
        <v>56</v>
      </c>
      <c r="M2292" s="151" t="str">
        <f t="shared" si="109"/>
        <v/>
      </c>
      <c r="N2292" s="151" t="str">
        <f t="shared" si="110"/>
        <v>/</v>
      </c>
      <c r="Q2292" s="239" t="str">
        <f t="shared" ca="1" si="111"/>
        <v/>
      </c>
    </row>
    <row r="2293" spans="3:17" ht="15.75" hidden="1" customHeight="1" outlineLevel="1" x14ac:dyDescent="0.25">
      <c r="C2293" s="207"/>
      <c r="D2293" s="196">
        <v>42396</v>
      </c>
      <c r="E2293" s="101" t="s">
        <v>7</v>
      </c>
      <c r="F2293" s="216" t="s">
        <v>50</v>
      </c>
      <c r="G2293" s="3" t="s">
        <v>56</v>
      </c>
      <c r="H2293" s="3" t="s">
        <v>56</v>
      </c>
      <c r="M2293" s="151" t="str">
        <f t="shared" si="109"/>
        <v/>
      </c>
      <c r="N2293" s="151" t="str">
        <f t="shared" si="110"/>
        <v>/</v>
      </c>
      <c r="Q2293" s="239" t="str">
        <f t="shared" ca="1" si="111"/>
        <v/>
      </c>
    </row>
    <row r="2294" spans="3:17" ht="15.75" hidden="1" customHeight="1" outlineLevel="1" x14ac:dyDescent="0.25">
      <c r="C2294" s="207"/>
      <c r="D2294" s="196">
        <v>42397</v>
      </c>
      <c r="E2294" s="101" t="s">
        <v>3</v>
      </c>
      <c r="F2294" s="216" t="s">
        <v>50</v>
      </c>
      <c r="G2294" s="3" t="s">
        <v>56</v>
      </c>
      <c r="H2294" s="3" t="s">
        <v>56</v>
      </c>
      <c r="M2294" s="151" t="str">
        <f t="shared" si="109"/>
        <v/>
      </c>
      <c r="N2294" s="151" t="str">
        <f t="shared" si="110"/>
        <v>/</v>
      </c>
      <c r="Q2294" s="239" t="str">
        <f t="shared" ca="1" si="111"/>
        <v/>
      </c>
    </row>
    <row r="2295" spans="3:17" ht="15.75" hidden="1" customHeight="1" outlineLevel="1" x14ac:dyDescent="0.25">
      <c r="C2295" s="207"/>
      <c r="D2295" s="196">
        <v>42400</v>
      </c>
      <c r="E2295" s="101" t="s">
        <v>17</v>
      </c>
      <c r="F2295" s="216" t="s">
        <v>50</v>
      </c>
      <c r="G2295" s="3" t="s">
        <v>56</v>
      </c>
      <c r="H2295" s="3" t="s">
        <v>56</v>
      </c>
      <c r="M2295" s="151" t="str">
        <f t="shared" si="109"/>
        <v/>
      </c>
      <c r="N2295" s="151" t="str">
        <f t="shared" si="110"/>
        <v>/</v>
      </c>
      <c r="Q2295" s="239" t="str">
        <f t="shared" ca="1" si="111"/>
        <v/>
      </c>
    </row>
    <row r="2296" spans="3:17" ht="15.75" hidden="1" customHeight="1" outlineLevel="1" x14ac:dyDescent="0.25">
      <c r="C2296" s="208"/>
      <c r="D2296" s="196">
        <v>42403</v>
      </c>
      <c r="E2296" s="101" t="s">
        <v>25</v>
      </c>
      <c r="F2296" s="216" t="s">
        <v>49</v>
      </c>
      <c r="G2296" s="3" t="s">
        <v>56</v>
      </c>
      <c r="H2296" s="3" t="s">
        <v>56</v>
      </c>
      <c r="M2296" s="151" t="str">
        <f t="shared" si="109"/>
        <v>/</v>
      </c>
      <c r="N2296" s="151" t="str">
        <f t="shared" si="110"/>
        <v/>
      </c>
      <c r="Q2296" s="239" t="str">
        <f t="shared" ca="1" si="111"/>
        <v/>
      </c>
    </row>
    <row r="2297" spans="3:17" ht="15.75" hidden="1" customHeight="1" outlineLevel="1" x14ac:dyDescent="0.25">
      <c r="C2297" s="208"/>
      <c r="D2297" s="196">
        <v>42404</v>
      </c>
      <c r="E2297" s="101" t="s">
        <v>16</v>
      </c>
      <c r="F2297" s="216" t="s">
        <v>49</v>
      </c>
      <c r="G2297" s="3" t="s">
        <v>56</v>
      </c>
      <c r="H2297" s="3" t="s">
        <v>56</v>
      </c>
      <c r="M2297" s="151" t="str">
        <f t="shared" si="109"/>
        <v>/</v>
      </c>
      <c r="N2297" s="151" t="str">
        <f t="shared" si="110"/>
        <v/>
      </c>
      <c r="Q2297" s="239" t="str">
        <f t="shared" ca="1" si="111"/>
        <v/>
      </c>
    </row>
    <row r="2298" spans="3:17" ht="15.75" hidden="1" customHeight="1" outlineLevel="1" x14ac:dyDescent="0.25">
      <c r="C2298" s="208"/>
      <c r="D2298" s="196">
        <v>42406</v>
      </c>
      <c r="E2298" s="101" t="s">
        <v>2</v>
      </c>
      <c r="F2298" s="216" t="s">
        <v>49</v>
      </c>
      <c r="G2298" s="3" t="s">
        <v>56</v>
      </c>
      <c r="H2298" s="3" t="s">
        <v>56</v>
      </c>
      <c r="M2298" s="151" t="str">
        <f t="shared" si="109"/>
        <v>/</v>
      </c>
      <c r="N2298" s="151" t="str">
        <f t="shared" si="110"/>
        <v/>
      </c>
      <c r="Q2298" s="239" t="str">
        <f t="shared" ca="1" si="111"/>
        <v/>
      </c>
    </row>
    <row r="2299" spans="3:17" ht="15.75" hidden="1" customHeight="1" outlineLevel="1" x14ac:dyDescent="0.25">
      <c r="C2299" s="208"/>
      <c r="D2299" s="196">
        <v>42408</v>
      </c>
      <c r="E2299" s="101" t="s">
        <v>1</v>
      </c>
      <c r="F2299" s="216" t="s">
        <v>49</v>
      </c>
      <c r="G2299" s="3" t="s">
        <v>56</v>
      </c>
      <c r="H2299" s="3" t="s">
        <v>56</v>
      </c>
      <c r="M2299" s="151" t="str">
        <f t="shared" si="109"/>
        <v>/</v>
      </c>
      <c r="N2299" s="151" t="str">
        <f t="shared" si="110"/>
        <v/>
      </c>
      <c r="Q2299" s="239" t="str">
        <f t="shared" ca="1" si="111"/>
        <v/>
      </c>
    </row>
    <row r="2300" spans="3:17" ht="15.75" hidden="1" customHeight="1" outlineLevel="1" x14ac:dyDescent="0.25">
      <c r="C2300" s="208"/>
      <c r="D2300" s="196">
        <v>42410</v>
      </c>
      <c r="E2300" s="101" t="s">
        <v>0</v>
      </c>
      <c r="F2300" s="216" t="s">
        <v>49</v>
      </c>
      <c r="G2300" s="3" t="s">
        <v>56</v>
      </c>
      <c r="H2300" s="3" t="s">
        <v>56</v>
      </c>
      <c r="M2300" s="151" t="str">
        <f t="shared" si="109"/>
        <v>/</v>
      </c>
      <c r="N2300" s="151" t="str">
        <f t="shared" si="110"/>
        <v/>
      </c>
      <c r="Q2300" s="239" t="str">
        <f t="shared" ca="1" si="111"/>
        <v/>
      </c>
    </row>
    <row r="2301" spans="3:17" ht="15.75" hidden="1" customHeight="1" outlineLevel="1" x14ac:dyDescent="0.25">
      <c r="C2301" s="208"/>
      <c r="D2301" s="196">
        <v>42412</v>
      </c>
      <c r="E2301" s="101" t="s">
        <v>22</v>
      </c>
      <c r="F2301" s="216" t="s">
        <v>49</v>
      </c>
      <c r="G2301" s="3" t="s">
        <v>56</v>
      </c>
      <c r="H2301" s="3" t="s">
        <v>56</v>
      </c>
      <c r="M2301" s="151" t="str">
        <f t="shared" si="109"/>
        <v>/</v>
      </c>
      <c r="N2301" s="151" t="str">
        <f t="shared" si="110"/>
        <v/>
      </c>
      <c r="Q2301" s="239" t="str">
        <f t="shared" ca="1" si="111"/>
        <v/>
      </c>
    </row>
    <row r="2302" spans="3:17" ht="15.75" hidden="1" customHeight="1" outlineLevel="1" x14ac:dyDescent="0.25">
      <c r="C2302" s="208"/>
      <c r="D2302" s="196">
        <v>42414</v>
      </c>
      <c r="E2302" s="101" t="s">
        <v>644</v>
      </c>
      <c r="F2302" s="216" t="s">
        <v>50</v>
      </c>
      <c r="G2302" s="3" t="s">
        <v>56</v>
      </c>
      <c r="H2302" s="3" t="s">
        <v>56</v>
      </c>
      <c r="M2302" s="151" t="str">
        <f t="shared" si="109"/>
        <v/>
      </c>
      <c r="N2302" s="151" t="str">
        <f t="shared" si="110"/>
        <v>/</v>
      </c>
      <c r="Q2302" s="239" t="str">
        <f t="shared" ca="1" si="111"/>
        <v/>
      </c>
    </row>
    <row r="2303" spans="3:17" ht="15.75" hidden="1" customHeight="1" outlineLevel="1" x14ac:dyDescent="0.25">
      <c r="C2303" s="208"/>
      <c r="D2303" s="196">
        <v>42415</v>
      </c>
      <c r="E2303" s="101" t="s">
        <v>16</v>
      </c>
      <c r="F2303" s="216" t="s">
        <v>50</v>
      </c>
      <c r="G2303" s="3" t="s">
        <v>56</v>
      </c>
      <c r="H2303" s="3" t="s">
        <v>56</v>
      </c>
      <c r="M2303" s="151" t="str">
        <f t="shared" si="109"/>
        <v/>
      </c>
      <c r="N2303" s="151" t="str">
        <f t="shared" si="110"/>
        <v>/</v>
      </c>
      <c r="Q2303" s="239" t="str">
        <f t="shared" ca="1" si="111"/>
        <v/>
      </c>
    </row>
    <row r="2304" spans="3:17" ht="15.75" hidden="1" customHeight="1" outlineLevel="1" x14ac:dyDescent="0.25">
      <c r="C2304" s="208"/>
      <c r="D2304" s="196">
        <v>42423</v>
      </c>
      <c r="E2304" s="101" t="s">
        <v>15</v>
      </c>
      <c r="F2304" s="216" t="s">
        <v>49</v>
      </c>
      <c r="G2304" s="3" t="s">
        <v>56</v>
      </c>
      <c r="H2304" s="3" t="s">
        <v>56</v>
      </c>
      <c r="M2304" s="151" t="str">
        <f t="shared" si="109"/>
        <v>/</v>
      </c>
      <c r="N2304" s="151" t="str">
        <f t="shared" si="110"/>
        <v/>
      </c>
      <c r="Q2304" s="239" t="str">
        <f t="shared" ca="1" si="111"/>
        <v/>
      </c>
    </row>
    <row r="2305" spans="3:17" ht="15.75" hidden="1" customHeight="1" outlineLevel="1" x14ac:dyDescent="0.25">
      <c r="C2305" s="208"/>
      <c r="D2305" s="196">
        <v>42425</v>
      </c>
      <c r="E2305" s="101" t="s">
        <v>3</v>
      </c>
      <c r="F2305" s="216" t="s">
        <v>49</v>
      </c>
      <c r="G2305" s="3" t="s">
        <v>56</v>
      </c>
      <c r="H2305" s="3" t="s">
        <v>56</v>
      </c>
      <c r="M2305" s="151" t="str">
        <f t="shared" si="109"/>
        <v>/</v>
      </c>
      <c r="N2305" s="151" t="str">
        <f t="shared" si="110"/>
        <v/>
      </c>
      <c r="Q2305" s="239" t="str">
        <f t="shared" ca="1" si="111"/>
        <v/>
      </c>
    </row>
    <row r="2306" spans="3:17" ht="15.75" hidden="1" customHeight="1" outlineLevel="1" x14ac:dyDescent="0.25">
      <c r="C2306" s="208"/>
      <c r="D2306" s="196">
        <v>42427</v>
      </c>
      <c r="E2306" s="101" t="s">
        <v>21</v>
      </c>
      <c r="F2306" s="216" t="s">
        <v>49</v>
      </c>
      <c r="G2306" s="3" t="s">
        <v>56</v>
      </c>
      <c r="H2306" s="3" t="s">
        <v>56</v>
      </c>
      <c r="M2306" s="151" t="str">
        <f t="shared" si="109"/>
        <v>/</v>
      </c>
      <c r="N2306" s="151" t="str">
        <f t="shared" si="110"/>
        <v/>
      </c>
      <c r="Q2306" s="239" t="str">
        <f t="shared" ca="1" si="111"/>
        <v/>
      </c>
    </row>
    <row r="2307" spans="3:17" ht="15.75" hidden="1" customHeight="1" outlineLevel="1" x14ac:dyDescent="0.25">
      <c r="C2307" s="207"/>
      <c r="D2307" s="196">
        <v>42430</v>
      </c>
      <c r="E2307" s="101" t="s">
        <v>45</v>
      </c>
      <c r="F2307" s="216" t="s">
        <v>49</v>
      </c>
      <c r="G2307" s="3" t="s">
        <v>56</v>
      </c>
      <c r="H2307" s="3" t="s">
        <v>56</v>
      </c>
      <c r="M2307" s="151" t="str">
        <f t="shared" si="109"/>
        <v>/</v>
      </c>
      <c r="N2307" s="151" t="str">
        <f t="shared" si="110"/>
        <v/>
      </c>
      <c r="Q2307" s="239" t="str">
        <f t="shared" ca="1" si="111"/>
        <v/>
      </c>
    </row>
    <row r="2308" spans="3:17" ht="15.75" hidden="1" customHeight="1" outlineLevel="1" x14ac:dyDescent="0.25">
      <c r="C2308" s="207"/>
      <c r="D2308" s="196">
        <v>42434</v>
      </c>
      <c r="E2308" s="101" t="s">
        <v>28</v>
      </c>
      <c r="F2308" s="216" t="s">
        <v>49</v>
      </c>
      <c r="G2308" s="3" t="s">
        <v>56</v>
      </c>
      <c r="H2308" s="3" t="s">
        <v>56</v>
      </c>
      <c r="M2308" s="151" t="str">
        <f t="shared" si="109"/>
        <v>/</v>
      </c>
      <c r="N2308" s="151" t="str">
        <f t="shared" si="110"/>
        <v/>
      </c>
      <c r="Q2308" s="239" t="str">
        <f t="shared" ca="1" si="111"/>
        <v/>
      </c>
    </row>
    <row r="2309" spans="3:17" ht="15.75" hidden="1" customHeight="1" outlineLevel="1" x14ac:dyDescent="0.25">
      <c r="C2309" s="207"/>
      <c r="D2309" s="196">
        <v>42435</v>
      </c>
      <c r="E2309" s="101" t="s">
        <v>15</v>
      </c>
      <c r="F2309" s="216" t="s">
        <v>50</v>
      </c>
      <c r="G2309" s="3" t="s">
        <v>56</v>
      </c>
      <c r="H2309" s="3" t="s">
        <v>56</v>
      </c>
      <c r="M2309" s="151" t="str">
        <f t="shared" si="109"/>
        <v/>
      </c>
      <c r="N2309" s="151" t="str">
        <f t="shared" si="110"/>
        <v>/</v>
      </c>
      <c r="Q2309" s="239" t="str">
        <f t="shared" ca="1" si="111"/>
        <v/>
      </c>
    </row>
    <row r="2310" spans="3:17" ht="15.75" hidden="1" customHeight="1" outlineLevel="1" x14ac:dyDescent="0.25">
      <c r="C2310" s="207"/>
      <c r="D2310" s="196">
        <v>42437</v>
      </c>
      <c r="E2310" s="101" t="s">
        <v>46</v>
      </c>
      <c r="F2310" s="216" t="s">
        <v>50</v>
      </c>
      <c r="G2310" s="3" t="s">
        <v>56</v>
      </c>
      <c r="H2310" s="3" t="s">
        <v>56</v>
      </c>
      <c r="M2310" s="151" t="str">
        <f t="shared" si="109"/>
        <v/>
      </c>
      <c r="N2310" s="151" t="str">
        <f t="shared" si="110"/>
        <v>/</v>
      </c>
      <c r="Q2310" s="239" t="str">
        <f t="shared" ca="1" si="111"/>
        <v/>
      </c>
    </row>
    <row r="2311" spans="3:17" ht="15.75" hidden="1" customHeight="1" outlineLevel="1" x14ac:dyDescent="0.25">
      <c r="C2311" s="207"/>
      <c r="D2311" s="196">
        <v>42439</v>
      </c>
      <c r="E2311" s="101" t="s">
        <v>13</v>
      </c>
      <c r="F2311" s="216" t="s">
        <v>49</v>
      </c>
      <c r="G2311" s="3" t="s">
        <v>56</v>
      </c>
      <c r="H2311" s="3" t="s">
        <v>56</v>
      </c>
      <c r="M2311" s="151" t="str">
        <f t="shared" ref="M2311:M2374" si="112">IF(F2311="D",H2311,"")</f>
        <v>/</v>
      </c>
      <c r="N2311" s="151" t="str">
        <f t="shared" ref="N2311:N2374" si="113">IF(F2311="E",H2311,"")</f>
        <v/>
      </c>
      <c r="Q2311" s="239" t="str">
        <f t="shared" ca="1" si="111"/>
        <v/>
      </c>
    </row>
    <row r="2312" spans="3:17" ht="15.75" hidden="1" customHeight="1" outlineLevel="1" x14ac:dyDescent="0.25">
      <c r="C2312" s="207"/>
      <c r="D2312" s="196">
        <v>42440</v>
      </c>
      <c r="E2312" s="101" t="s">
        <v>15</v>
      </c>
      <c r="F2312" s="216" t="s">
        <v>49</v>
      </c>
      <c r="G2312" s="3" t="s">
        <v>56</v>
      </c>
      <c r="H2312" s="3" t="s">
        <v>56</v>
      </c>
      <c r="M2312" s="151" t="str">
        <f t="shared" si="112"/>
        <v>/</v>
      </c>
      <c r="N2312" s="151" t="str">
        <f t="shared" si="113"/>
        <v/>
      </c>
      <c r="Q2312" s="239" t="str">
        <f t="shared" ca="1" si="111"/>
        <v/>
      </c>
    </row>
    <row r="2313" spans="3:17" ht="15.75" hidden="1" customHeight="1" outlineLevel="1" x14ac:dyDescent="0.25">
      <c r="C2313" s="207"/>
      <c r="D2313" s="196">
        <v>42442</v>
      </c>
      <c r="E2313" s="101" t="s">
        <v>10</v>
      </c>
      <c r="F2313" s="216" t="s">
        <v>49</v>
      </c>
      <c r="G2313" s="3" t="s">
        <v>56</v>
      </c>
      <c r="H2313" s="3" t="s">
        <v>56</v>
      </c>
      <c r="M2313" s="151" t="str">
        <f t="shared" si="112"/>
        <v>/</v>
      </c>
      <c r="N2313" s="151" t="str">
        <f t="shared" si="113"/>
        <v/>
      </c>
      <c r="Q2313" s="239" t="str">
        <f t="shared" ca="1" si="111"/>
        <v/>
      </c>
    </row>
    <row r="2314" spans="3:17" ht="15.75" hidden="1" customHeight="1" outlineLevel="1" x14ac:dyDescent="0.25">
      <c r="C2314" s="207"/>
      <c r="D2314" s="196">
        <v>42444</v>
      </c>
      <c r="E2314" s="101" t="s">
        <v>25</v>
      </c>
      <c r="F2314" s="216" t="s">
        <v>50</v>
      </c>
      <c r="G2314" s="3" t="s">
        <v>56</v>
      </c>
      <c r="H2314" s="3" t="s">
        <v>56</v>
      </c>
      <c r="M2314" s="151" t="str">
        <f t="shared" si="112"/>
        <v/>
      </c>
      <c r="N2314" s="151" t="str">
        <f t="shared" si="113"/>
        <v>/</v>
      </c>
      <c r="Q2314" s="239" t="str">
        <f t="shared" ca="1" si="111"/>
        <v/>
      </c>
    </row>
    <row r="2315" spans="3:17" ht="15.75" hidden="1" customHeight="1" outlineLevel="1" x14ac:dyDescent="0.25">
      <c r="C2315" s="207"/>
      <c r="D2315" s="196">
        <v>42447</v>
      </c>
      <c r="E2315" s="101" t="s">
        <v>23</v>
      </c>
      <c r="F2315" s="216" t="s">
        <v>50</v>
      </c>
      <c r="G2315" s="3" t="s">
        <v>56</v>
      </c>
      <c r="H2315" s="3" t="s">
        <v>56</v>
      </c>
      <c r="M2315" s="151" t="str">
        <f t="shared" si="112"/>
        <v/>
      </c>
      <c r="N2315" s="151" t="str">
        <f t="shared" si="113"/>
        <v>/</v>
      </c>
      <c r="Q2315" s="239" t="str">
        <f t="shared" ca="1" si="111"/>
        <v/>
      </c>
    </row>
    <row r="2316" spans="3:17" ht="15.75" hidden="1" customHeight="1" outlineLevel="1" x14ac:dyDescent="0.25">
      <c r="C2316" s="207"/>
      <c r="D2316" s="196">
        <v>42448</v>
      </c>
      <c r="E2316" s="101" t="s">
        <v>46</v>
      </c>
      <c r="F2316" s="216" t="s">
        <v>50</v>
      </c>
      <c r="G2316" s="3" t="s">
        <v>56</v>
      </c>
      <c r="H2316" s="3" t="s">
        <v>56</v>
      </c>
      <c r="M2316" s="151" t="str">
        <f t="shared" si="112"/>
        <v/>
      </c>
      <c r="N2316" s="151" t="str">
        <f t="shared" si="113"/>
        <v>/</v>
      </c>
      <c r="Q2316" s="239" t="str">
        <f t="shared" ca="1" si="111"/>
        <v/>
      </c>
    </row>
    <row r="2317" spans="3:17" ht="15.75" hidden="1" customHeight="1" outlineLevel="1" x14ac:dyDescent="0.25">
      <c r="C2317" s="207"/>
      <c r="D2317" s="196">
        <v>42451</v>
      </c>
      <c r="E2317" s="101" t="s">
        <v>8</v>
      </c>
      <c r="F2317" s="216" t="s">
        <v>49</v>
      </c>
      <c r="G2317" s="3" t="s">
        <v>56</v>
      </c>
      <c r="H2317" s="3" t="s">
        <v>56</v>
      </c>
      <c r="M2317" s="151" t="str">
        <f t="shared" si="112"/>
        <v>/</v>
      </c>
      <c r="N2317" s="151" t="str">
        <f t="shared" si="113"/>
        <v/>
      </c>
      <c r="Q2317" s="239" t="str">
        <f t="shared" ca="1" si="111"/>
        <v/>
      </c>
    </row>
    <row r="2318" spans="3:17" ht="15.75" hidden="1" customHeight="1" outlineLevel="1" x14ac:dyDescent="0.25">
      <c r="C2318" s="207"/>
      <c r="D2318" s="196">
        <v>42453</v>
      </c>
      <c r="E2318" s="101" t="s">
        <v>16</v>
      </c>
      <c r="F2318" s="216" t="s">
        <v>50</v>
      </c>
      <c r="G2318" s="3" t="s">
        <v>56</v>
      </c>
      <c r="H2318" s="3" t="s">
        <v>56</v>
      </c>
      <c r="M2318" s="151" t="str">
        <f t="shared" si="112"/>
        <v/>
      </c>
      <c r="N2318" s="151" t="str">
        <f t="shared" si="113"/>
        <v>/</v>
      </c>
      <c r="Q2318" s="239" t="str">
        <f t="shared" ca="1" si="111"/>
        <v/>
      </c>
    </row>
    <row r="2319" spans="3:17" ht="15.75" hidden="1" customHeight="1" outlineLevel="1" x14ac:dyDescent="0.25">
      <c r="C2319" s="207"/>
      <c r="D2319" s="196">
        <v>42455</v>
      </c>
      <c r="E2319" s="101" t="s">
        <v>18</v>
      </c>
      <c r="F2319" s="216" t="s">
        <v>50</v>
      </c>
      <c r="G2319" s="3" t="s">
        <v>56</v>
      </c>
      <c r="H2319" s="3" t="s">
        <v>56</v>
      </c>
      <c r="M2319" s="151" t="str">
        <f t="shared" si="112"/>
        <v/>
      </c>
      <c r="N2319" s="151" t="str">
        <f t="shared" si="113"/>
        <v>/</v>
      </c>
      <c r="Q2319" s="239" t="str">
        <f t="shared" ca="1" si="111"/>
        <v/>
      </c>
    </row>
    <row r="2320" spans="3:17" ht="15.75" hidden="1" customHeight="1" outlineLevel="1" x14ac:dyDescent="0.25">
      <c r="C2320" s="207"/>
      <c r="D2320" s="196">
        <v>42456</v>
      </c>
      <c r="E2320" s="101" t="s">
        <v>20</v>
      </c>
      <c r="F2320" s="216" t="s">
        <v>49</v>
      </c>
      <c r="G2320" s="3" t="s">
        <v>56</v>
      </c>
      <c r="H2320" s="3" t="s">
        <v>56</v>
      </c>
      <c r="M2320" s="151" t="str">
        <f t="shared" si="112"/>
        <v>/</v>
      </c>
      <c r="N2320" s="151" t="str">
        <f t="shared" si="113"/>
        <v/>
      </c>
      <c r="Q2320" s="239" t="str">
        <f t="shared" ca="1" si="111"/>
        <v/>
      </c>
    </row>
    <row r="2321" spans="2:17" ht="15.75" hidden="1" customHeight="1" outlineLevel="1" x14ac:dyDescent="0.25">
      <c r="C2321" s="207"/>
      <c r="D2321" s="196">
        <v>42458</v>
      </c>
      <c r="E2321" s="101" t="s">
        <v>28</v>
      </c>
      <c r="F2321" s="216" t="s">
        <v>49</v>
      </c>
      <c r="G2321" s="3" t="s">
        <v>56</v>
      </c>
      <c r="H2321" s="3" t="s">
        <v>56</v>
      </c>
      <c r="M2321" s="151" t="str">
        <f t="shared" si="112"/>
        <v>/</v>
      </c>
      <c r="N2321" s="151" t="str">
        <f t="shared" si="113"/>
        <v/>
      </c>
      <c r="Q2321" s="239" t="str">
        <f t="shared" ca="1" si="111"/>
        <v/>
      </c>
    </row>
    <row r="2322" spans="2:17" ht="15.75" hidden="1" customHeight="1" outlineLevel="1" x14ac:dyDescent="0.25">
      <c r="C2322" s="207"/>
      <c r="D2322" s="196">
        <v>42460</v>
      </c>
      <c r="E2322" s="101" t="s">
        <v>22</v>
      </c>
      <c r="F2322" s="216" t="s">
        <v>50</v>
      </c>
      <c r="G2322" s="3" t="s">
        <v>56</v>
      </c>
      <c r="H2322" s="3" t="s">
        <v>56</v>
      </c>
      <c r="M2322" s="151" t="str">
        <f t="shared" si="112"/>
        <v/>
      </c>
      <c r="N2322" s="151" t="str">
        <f t="shared" si="113"/>
        <v>/</v>
      </c>
      <c r="Q2322" s="239" t="str">
        <f t="shared" ca="1" si="111"/>
        <v/>
      </c>
    </row>
    <row r="2323" spans="2:17" ht="15.75" hidden="1" customHeight="1" outlineLevel="1" x14ac:dyDescent="0.25">
      <c r="C2323" s="208"/>
      <c r="D2323" s="196">
        <v>42461</v>
      </c>
      <c r="E2323" s="101" t="s">
        <v>21</v>
      </c>
      <c r="F2323" s="216" t="s">
        <v>50</v>
      </c>
      <c r="G2323" s="3" t="s">
        <v>56</v>
      </c>
      <c r="H2323" s="3" t="s">
        <v>56</v>
      </c>
      <c r="M2323" s="151" t="str">
        <f t="shared" si="112"/>
        <v/>
      </c>
      <c r="N2323" s="151" t="str">
        <f t="shared" si="113"/>
        <v>/</v>
      </c>
      <c r="Q2323" s="239" t="str">
        <f t="shared" ca="1" si="111"/>
        <v/>
      </c>
    </row>
    <row r="2324" spans="2:17" ht="15.75" hidden="1" customHeight="1" outlineLevel="1" x14ac:dyDescent="0.25">
      <c r="C2324" s="208"/>
      <c r="D2324" s="196">
        <v>42464</v>
      </c>
      <c r="E2324" s="101" t="s">
        <v>645</v>
      </c>
      <c r="F2324" s="216" t="s">
        <v>49</v>
      </c>
      <c r="G2324" s="3" t="s">
        <v>56</v>
      </c>
      <c r="H2324" s="3" t="s">
        <v>56</v>
      </c>
      <c r="M2324" s="151" t="str">
        <f t="shared" si="112"/>
        <v>/</v>
      </c>
      <c r="N2324" s="151" t="str">
        <f t="shared" si="113"/>
        <v/>
      </c>
      <c r="Q2324" s="239" t="str">
        <f t="shared" ca="1" si="111"/>
        <v/>
      </c>
    </row>
    <row r="2325" spans="2:17" ht="15.75" hidden="1" customHeight="1" outlineLevel="1" x14ac:dyDescent="0.25">
      <c r="C2325" s="208"/>
      <c r="D2325" s="196">
        <v>42467</v>
      </c>
      <c r="E2325" s="101" t="s">
        <v>644</v>
      </c>
      <c r="F2325" s="216" t="s">
        <v>50</v>
      </c>
      <c r="G2325" s="3" t="s">
        <v>56</v>
      </c>
      <c r="H2325" s="3" t="s">
        <v>56</v>
      </c>
      <c r="M2325" s="151" t="str">
        <f t="shared" si="112"/>
        <v/>
      </c>
      <c r="N2325" s="151" t="str">
        <f t="shared" si="113"/>
        <v>/</v>
      </c>
      <c r="Q2325" s="239" t="str">
        <f t="shared" ca="1" si="111"/>
        <v/>
      </c>
    </row>
    <row r="2326" spans="2:17" ht="15.75" hidden="1" customHeight="1" outlineLevel="1" x14ac:dyDescent="0.25">
      <c r="C2326" s="208"/>
      <c r="D2326" s="196">
        <v>42469</v>
      </c>
      <c r="E2326" s="101" t="s">
        <v>17</v>
      </c>
      <c r="F2326" s="216" t="s">
        <v>49</v>
      </c>
      <c r="G2326" s="3" t="s">
        <v>56</v>
      </c>
      <c r="H2326" s="3" t="s">
        <v>56</v>
      </c>
      <c r="M2326" s="151" t="str">
        <f t="shared" si="112"/>
        <v>/</v>
      </c>
      <c r="N2326" s="151" t="str">
        <f t="shared" si="113"/>
        <v/>
      </c>
      <c r="Q2326" s="239" t="str">
        <f t="shared" ca="1" si="111"/>
        <v/>
      </c>
    </row>
    <row r="2327" spans="2:17" ht="15.75" hidden="1" customHeight="1" outlineLevel="1" x14ac:dyDescent="0.25">
      <c r="C2327" s="208"/>
      <c r="D2327" s="196">
        <v>42471</v>
      </c>
      <c r="E2327" s="101" t="s">
        <v>25</v>
      </c>
      <c r="F2327" s="216" t="s">
        <v>49</v>
      </c>
      <c r="G2327" s="3" t="s">
        <v>56</v>
      </c>
      <c r="H2327" s="3" t="s">
        <v>56</v>
      </c>
      <c r="M2327" s="151" t="str">
        <f t="shared" si="112"/>
        <v>/</v>
      </c>
      <c r="N2327" s="151" t="str">
        <f t="shared" si="113"/>
        <v/>
      </c>
      <c r="Q2327" s="239" t="str">
        <f t="shared" ca="1" si="111"/>
        <v/>
      </c>
    </row>
    <row r="2328" spans="2:17" ht="15.75" hidden="1" customHeight="1" outlineLevel="1" x14ac:dyDescent="0.25">
      <c r="C2328" s="208"/>
      <c r="D2328" s="196">
        <v>42472</v>
      </c>
      <c r="E2328" s="102" t="s">
        <v>18</v>
      </c>
      <c r="F2328" s="217" t="s">
        <v>50</v>
      </c>
      <c r="G2328" s="3" t="s">
        <v>56</v>
      </c>
      <c r="H2328" s="3" t="s">
        <v>56</v>
      </c>
      <c r="M2328" s="151" t="str">
        <f t="shared" si="112"/>
        <v/>
      </c>
      <c r="N2328" s="151" t="str">
        <f t="shared" si="113"/>
        <v>/</v>
      </c>
      <c r="Q2328" s="239" t="str">
        <f t="shared" ca="1" si="111"/>
        <v/>
      </c>
    </row>
    <row r="2329" spans="2:17" collapsed="1" x14ac:dyDescent="0.25">
      <c r="B2329" s="404" t="e">
        <f ca="1">"- "&amp;INDEX(E2330:E2411,MATCH(TODAY(),D2330:D2411,0))</f>
        <v>#N/A</v>
      </c>
      <c r="C2329" s="404"/>
      <c r="D2329" s="406" t="s">
        <v>46</v>
      </c>
      <c r="E2329" s="407"/>
      <c r="F2329" s="408"/>
      <c r="H2329" s="3"/>
      <c r="Q2329" s="239" t="str">
        <f t="shared" ca="1" si="111"/>
        <v/>
      </c>
    </row>
    <row r="2330" spans="2:17" ht="16.5" hidden="1" customHeight="1" outlineLevel="1" x14ac:dyDescent="0.25">
      <c r="C2330" s="207"/>
      <c r="D2330" s="196">
        <v>42668</v>
      </c>
      <c r="E2330" s="103" t="s">
        <v>16</v>
      </c>
      <c r="F2330" s="215" t="s">
        <v>50</v>
      </c>
      <c r="G2330" s="3">
        <v>1</v>
      </c>
      <c r="H2330" s="3">
        <v>129</v>
      </c>
      <c r="I2330" s="151">
        <v>50</v>
      </c>
      <c r="J2330" s="151">
        <v>47</v>
      </c>
      <c r="K2330" s="151">
        <v>88</v>
      </c>
      <c r="L2330" s="151">
        <v>48</v>
      </c>
      <c r="M2330" s="151" t="str">
        <f t="shared" si="112"/>
        <v/>
      </c>
      <c r="N2330" s="151">
        <f t="shared" si="113"/>
        <v>129</v>
      </c>
      <c r="P2330" s="151">
        <v>100</v>
      </c>
      <c r="Q2330" s="239" t="str">
        <f t="shared" ca="1" si="111"/>
        <v/>
      </c>
    </row>
    <row r="2331" spans="2:17" ht="15.75" hidden="1" customHeight="1" outlineLevel="1" x14ac:dyDescent="0.25">
      <c r="C2331" s="207"/>
      <c r="D2331" s="196">
        <v>42670</v>
      </c>
      <c r="E2331" s="101" t="s">
        <v>26</v>
      </c>
      <c r="F2331" s="216" t="s">
        <v>50</v>
      </c>
      <c r="G2331" s="3">
        <v>1</v>
      </c>
      <c r="H2331" s="3">
        <v>102</v>
      </c>
      <c r="I2331" s="151">
        <v>33</v>
      </c>
      <c r="J2331" s="151">
        <v>49</v>
      </c>
      <c r="K2331" s="151">
        <v>89</v>
      </c>
      <c r="L2331" s="151">
        <v>46</v>
      </c>
      <c r="M2331" s="151" t="str">
        <f t="shared" si="112"/>
        <v/>
      </c>
      <c r="N2331" s="151">
        <f t="shared" si="113"/>
        <v>102</v>
      </c>
      <c r="P2331" s="151">
        <v>94</v>
      </c>
      <c r="Q2331" s="239" t="str">
        <f t="shared" ca="1" si="111"/>
        <v/>
      </c>
    </row>
    <row r="2332" spans="2:17" ht="15.75" hidden="1" customHeight="1" outlineLevel="1" x14ac:dyDescent="0.25">
      <c r="C2332" s="207"/>
      <c r="D2332" s="196">
        <v>42672</v>
      </c>
      <c r="E2332" s="101" t="s">
        <v>22</v>
      </c>
      <c r="F2332" s="216" t="s">
        <v>49</v>
      </c>
      <c r="G2332" s="3" t="s">
        <v>56</v>
      </c>
      <c r="H2332" s="3" t="s">
        <v>56</v>
      </c>
      <c r="M2332" s="151" t="str">
        <f t="shared" si="112"/>
        <v>/</v>
      </c>
      <c r="N2332" s="151" t="str">
        <f t="shared" si="113"/>
        <v/>
      </c>
      <c r="Q2332" s="239" t="str">
        <f t="shared" ca="1" si="111"/>
        <v/>
      </c>
    </row>
    <row r="2333" spans="2:17" ht="15.75" hidden="1" customHeight="1" outlineLevel="1" x14ac:dyDescent="0.25">
      <c r="C2333" s="207"/>
      <c r="D2333" s="196">
        <v>42673</v>
      </c>
      <c r="E2333" s="101" t="s">
        <v>6</v>
      </c>
      <c r="F2333" s="216" t="s">
        <v>50</v>
      </c>
      <c r="G2333" s="3" t="s">
        <v>56</v>
      </c>
      <c r="H2333" s="3" t="s">
        <v>56</v>
      </c>
      <c r="M2333" s="151" t="str">
        <f t="shared" si="112"/>
        <v/>
      </c>
      <c r="N2333" s="151" t="str">
        <f t="shared" si="113"/>
        <v>/</v>
      </c>
      <c r="Q2333" s="239" t="str">
        <f t="shared" ca="1" si="111"/>
        <v/>
      </c>
    </row>
    <row r="2334" spans="2:17" ht="15.75" hidden="1" customHeight="1" outlineLevel="1" x14ac:dyDescent="0.25">
      <c r="C2334" s="207"/>
      <c r="D2334" s="196">
        <v>42675</v>
      </c>
      <c r="E2334" s="101" t="s">
        <v>28</v>
      </c>
      <c r="F2334" s="216" t="s">
        <v>49</v>
      </c>
      <c r="G2334" s="3" t="s">
        <v>56</v>
      </c>
      <c r="H2334" s="3" t="s">
        <v>56</v>
      </c>
      <c r="M2334" s="151" t="str">
        <f t="shared" si="112"/>
        <v>/</v>
      </c>
      <c r="N2334" s="151" t="str">
        <f t="shared" si="113"/>
        <v/>
      </c>
      <c r="Q2334" s="239" t="str">
        <f t="shared" ca="1" si="111"/>
        <v/>
      </c>
    </row>
    <row r="2335" spans="2:17" ht="15.75" hidden="1" customHeight="1" outlineLevel="1" x14ac:dyDescent="0.25">
      <c r="C2335" s="207"/>
      <c r="D2335" s="196">
        <v>42678</v>
      </c>
      <c r="E2335" s="101" t="s">
        <v>28</v>
      </c>
      <c r="F2335" s="216" t="s">
        <v>50</v>
      </c>
      <c r="G2335" s="3" t="s">
        <v>56</v>
      </c>
      <c r="H2335" s="3" t="s">
        <v>56</v>
      </c>
      <c r="M2335" s="151" t="str">
        <f t="shared" si="112"/>
        <v/>
      </c>
      <c r="N2335" s="151" t="str">
        <f t="shared" si="113"/>
        <v>/</v>
      </c>
      <c r="Q2335" s="239" t="str">
        <f t="shared" ca="1" si="111"/>
        <v/>
      </c>
    </row>
    <row r="2336" spans="2:17" ht="15.75" hidden="1" customHeight="1" outlineLevel="1" x14ac:dyDescent="0.25">
      <c r="C2336" s="207"/>
      <c r="D2336" s="196">
        <v>42679</v>
      </c>
      <c r="E2336" s="101" t="s">
        <v>18</v>
      </c>
      <c r="F2336" s="216" t="s">
        <v>49</v>
      </c>
      <c r="G2336" s="3" t="s">
        <v>56</v>
      </c>
      <c r="H2336" s="3" t="s">
        <v>56</v>
      </c>
      <c r="M2336" s="151" t="str">
        <f t="shared" si="112"/>
        <v>/</v>
      </c>
      <c r="N2336" s="151" t="str">
        <f t="shared" si="113"/>
        <v/>
      </c>
      <c r="Q2336" s="239" t="str">
        <f t="shared" ca="1" si="111"/>
        <v/>
      </c>
    </row>
    <row r="2337" spans="3:17" ht="15.75" hidden="1" customHeight="1" outlineLevel="1" x14ac:dyDescent="0.25">
      <c r="C2337" s="207"/>
      <c r="D2337" s="196">
        <v>42683</v>
      </c>
      <c r="E2337" s="101" t="s">
        <v>17</v>
      </c>
      <c r="F2337" s="216" t="s">
        <v>49</v>
      </c>
      <c r="G2337" s="3" t="s">
        <v>56</v>
      </c>
      <c r="H2337" s="3" t="s">
        <v>56</v>
      </c>
      <c r="M2337" s="151" t="str">
        <f t="shared" si="112"/>
        <v>/</v>
      </c>
      <c r="N2337" s="151" t="str">
        <f t="shared" si="113"/>
        <v/>
      </c>
      <c r="Q2337" s="239" t="str">
        <f t="shared" ca="1" si="111"/>
        <v/>
      </c>
    </row>
    <row r="2338" spans="3:17" ht="15.75" hidden="1" customHeight="1" outlineLevel="1" x14ac:dyDescent="0.25">
      <c r="C2338" s="207"/>
      <c r="D2338" s="196">
        <v>42685</v>
      </c>
      <c r="E2338" s="101" t="s">
        <v>5</v>
      </c>
      <c r="F2338" s="216" t="s">
        <v>49</v>
      </c>
      <c r="G2338" s="3" t="s">
        <v>56</v>
      </c>
      <c r="H2338" s="3" t="s">
        <v>56</v>
      </c>
      <c r="M2338" s="151" t="str">
        <f t="shared" si="112"/>
        <v>/</v>
      </c>
      <c r="N2338" s="151" t="str">
        <f t="shared" si="113"/>
        <v/>
      </c>
      <c r="Q2338" s="239" t="str">
        <f t="shared" ca="1" si="111"/>
        <v/>
      </c>
    </row>
    <row r="2339" spans="3:17" ht="15.75" hidden="1" customHeight="1" outlineLevel="1" x14ac:dyDescent="0.25">
      <c r="C2339" s="207"/>
      <c r="D2339" s="196">
        <v>42686</v>
      </c>
      <c r="E2339" s="101" t="s">
        <v>17</v>
      </c>
      <c r="F2339" s="216" t="s">
        <v>50</v>
      </c>
      <c r="G2339" s="3" t="s">
        <v>56</v>
      </c>
      <c r="H2339" s="3" t="s">
        <v>56</v>
      </c>
      <c r="M2339" s="151" t="str">
        <f t="shared" si="112"/>
        <v/>
      </c>
      <c r="N2339" s="151" t="str">
        <f t="shared" si="113"/>
        <v>/</v>
      </c>
      <c r="Q2339" s="239" t="str">
        <f t="shared" ca="1" si="111"/>
        <v/>
      </c>
    </row>
    <row r="2340" spans="3:17" ht="15.75" hidden="1" customHeight="1" outlineLevel="1" x14ac:dyDescent="0.25">
      <c r="C2340" s="207"/>
      <c r="D2340" s="196">
        <v>42688</v>
      </c>
      <c r="E2340" s="101" t="s">
        <v>6</v>
      </c>
      <c r="F2340" s="216" t="s">
        <v>49</v>
      </c>
      <c r="G2340" s="3" t="s">
        <v>56</v>
      </c>
      <c r="H2340" s="3" t="s">
        <v>56</v>
      </c>
      <c r="M2340" s="151" t="str">
        <f t="shared" si="112"/>
        <v>/</v>
      </c>
      <c r="N2340" s="151" t="str">
        <f t="shared" si="113"/>
        <v/>
      </c>
      <c r="Q2340" s="239" t="str">
        <f t="shared" ca="1" si="111"/>
        <v/>
      </c>
    </row>
    <row r="2341" spans="3:17" ht="15.75" hidden="1" customHeight="1" outlineLevel="1" x14ac:dyDescent="0.25">
      <c r="C2341" s="207"/>
      <c r="D2341" s="196">
        <v>42690</v>
      </c>
      <c r="E2341" s="101" t="s">
        <v>26</v>
      </c>
      <c r="F2341" s="216" t="s">
        <v>50</v>
      </c>
      <c r="G2341" s="3" t="s">
        <v>56</v>
      </c>
      <c r="H2341" s="3" t="s">
        <v>56</v>
      </c>
      <c r="M2341" s="151" t="str">
        <f t="shared" si="112"/>
        <v/>
      </c>
      <c r="N2341" s="151" t="str">
        <f t="shared" si="113"/>
        <v>/</v>
      </c>
      <c r="Q2341" s="239" t="str">
        <f t="shared" ca="1" si="111"/>
        <v/>
      </c>
    </row>
    <row r="2342" spans="3:17" ht="15.75" hidden="1" customHeight="1" outlineLevel="1" x14ac:dyDescent="0.25">
      <c r="C2342" s="207"/>
      <c r="D2342" s="196">
        <v>42692</v>
      </c>
      <c r="E2342" s="101" t="s">
        <v>644</v>
      </c>
      <c r="F2342" s="216" t="s">
        <v>50</v>
      </c>
      <c r="G2342" s="3" t="s">
        <v>56</v>
      </c>
      <c r="H2342" s="3" t="s">
        <v>56</v>
      </c>
      <c r="M2342" s="151" t="str">
        <f t="shared" si="112"/>
        <v/>
      </c>
      <c r="N2342" s="151" t="str">
        <f t="shared" si="113"/>
        <v>/</v>
      </c>
      <c r="Q2342" s="239" t="str">
        <f t="shared" ca="1" si="111"/>
        <v/>
      </c>
    </row>
    <row r="2343" spans="3:17" ht="15.75" hidden="1" customHeight="1" outlineLevel="1" x14ac:dyDescent="0.25">
      <c r="C2343" s="207"/>
      <c r="D2343" s="196">
        <v>42695</v>
      </c>
      <c r="E2343" s="101" t="s">
        <v>645</v>
      </c>
      <c r="F2343" s="216" t="s">
        <v>49</v>
      </c>
      <c r="G2343" s="3" t="s">
        <v>56</v>
      </c>
      <c r="H2343" s="3" t="s">
        <v>56</v>
      </c>
      <c r="M2343" s="151" t="str">
        <f t="shared" si="112"/>
        <v>/</v>
      </c>
      <c r="N2343" s="151" t="str">
        <f t="shared" si="113"/>
        <v/>
      </c>
      <c r="Q2343" s="239" t="str">
        <f t="shared" ca="1" si="111"/>
        <v/>
      </c>
    </row>
    <row r="2344" spans="3:17" ht="15.75" hidden="1" customHeight="1" outlineLevel="1" x14ac:dyDescent="0.25">
      <c r="C2344" s="207"/>
      <c r="D2344" s="196">
        <v>42697</v>
      </c>
      <c r="E2344" s="101" t="s">
        <v>3</v>
      </c>
      <c r="F2344" s="216" t="s">
        <v>50</v>
      </c>
      <c r="G2344" s="3" t="s">
        <v>56</v>
      </c>
      <c r="H2344" s="3" t="s">
        <v>56</v>
      </c>
      <c r="M2344" s="151" t="str">
        <f t="shared" si="112"/>
        <v/>
      </c>
      <c r="N2344" s="151" t="str">
        <f t="shared" si="113"/>
        <v>/</v>
      </c>
      <c r="Q2344" s="239" t="str">
        <f t="shared" ca="1" si="111"/>
        <v/>
      </c>
    </row>
    <row r="2345" spans="3:17" ht="15.75" hidden="1" customHeight="1" outlineLevel="1" x14ac:dyDescent="0.25">
      <c r="C2345" s="207"/>
      <c r="D2345" s="196">
        <v>42699</v>
      </c>
      <c r="E2345" s="101" t="s">
        <v>1</v>
      </c>
      <c r="F2345" s="216" t="s">
        <v>50</v>
      </c>
      <c r="G2345" s="3" t="s">
        <v>56</v>
      </c>
      <c r="H2345" s="3" t="s">
        <v>56</v>
      </c>
      <c r="M2345" s="151" t="str">
        <f t="shared" si="112"/>
        <v/>
      </c>
      <c r="N2345" s="151" t="str">
        <f t="shared" si="113"/>
        <v>/</v>
      </c>
      <c r="Q2345" s="239" t="str">
        <f t="shared" ca="1" si="111"/>
        <v/>
      </c>
    </row>
    <row r="2346" spans="3:17" ht="15.75" hidden="1" customHeight="1" outlineLevel="1" x14ac:dyDescent="0.25">
      <c r="C2346" s="207"/>
      <c r="D2346" s="196">
        <v>42700</v>
      </c>
      <c r="E2346" s="101" t="s">
        <v>13</v>
      </c>
      <c r="F2346" s="216" t="s">
        <v>50</v>
      </c>
      <c r="G2346" s="3" t="s">
        <v>56</v>
      </c>
      <c r="H2346" s="3" t="s">
        <v>56</v>
      </c>
      <c r="M2346" s="151" t="str">
        <f t="shared" si="112"/>
        <v/>
      </c>
      <c r="N2346" s="151" t="str">
        <f t="shared" si="113"/>
        <v>/</v>
      </c>
      <c r="Q2346" s="239" t="str">
        <f t="shared" ca="1" si="111"/>
        <v/>
      </c>
    </row>
    <row r="2347" spans="3:17" ht="15.75" hidden="1" customHeight="1" outlineLevel="1" x14ac:dyDescent="0.25">
      <c r="C2347" s="207"/>
      <c r="D2347" s="196">
        <v>42703</v>
      </c>
      <c r="E2347" s="101" t="s">
        <v>10</v>
      </c>
      <c r="F2347" s="216" t="s">
        <v>49</v>
      </c>
      <c r="G2347" s="3" t="s">
        <v>56</v>
      </c>
      <c r="H2347" s="3" t="s">
        <v>56</v>
      </c>
      <c r="M2347" s="151" t="str">
        <f t="shared" si="112"/>
        <v>/</v>
      </c>
      <c r="N2347" s="151" t="str">
        <f t="shared" si="113"/>
        <v/>
      </c>
      <c r="Q2347" s="239" t="str">
        <f t="shared" ref="Q2347:Q2410" ca="1" si="114">IF(D2347=TODAY(),1,"")</f>
        <v/>
      </c>
    </row>
    <row r="2348" spans="3:17" ht="15.75" hidden="1" customHeight="1" outlineLevel="1" x14ac:dyDescent="0.25">
      <c r="C2348" s="207"/>
      <c r="D2348" s="196">
        <v>42704</v>
      </c>
      <c r="E2348" s="101" t="s">
        <v>645</v>
      </c>
      <c r="F2348" s="216" t="s">
        <v>50</v>
      </c>
      <c r="G2348" s="3" t="s">
        <v>56</v>
      </c>
      <c r="H2348" s="3" t="s">
        <v>56</v>
      </c>
      <c r="M2348" s="151" t="str">
        <f t="shared" si="112"/>
        <v/>
      </c>
      <c r="N2348" s="151" t="str">
        <f t="shared" si="113"/>
        <v>/</v>
      </c>
      <c r="Q2348" s="239" t="str">
        <f t="shared" ca="1" si="114"/>
        <v/>
      </c>
    </row>
    <row r="2349" spans="3:17" ht="15.75" hidden="1" customHeight="1" outlineLevel="1" x14ac:dyDescent="0.25">
      <c r="C2349" s="208"/>
      <c r="D2349" s="196">
        <v>42706</v>
      </c>
      <c r="E2349" s="101" t="s">
        <v>13</v>
      </c>
      <c r="F2349" s="216" t="s">
        <v>49</v>
      </c>
      <c r="G2349" s="3" t="s">
        <v>56</v>
      </c>
      <c r="H2349" s="3" t="s">
        <v>56</v>
      </c>
      <c r="M2349" s="151" t="str">
        <f t="shared" si="112"/>
        <v>/</v>
      </c>
      <c r="N2349" s="151" t="str">
        <f t="shared" si="113"/>
        <v/>
      </c>
      <c r="Q2349" s="239" t="str">
        <f t="shared" ca="1" si="114"/>
        <v/>
      </c>
    </row>
    <row r="2350" spans="3:17" ht="15.75" hidden="1" customHeight="1" outlineLevel="1" x14ac:dyDescent="0.25">
      <c r="C2350" s="208"/>
      <c r="D2350" s="196">
        <v>42709</v>
      </c>
      <c r="E2350" s="101" t="s">
        <v>8</v>
      </c>
      <c r="F2350" s="216" t="s">
        <v>50</v>
      </c>
      <c r="G2350" s="3" t="s">
        <v>56</v>
      </c>
      <c r="H2350" s="3" t="s">
        <v>56</v>
      </c>
      <c r="M2350" s="151" t="str">
        <f t="shared" si="112"/>
        <v/>
      </c>
      <c r="N2350" s="151" t="str">
        <f t="shared" si="113"/>
        <v>/</v>
      </c>
      <c r="Q2350" s="239" t="str">
        <f t="shared" ca="1" si="114"/>
        <v/>
      </c>
    </row>
    <row r="2351" spans="3:17" ht="15.75" hidden="1" customHeight="1" outlineLevel="1" x14ac:dyDescent="0.25">
      <c r="C2351" s="208"/>
      <c r="D2351" s="196">
        <v>42710</v>
      </c>
      <c r="E2351" s="101" t="s">
        <v>21</v>
      </c>
      <c r="F2351" s="216" t="s">
        <v>50</v>
      </c>
      <c r="G2351" s="3" t="s">
        <v>56</v>
      </c>
      <c r="H2351" s="3" t="s">
        <v>56</v>
      </c>
      <c r="M2351" s="151" t="str">
        <f t="shared" si="112"/>
        <v/>
      </c>
      <c r="N2351" s="151" t="str">
        <f t="shared" si="113"/>
        <v>/</v>
      </c>
      <c r="Q2351" s="239" t="str">
        <f t="shared" ca="1" si="114"/>
        <v/>
      </c>
    </row>
    <row r="2352" spans="3:17" ht="15.75" hidden="1" customHeight="1" outlineLevel="1" x14ac:dyDescent="0.25">
      <c r="C2352" s="208"/>
      <c r="D2352" s="196">
        <v>42712</v>
      </c>
      <c r="E2352" s="101" t="s">
        <v>2</v>
      </c>
      <c r="F2352" s="216" t="s">
        <v>50</v>
      </c>
      <c r="G2352" s="3" t="s">
        <v>56</v>
      </c>
      <c r="H2352" s="3" t="s">
        <v>56</v>
      </c>
      <c r="M2352" s="151" t="str">
        <f t="shared" si="112"/>
        <v/>
      </c>
      <c r="N2352" s="151" t="str">
        <f t="shared" si="113"/>
        <v>/</v>
      </c>
      <c r="Q2352" s="239" t="str">
        <f t="shared" ca="1" si="114"/>
        <v/>
      </c>
    </row>
    <row r="2353" spans="3:17" ht="15.75" hidden="1" customHeight="1" outlineLevel="1" x14ac:dyDescent="0.25">
      <c r="C2353" s="208"/>
      <c r="D2353" s="196">
        <v>42714</v>
      </c>
      <c r="E2353" s="101" t="s">
        <v>45</v>
      </c>
      <c r="F2353" s="216" t="s">
        <v>49</v>
      </c>
      <c r="G2353" s="3" t="s">
        <v>56</v>
      </c>
      <c r="H2353" s="3" t="s">
        <v>56</v>
      </c>
      <c r="M2353" s="151" t="str">
        <f t="shared" si="112"/>
        <v>/</v>
      </c>
      <c r="N2353" s="151" t="str">
        <f t="shared" si="113"/>
        <v/>
      </c>
      <c r="Q2353" s="239" t="str">
        <f t="shared" ca="1" si="114"/>
        <v/>
      </c>
    </row>
    <row r="2354" spans="3:17" ht="15.75" hidden="1" customHeight="1" outlineLevel="1" x14ac:dyDescent="0.25">
      <c r="C2354" s="208"/>
      <c r="D2354" s="196">
        <v>42718</v>
      </c>
      <c r="E2354" s="101" t="s">
        <v>1</v>
      </c>
      <c r="F2354" s="216" t="s">
        <v>49</v>
      </c>
      <c r="G2354" s="3" t="s">
        <v>56</v>
      </c>
      <c r="H2354" s="3" t="s">
        <v>56</v>
      </c>
      <c r="M2354" s="151" t="str">
        <f t="shared" si="112"/>
        <v>/</v>
      </c>
      <c r="N2354" s="151" t="str">
        <f t="shared" si="113"/>
        <v/>
      </c>
      <c r="Q2354" s="239" t="str">
        <f t="shared" ca="1" si="114"/>
        <v/>
      </c>
    </row>
    <row r="2355" spans="3:17" ht="15.75" hidden="1" customHeight="1" outlineLevel="1" x14ac:dyDescent="0.25">
      <c r="C2355" s="208"/>
      <c r="D2355" s="196">
        <v>42719</v>
      </c>
      <c r="E2355" s="101" t="s">
        <v>25</v>
      </c>
      <c r="F2355" s="216" t="s">
        <v>50</v>
      </c>
      <c r="G2355" s="3" t="s">
        <v>56</v>
      </c>
      <c r="H2355" s="3" t="s">
        <v>56</v>
      </c>
      <c r="M2355" s="151" t="str">
        <f t="shared" si="112"/>
        <v/>
      </c>
      <c r="N2355" s="151" t="str">
        <f t="shared" si="113"/>
        <v>/</v>
      </c>
      <c r="Q2355" s="239" t="str">
        <f t="shared" ca="1" si="114"/>
        <v/>
      </c>
    </row>
    <row r="2356" spans="3:17" ht="15.75" hidden="1" customHeight="1" outlineLevel="1" x14ac:dyDescent="0.25">
      <c r="C2356" s="208"/>
      <c r="D2356" s="196">
        <v>42722</v>
      </c>
      <c r="E2356" s="101" t="s">
        <v>22</v>
      </c>
      <c r="F2356" s="216" t="s">
        <v>49</v>
      </c>
      <c r="G2356" s="3" t="s">
        <v>56</v>
      </c>
      <c r="H2356" s="3" t="s">
        <v>56</v>
      </c>
      <c r="M2356" s="151" t="str">
        <f t="shared" si="112"/>
        <v>/</v>
      </c>
      <c r="N2356" s="151" t="str">
        <f t="shared" si="113"/>
        <v/>
      </c>
      <c r="Q2356" s="239" t="str">
        <f t="shared" ca="1" si="114"/>
        <v/>
      </c>
    </row>
    <row r="2357" spans="3:17" ht="15.75" hidden="1" customHeight="1" outlineLevel="1" x14ac:dyDescent="0.25">
      <c r="C2357" s="208"/>
      <c r="D2357" s="196">
        <v>42724</v>
      </c>
      <c r="E2357" s="101" t="s">
        <v>17</v>
      </c>
      <c r="F2357" s="216" t="s">
        <v>50</v>
      </c>
      <c r="G2357" s="3" t="s">
        <v>56</v>
      </c>
      <c r="H2357" s="3" t="s">
        <v>56</v>
      </c>
      <c r="M2357" s="151" t="str">
        <f t="shared" si="112"/>
        <v/>
      </c>
      <c r="N2357" s="151" t="str">
        <f t="shared" si="113"/>
        <v>/</v>
      </c>
      <c r="Q2357" s="239" t="str">
        <f t="shared" ca="1" si="114"/>
        <v/>
      </c>
    </row>
    <row r="2358" spans="3:17" ht="15.75" hidden="1" customHeight="1" outlineLevel="1" x14ac:dyDescent="0.25">
      <c r="C2358" s="208"/>
      <c r="D2358" s="196">
        <v>42726</v>
      </c>
      <c r="E2358" s="101" t="s">
        <v>18</v>
      </c>
      <c r="F2358" s="216" t="s">
        <v>50</v>
      </c>
      <c r="G2358" s="3" t="s">
        <v>56</v>
      </c>
      <c r="H2358" s="3" t="s">
        <v>56</v>
      </c>
      <c r="M2358" s="151" t="str">
        <f t="shared" si="112"/>
        <v/>
      </c>
      <c r="N2358" s="151" t="str">
        <f t="shared" si="113"/>
        <v>/</v>
      </c>
      <c r="Q2358" s="239" t="str">
        <f t="shared" ca="1" si="114"/>
        <v/>
      </c>
    </row>
    <row r="2359" spans="3:17" ht="15.75" hidden="1" customHeight="1" outlineLevel="1" x14ac:dyDescent="0.25">
      <c r="C2359" s="208"/>
      <c r="D2359" s="196">
        <v>42727</v>
      </c>
      <c r="E2359" s="101" t="s">
        <v>24</v>
      </c>
      <c r="F2359" s="216" t="s">
        <v>50</v>
      </c>
      <c r="G2359" s="3" t="s">
        <v>56</v>
      </c>
      <c r="H2359" s="3" t="s">
        <v>56</v>
      </c>
      <c r="M2359" s="151" t="str">
        <f t="shared" si="112"/>
        <v/>
      </c>
      <c r="N2359" s="151" t="str">
        <f t="shared" si="113"/>
        <v>/</v>
      </c>
      <c r="Q2359" s="239" t="str">
        <f t="shared" ca="1" si="114"/>
        <v/>
      </c>
    </row>
    <row r="2360" spans="3:17" ht="15.75" hidden="1" customHeight="1" outlineLevel="1" x14ac:dyDescent="0.25">
      <c r="C2360" s="208"/>
      <c r="D2360" s="196">
        <v>42729</v>
      </c>
      <c r="E2360" s="101" t="s">
        <v>2</v>
      </c>
      <c r="F2360" s="216" t="s">
        <v>49</v>
      </c>
      <c r="G2360" s="3" t="s">
        <v>56</v>
      </c>
      <c r="H2360" s="3" t="s">
        <v>56</v>
      </c>
      <c r="M2360" s="151" t="str">
        <f t="shared" si="112"/>
        <v>/</v>
      </c>
      <c r="N2360" s="151" t="str">
        <f t="shared" si="113"/>
        <v/>
      </c>
      <c r="Q2360" s="239" t="str">
        <f t="shared" ca="1" si="114"/>
        <v/>
      </c>
    </row>
    <row r="2361" spans="3:17" ht="15.75" hidden="1" customHeight="1" outlineLevel="1" x14ac:dyDescent="0.25">
      <c r="C2361" s="208"/>
      <c r="D2361" s="196">
        <v>42732</v>
      </c>
      <c r="E2361" s="101" t="s">
        <v>25</v>
      </c>
      <c r="F2361" s="216" t="s">
        <v>49</v>
      </c>
      <c r="G2361" s="3" t="s">
        <v>56</v>
      </c>
      <c r="H2361" s="3" t="s">
        <v>56</v>
      </c>
      <c r="M2361" s="151" t="str">
        <f t="shared" si="112"/>
        <v>/</v>
      </c>
      <c r="N2361" s="151" t="str">
        <f t="shared" si="113"/>
        <v/>
      </c>
      <c r="Q2361" s="239" t="str">
        <f t="shared" ca="1" si="114"/>
        <v/>
      </c>
    </row>
    <row r="2362" spans="3:17" ht="15.75" hidden="1" customHeight="1" outlineLevel="1" x14ac:dyDescent="0.25">
      <c r="C2362" s="208"/>
      <c r="D2362" s="196">
        <v>42734</v>
      </c>
      <c r="E2362" s="101" t="s">
        <v>24</v>
      </c>
      <c r="F2362" s="216" t="s">
        <v>49</v>
      </c>
      <c r="G2362" s="3" t="s">
        <v>56</v>
      </c>
      <c r="H2362" s="3" t="s">
        <v>56</v>
      </c>
      <c r="M2362" s="151" t="str">
        <f t="shared" si="112"/>
        <v>/</v>
      </c>
      <c r="N2362" s="151" t="str">
        <f t="shared" si="113"/>
        <v/>
      </c>
      <c r="Q2362" s="239" t="str">
        <f t="shared" ca="1" si="114"/>
        <v/>
      </c>
    </row>
    <row r="2363" spans="3:17" ht="15.75" hidden="1" customHeight="1" outlineLevel="1" x14ac:dyDescent="0.25">
      <c r="C2363" s="207"/>
      <c r="D2363" s="196">
        <v>42370</v>
      </c>
      <c r="E2363" s="101" t="s">
        <v>0</v>
      </c>
      <c r="F2363" s="216" t="s">
        <v>50</v>
      </c>
      <c r="G2363" s="3" t="s">
        <v>56</v>
      </c>
      <c r="H2363" s="3" t="s">
        <v>56</v>
      </c>
      <c r="M2363" s="151" t="str">
        <f t="shared" si="112"/>
        <v/>
      </c>
      <c r="N2363" s="151" t="str">
        <f t="shared" si="113"/>
        <v>/</v>
      </c>
      <c r="Q2363" s="239" t="str">
        <f t="shared" ca="1" si="114"/>
        <v/>
      </c>
    </row>
    <row r="2364" spans="3:17" ht="15.75" hidden="1" customHeight="1" outlineLevel="1" x14ac:dyDescent="0.25">
      <c r="C2364" s="207"/>
      <c r="D2364" s="196">
        <v>42372</v>
      </c>
      <c r="E2364" s="101" t="s">
        <v>12</v>
      </c>
      <c r="F2364" s="216" t="s">
        <v>49</v>
      </c>
      <c r="G2364" s="3" t="s">
        <v>56</v>
      </c>
      <c r="H2364" s="3" t="s">
        <v>56</v>
      </c>
      <c r="M2364" s="151" t="str">
        <f t="shared" si="112"/>
        <v>/</v>
      </c>
      <c r="N2364" s="151" t="str">
        <f t="shared" si="113"/>
        <v/>
      </c>
      <c r="Q2364" s="239" t="str">
        <f t="shared" ca="1" si="114"/>
        <v/>
      </c>
    </row>
    <row r="2365" spans="3:17" ht="15.75" hidden="1" customHeight="1" outlineLevel="1" x14ac:dyDescent="0.25">
      <c r="C2365" s="207"/>
      <c r="D2365" s="196">
        <v>42374</v>
      </c>
      <c r="E2365" s="101" t="s">
        <v>15</v>
      </c>
      <c r="F2365" s="216" t="s">
        <v>50</v>
      </c>
      <c r="G2365" s="3" t="s">
        <v>56</v>
      </c>
      <c r="H2365" s="3" t="s">
        <v>56</v>
      </c>
      <c r="M2365" s="151" t="str">
        <f t="shared" si="112"/>
        <v/>
      </c>
      <c r="N2365" s="151" t="str">
        <f t="shared" si="113"/>
        <v>/</v>
      </c>
      <c r="Q2365" s="239" t="str">
        <f t="shared" ca="1" si="114"/>
        <v/>
      </c>
    </row>
    <row r="2366" spans="3:17" ht="15.75" hidden="1" customHeight="1" outlineLevel="1" x14ac:dyDescent="0.25">
      <c r="C2366" s="207"/>
      <c r="D2366" s="196">
        <v>42376</v>
      </c>
      <c r="E2366" s="101" t="s">
        <v>3</v>
      </c>
      <c r="F2366" s="216" t="s">
        <v>49</v>
      </c>
      <c r="G2366" s="3" t="s">
        <v>56</v>
      </c>
      <c r="H2366" s="3" t="s">
        <v>56</v>
      </c>
      <c r="M2366" s="151" t="str">
        <f t="shared" si="112"/>
        <v>/</v>
      </c>
      <c r="N2366" s="151" t="str">
        <f t="shared" si="113"/>
        <v/>
      </c>
      <c r="Q2366" s="239" t="str">
        <f t="shared" ca="1" si="114"/>
        <v/>
      </c>
    </row>
    <row r="2367" spans="3:17" ht="15.75" hidden="1" customHeight="1" outlineLevel="1" x14ac:dyDescent="0.25">
      <c r="C2367" s="207"/>
      <c r="D2367" s="196">
        <v>42379</v>
      </c>
      <c r="E2367" s="101" t="s">
        <v>8</v>
      </c>
      <c r="F2367" s="216" t="s">
        <v>49</v>
      </c>
      <c r="G2367" s="3" t="s">
        <v>56</v>
      </c>
      <c r="H2367" s="3" t="s">
        <v>56</v>
      </c>
      <c r="M2367" s="151" t="str">
        <f t="shared" si="112"/>
        <v>/</v>
      </c>
      <c r="N2367" s="151" t="str">
        <f t="shared" si="113"/>
        <v/>
      </c>
      <c r="Q2367" s="239" t="str">
        <f t="shared" ca="1" si="114"/>
        <v/>
      </c>
    </row>
    <row r="2368" spans="3:17" ht="15.75" hidden="1" customHeight="1" outlineLevel="1" x14ac:dyDescent="0.25">
      <c r="C2368" s="207"/>
      <c r="D2368" s="196">
        <v>42381</v>
      </c>
      <c r="E2368" s="101" t="s">
        <v>644</v>
      </c>
      <c r="F2368" s="216" t="s">
        <v>49</v>
      </c>
      <c r="G2368" s="3" t="s">
        <v>56</v>
      </c>
      <c r="H2368" s="3" t="s">
        <v>56</v>
      </c>
      <c r="M2368" s="151" t="str">
        <f t="shared" si="112"/>
        <v>/</v>
      </c>
      <c r="N2368" s="151" t="str">
        <f t="shared" si="113"/>
        <v/>
      </c>
      <c r="Q2368" s="239" t="str">
        <f t="shared" ca="1" si="114"/>
        <v/>
      </c>
    </row>
    <row r="2369" spans="3:17" ht="15.75" hidden="1" customHeight="1" outlineLevel="1" x14ac:dyDescent="0.25">
      <c r="C2369" s="207"/>
      <c r="D2369" s="196">
        <v>42383</v>
      </c>
      <c r="E2369" s="101" t="s">
        <v>25</v>
      </c>
      <c r="F2369" s="216" t="s">
        <v>50</v>
      </c>
      <c r="G2369" s="3" t="s">
        <v>56</v>
      </c>
      <c r="H2369" s="3" t="s">
        <v>56</v>
      </c>
      <c r="M2369" s="151" t="str">
        <f t="shared" si="112"/>
        <v/>
      </c>
      <c r="N2369" s="151" t="str">
        <f t="shared" si="113"/>
        <v>/</v>
      </c>
      <c r="Q2369" s="239" t="str">
        <f t="shared" ca="1" si="114"/>
        <v/>
      </c>
    </row>
    <row r="2370" spans="3:17" ht="15.75" hidden="1" customHeight="1" outlineLevel="1" x14ac:dyDescent="0.25">
      <c r="C2370" s="207"/>
      <c r="D2370" s="196">
        <v>42386</v>
      </c>
      <c r="E2370" s="101" t="s">
        <v>21</v>
      </c>
      <c r="F2370" s="216" t="s">
        <v>49</v>
      </c>
      <c r="G2370" s="3" t="s">
        <v>56</v>
      </c>
      <c r="H2370" s="3" t="s">
        <v>56</v>
      </c>
      <c r="M2370" s="151" t="str">
        <f t="shared" si="112"/>
        <v>/</v>
      </c>
      <c r="N2370" s="151" t="str">
        <f t="shared" si="113"/>
        <v/>
      </c>
      <c r="Q2370" s="239" t="str">
        <f t="shared" ca="1" si="114"/>
        <v/>
      </c>
    </row>
    <row r="2371" spans="3:17" ht="15.75" hidden="1" customHeight="1" outlineLevel="1" x14ac:dyDescent="0.25">
      <c r="C2371" s="207"/>
      <c r="D2371" s="196">
        <v>42388</v>
      </c>
      <c r="E2371" s="101" t="s">
        <v>15</v>
      </c>
      <c r="F2371" s="216" t="s">
        <v>49</v>
      </c>
      <c r="G2371" s="3" t="s">
        <v>56</v>
      </c>
      <c r="H2371" s="3" t="s">
        <v>56</v>
      </c>
      <c r="M2371" s="151" t="str">
        <f t="shared" si="112"/>
        <v>/</v>
      </c>
      <c r="N2371" s="151" t="str">
        <f t="shared" si="113"/>
        <v/>
      </c>
      <c r="Q2371" s="239" t="str">
        <f t="shared" ca="1" si="114"/>
        <v/>
      </c>
    </row>
    <row r="2372" spans="3:17" ht="15.75" hidden="1" customHeight="1" outlineLevel="1" x14ac:dyDescent="0.25">
      <c r="C2372" s="207"/>
      <c r="D2372" s="196">
        <v>42390</v>
      </c>
      <c r="E2372" s="101" t="s">
        <v>4</v>
      </c>
      <c r="F2372" s="216" t="s">
        <v>50</v>
      </c>
      <c r="G2372" s="3" t="s">
        <v>56</v>
      </c>
      <c r="H2372" s="3" t="s">
        <v>56</v>
      </c>
      <c r="M2372" s="151" t="str">
        <f t="shared" si="112"/>
        <v/>
      </c>
      <c r="N2372" s="151" t="str">
        <f t="shared" si="113"/>
        <v>/</v>
      </c>
      <c r="Q2372" s="239" t="str">
        <f t="shared" ca="1" si="114"/>
        <v/>
      </c>
    </row>
    <row r="2373" spans="3:17" ht="15.75" hidden="1" customHeight="1" outlineLevel="1" x14ac:dyDescent="0.25">
      <c r="C2373" s="207"/>
      <c r="D2373" s="196">
        <v>42392</v>
      </c>
      <c r="E2373" s="101" t="s">
        <v>45</v>
      </c>
      <c r="F2373" s="216" t="s">
        <v>50</v>
      </c>
      <c r="G2373" s="3" t="s">
        <v>56</v>
      </c>
      <c r="H2373" s="3" t="s">
        <v>56</v>
      </c>
      <c r="M2373" s="151" t="str">
        <f t="shared" si="112"/>
        <v/>
      </c>
      <c r="N2373" s="151" t="str">
        <f t="shared" si="113"/>
        <v>/</v>
      </c>
      <c r="Q2373" s="239" t="str">
        <f t="shared" ca="1" si="114"/>
        <v/>
      </c>
    </row>
    <row r="2374" spans="3:17" ht="15.75" hidden="1" customHeight="1" outlineLevel="1" x14ac:dyDescent="0.25">
      <c r="C2374" s="207"/>
      <c r="D2374" s="196">
        <v>42393</v>
      </c>
      <c r="E2374" s="101" t="s">
        <v>12</v>
      </c>
      <c r="F2374" s="216" t="s">
        <v>50</v>
      </c>
      <c r="G2374" s="3" t="s">
        <v>56</v>
      </c>
      <c r="H2374" s="3" t="s">
        <v>56</v>
      </c>
      <c r="M2374" s="151" t="str">
        <f t="shared" si="112"/>
        <v/>
      </c>
      <c r="N2374" s="151" t="str">
        <f t="shared" si="113"/>
        <v>/</v>
      </c>
      <c r="Q2374" s="239" t="str">
        <f t="shared" ca="1" si="114"/>
        <v/>
      </c>
    </row>
    <row r="2375" spans="3:17" ht="15.75" hidden="1" customHeight="1" outlineLevel="1" x14ac:dyDescent="0.25">
      <c r="C2375" s="207"/>
      <c r="D2375" s="196">
        <v>42396</v>
      </c>
      <c r="E2375" s="101" t="s">
        <v>22</v>
      </c>
      <c r="F2375" s="216" t="s">
        <v>50</v>
      </c>
      <c r="G2375" s="3" t="s">
        <v>56</v>
      </c>
      <c r="H2375" s="3" t="s">
        <v>56</v>
      </c>
      <c r="M2375" s="151" t="str">
        <f t="shared" ref="M2375:M2438" si="115">IF(F2375="D",H2375,"")</f>
        <v/>
      </c>
      <c r="N2375" s="151" t="str">
        <f t="shared" ref="N2375:N2438" si="116">IF(F2375="E",H2375,"")</f>
        <v>/</v>
      </c>
      <c r="Q2375" s="239" t="str">
        <f t="shared" ca="1" si="114"/>
        <v/>
      </c>
    </row>
    <row r="2376" spans="3:17" ht="15.75" hidden="1" customHeight="1" outlineLevel="1" x14ac:dyDescent="0.25">
      <c r="C2376" s="207"/>
      <c r="D2376" s="196">
        <v>42398</v>
      </c>
      <c r="E2376" s="101" t="s">
        <v>645</v>
      </c>
      <c r="F2376" s="216" t="s">
        <v>49</v>
      </c>
      <c r="G2376" s="3" t="s">
        <v>56</v>
      </c>
      <c r="H2376" s="3" t="s">
        <v>56</v>
      </c>
      <c r="M2376" s="151" t="str">
        <f t="shared" si="115"/>
        <v>/</v>
      </c>
      <c r="N2376" s="151" t="str">
        <f t="shared" si="116"/>
        <v/>
      </c>
      <c r="Q2376" s="239" t="str">
        <f t="shared" ca="1" si="114"/>
        <v/>
      </c>
    </row>
    <row r="2377" spans="3:17" ht="15.75" hidden="1" customHeight="1" outlineLevel="1" x14ac:dyDescent="0.25">
      <c r="C2377" s="207"/>
      <c r="D2377" s="196">
        <v>42400</v>
      </c>
      <c r="E2377" s="101" t="s">
        <v>23</v>
      </c>
      <c r="F2377" s="216" t="s">
        <v>49</v>
      </c>
      <c r="G2377" s="3" t="s">
        <v>56</v>
      </c>
      <c r="H2377" s="3" t="s">
        <v>56</v>
      </c>
      <c r="M2377" s="151" t="str">
        <f t="shared" si="115"/>
        <v>/</v>
      </c>
      <c r="N2377" s="151" t="str">
        <f t="shared" si="116"/>
        <v/>
      </c>
      <c r="Q2377" s="239" t="str">
        <f t="shared" ca="1" si="114"/>
        <v/>
      </c>
    </row>
    <row r="2378" spans="3:17" ht="15.75" hidden="1" customHeight="1" outlineLevel="1" x14ac:dyDescent="0.25">
      <c r="C2378" s="208"/>
      <c r="D2378" s="196">
        <v>42402</v>
      </c>
      <c r="E2378" s="101" t="s">
        <v>11</v>
      </c>
      <c r="F2378" s="216" t="s">
        <v>49</v>
      </c>
      <c r="G2378" s="3" t="s">
        <v>56</v>
      </c>
      <c r="H2378" s="3" t="s">
        <v>56</v>
      </c>
      <c r="M2378" s="151" t="str">
        <f t="shared" si="115"/>
        <v>/</v>
      </c>
      <c r="N2378" s="151" t="str">
        <f t="shared" si="116"/>
        <v/>
      </c>
      <c r="Q2378" s="239" t="str">
        <f t="shared" ca="1" si="114"/>
        <v/>
      </c>
    </row>
    <row r="2379" spans="3:17" ht="15.75" hidden="1" customHeight="1" outlineLevel="1" x14ac:dyDescent="0.25">
      <c r="C2379" s="208"/>
      <c r="D2379" s="196">
        <v>42404</v>
      </c>
      <c r="E2379" s="101" t="s">
        <v>15</v>
      </c>
      <c r="F2379" s="216" t="s">
        <v>49</v>
      </c>
      <c r="G2379" s="3" t="s">
        <v>56</v>
      </c>
      <c r="H2379" s="3" t="s">
        <v>56</v>
      </c>
      <c r="M2379" s="151" t="str">
        <f t="shared" si="115"/>
        <v>/</v>
      </c>
      <c r="N2379" s="151" t="str">
        <f t="shared" si="116"/>
        <v/>
      </c>
      <c r="Q2379" s="239" t="str">
        <f t="shared" ca="1" si="114"/>
        <v/>
      </c>
    </row>
    <row r="2380" spans="3:17" ht="15.75" hidden="1" customHeight="1" outlineLevel="1" x14ac:dyDescent="0.25">
      <c r="C2380" s="208"/>
      <c r="D2380" s="196">
        <v>42406</v>
      </c>
      <c r="E2380" s="101" t="s">
        <v>20</v>
      </c>
      <c r="F2380" s="216" t="s">
        <v>50</v>
      </c>
      <c r="G2380" s="3" t="s">
        <v>56</v>
      </c>
      <c r="H2380" s="3" t="s">
        <v>56</v>
      </c>
      <c r="M2380" s="151" t="str">
        <f t="shared" si="115"/>
        <v/>
      </c>
      <c r="N2380" s="151" t="str">
        <f t="shared" si="116"/>
        <v>/</v>
      </c>
      <c r="Q2380" s="239" t="str">
        <f t="shared" ca="1" si="114"/>
        <v/>
      </c>
    </row>
    <row r="2381" spans="3:17" ht="15.75" hidden="1" customHeight="1" outlineLevel="1" x14ac:dyDescent="0.25">
      <c r="C2381" s="208"/>
      <c r="D2381" s="196">
        <v>42408</v>
      </c>
      <c r="E2381" s="101" t="s">
        <v>11</v>
      </c>
      <c r="F2381" s="216" t="s">
        <v>50</v>
      </c>
      <c r="G2381" s="3" t="s">
        <v>56</v>
      </c>
      <c r="H2381" s="3" t="s">
        <v>56</v>
      </c>
      <c r="M2381" s="151" t="str">
        <f t="shared" si="115"/>
        <v/>
      </c>
      <c r="N2381" s="151" t="str">
        <f t="shared" si="116"/>
        <v>/</v>
      </c>
      <c r="Q2381" s="239" t="str">
        <f t="shared" ca="1" si="114"/>
        <v/>
      </c>
    </row>
    <row r="2382" spans="3:17" ht="15.75" hidden="1" customHeight="1" outlineLevel="1" x14ac:dyDescent="0.25">
      <c r="C2382" s="208"/>
      <c r="D2382" s="196">
        <v>42410</v>
      </c>
      <c r="E2382" s="101" t="s">
        <v>5</v>
      </c>
      <c r="F2382" s="216" t="s">
        <v>50</v>
      </c>
      <c r="G2382" s="3" t="s">
        <v>56</v>
      </c>
      <c r="H2382" s="3" t="s">
        <v>56</v>
      </c>
      <c r="M2382" s="151" t="str">
        <f t="shared" si="115"/>
        <v/>
      </c>
      <c r="N2382" s="151" t="str">
        <f t="shared" si="116"/>
        <v>/</v>
      </c>
      <c r="Q2382" s="239" t="str">
        <f t="shared" ca="1" si="114"/>
        <v/>
      </c>
    </row>
    <row r="2383" spans="3:17" ht="15.75" hidden="1" customHeight="1" outlineLevel="1" x14ac:dyDescent="0.25">
      <c r="C2383" s="208"/>
      <c r="D2383" s="196">
        <v>42412</v>
      </c>
      <c r="E2383" s="101" t="s">
        <v>9</v>
      </c>
      <c r="F2383" s="216" t="s">
        <v>50</v>
      </c>
      <c r="G2383" s="3" t="s">
        <v>56</v>
      </c>
      <c r="H2383" s="3" t="s">
        <v>56</v>
      </c>
      <c r="M2383" s="151" t="str">
        <f t="shared" si="115"/>
        <v/>
      </c>
      <c r="N2383" s="151" t="str">
        <f t="shared" si="116"/>
        <v>/</v>
      </c>
      <c r="Q2383" s="239" t="str">
        <f t="shared" ca="1" si="114"/>
        <v/>
      </c>
    </row>
    <row r="2384" spans="3:17" ht="15.75" hidden="1" customHeight="1" outlineLevel="1" x14ac:dyDescent="0.25">
      <c r="C2384" s="208"/>
      <c r="D2384" s="196">
        <v>42413</v>
      </c>
      <c r="E2384" s="101" t="s">
        <v>7</v>
      </c>
      <c r="F2384" s="216" t="s">
        <v>50</v>
      </c>
      <c r="G2384" s="3" t="s">
        <v>56</v>
      </c>
      <c r="H2384" s="3" t="s">
        <v>56</v>
      </c>
      <c r="M2384" s="151" t="str">
        <f t="shared" si="115"/>
        <v/>
      </c>
      <c r="N2384" s="151" t="str">
        <f t="shared" si="116"/>
        <v>/</v>
      </c>
      <c r="Q2384" s="239" t="str">
        <f t="shared" ca="1" si="114"/>
        <v/>
      </c>
    </row>
    <row r="2385" spans="3:17" ht="15.75" hidden="1" customHeight="1" outlineLevel="1" x14ac:dyDescent="0.25">
      <c r="C2385" s="208"/>
      <c r="D2385" s="196">
        <v>42415</v>
      </c>
      <c r="E2385" s="101" t="s">
        <v>10</v>
      </c>
      <c r="F2385" s="216" t="s">
        <v>50</v>
      </c>
      <c r="G2385" s="3" t="s">
        <v>56</v>
      </c>
      <c r="H2385" s="3" t="s">
        <v>56</v>
      </c>
      <c r="M2385" s="151" t="str">
        <f t="shared" si="115"/>
        <v/>
      </c>
      <c r="N2385" s="151" t="str">
        <f t="shared" si="116"/>
        <v>/</v>
      </c>
      <c r="Q2385" s="239" t="str">
        <f t="shared" ca="1" si="114"/>
        <v/>
      </c>
    </row>
    <row r="2386" spans="3:17" ht="15.75" hidden="1" customHeight="1" outlineLevel="1" x14ac:dyDescent="0.25">
      <c r="C2386" s="208"/>
      <c r="D2386" s="196">
        <v>42424</v>
      </c>
      <c r="E2386" s="101" t="s">
        <v>18</v>
      </c>
      <c r="F2386" s="216" t="s">
        <v>50</v>
      </c>
      <c r="G2386" s="3" t="s">
        <v>56</v>
      </c>
      <c r="H2386" s="3" t="s">
        <v>56</v>
      </c>
      <c r="M2386" s="151" t="str">
        <f t="shared" si="115"/>
        <v/>
      </c>
      <c r="N2386" s="151" t="str">
        <f t="shared" si="116"/>
        <v>/</v>
      </c>
      <c r="Q2386" s="239" t="str">
        <f t="shared" ca="1" si="114"/>
        <v/>
      </c>
    </row>
    <row r="2387" spans="3:17" ht="15.75" hidden="1" customHeight="1" outlineLevel="1" x14ac:dyDescent="0.25">
      <c r="C2387" s="208"/>
      <c r="D2387" s="196">
        <v>42426</v>
      </c>
      <c r="E2387" s="101" t="s">
        <v>644</v>
      </c>
      <c r="F2387" s="216" t="s">
        <v>50</v>
      </c>
      <c r="G2387" s="3" t="s">
        <v>56</v>
      </c>
      <c r="H2387" s="3" t="s">
        <v>56</v>
      </c>
      <c r="M2387" s="151" t="str">
        <f t="shared" si="115"/>
        <v/>
      </c>
      <c r="N2387" s="151" t="str">
        <f t="shared" si="116"/>
        <v>/</v>
      </c>
      <c r="Q2387" s="239" t="str">
        <f t="shared" ca="1" si="114"/>
        <v/>
      </c>
    </row>
    <row r="2388" spans="3:17" ht="15.75" hidden="1" customHeight="1" outlineLevel="1" x14ac:dyDescent="0.25">
      <c r="C2388" s="207"/>
      <c r="D2388" s="196">
        <v>42430</v>
      </c>
      <c r="E2388" s="101" t="s">
        <v>7</v>
      </c>
      <c r="F2388" s="216" t="s">
        <v>49</v>
      </c>
      <c r="G2388" s="3" t="s">
        <v>56</v>
      </c>
      <c r="H2388" s="3" t="s">
        <v>56</v>
      </c>
      <c r="M2388" s="151" t="str">
        <f t="shared" si="115"/>
        <v>/</v>
      </c>
      <c r="N2388" s="151" t="str">
        <f t="shared" si="116"/>
        <v/>
      </c>
      <c r="Q2388" s="239" t="str">
        <f t="shared" ca="1" si="114"/>
        <v/>
      </c>
    </row>
    <row r="2389" spans="3:17" ht="15.75" hidden="1" customHeight="1" outlineLevel="1" x14ac:dyDescent="0.25">
      <c r="C2389" s="207"/>
      <c r="D2389" s="196">
        <v>42432</v>
      </c>
      <c r="E2389" s="101" t="s">
        <v>22</v>
      </c>
      <c r="F2389" s="216" t="s">
        <v>50</v>
      </c>
      <c r="G2389" s="3" t="s">
        <v>56</v>
      </c>
      <c r="H2389" s="3" t="s">
        <v>56</v>
      </c>
      <c r="M2389" s="151" t="str">
        <f t="shared" si="115"/>
        <v/>
      </c>
      <c r="N2389" s="151" t="str">
        <f t="shared" si="116"/>
        <v>/</v>
      </c>
      <c r="Q2389" s="239" t="str">
        <f t="shared" ca="1" si="114"/>
        <v/>
      </c>
    </row>
    <row r="2390" spans="3:17" ht="15.75" hidden="1" customHeight="1" outlineLevel="1" x14ac:dyDescent="0.25">
      <c r="C2390" s="207"/>
      <c r="D2390" s="196">
        <v>42433</v>
      </c>
      <c r="E2390" s="101" t="s">
        <v>21</v>
      </c>
      <c r="F2390" s="216" t="s">
        <v>49</v>
      </c>
      <c r="G2390" s="3" t="s">
        <v>56</v>
      </c>
      <c r="H2390" s="3" t="s">
        <v>56</v>
      </c>
      <c r="M2390" s="151" t="str">
        <f t="shared" si="115"/>
        <v>/</v>
      </c>
      <c r="N2390" s="151" t="str">
        <f t="shared" si="116"/>
        <v/>
      </c>
      <c r="Q2390" s="239" t="str">
        <f t="shared" ca="1" si="114"/>
        <v/>
      </c>
    </row>
    <row r="2391" spans="3:17" ht="15.75" hidden="1" customHeight="1" outlineLevel="1" x14ac:dyDescent="0.25">
      <c r="C2391" s="207"/>
      <c r="D2391" s="196">
        <v>42435</v>
      </c>
      <c r="E2391" s="101" t="s">
        <v>17</v>
      </c>
      <c r="F2391" s="216" t="s">
        <v>49</v>
      </c>
      <c r="G2391" s="3" t="s">
        <v>56</v>
      </c>
      <c r="H2391" s="3" t="s">
        <v>56</v>
      </c>
      <c r="M2391" s="151" t="str">
        <f t="shared" si="115"/>
        <v>/</v>
      </c>
      <c r="N2391" s="151" t="str">
        <f t="shared" si="116"/>
        <v/>
      </c>
      <c r="Q2391" s="239" t="str">
        <f t="shared" ca="1" si="114"/>
        <v/>
      </c>
    </row>
    <row r="2392" spans="3:17" ht="15.75" hidden="1" customHeight="1" outlineLevel="1" x14ac:dyDescent="0.25">
      <c r="C2392" s="207"/>
      <c r="D2392" s="196">
        <v>42437</v>
      </c>
      <c r="E2392" s="101" t="s">
        <v>26</v>
      </c>
      <c r="F2392" s="216" t="s">
        <v>49</v>
      </c>
      <c r="G2392" s="3" t="s">
        <v>56</v>
      </c>
      <c r="H2392" s="3" t="s">
        <v>56</v>
      </c>
      <c r="M2392" s="151" t="str">
        <f t="shared" si="115"/>
        <v>/</v>
      </c>
      <c r="N2392" s="151" t="str">
        <f t="shared" si="116"/>
        <v/>
      </c>
      <c r="Q2392" s="239" t="str">
        <f t="shared" ca="1" si="114"/>
        <v/>
      </c>
    </row>
    <row r="2393" spans="3:17" ht="15.75" hidden="1" customHeight="1" outlineLevel="1" x14ac:dyDescent="0.25">
      <c r="C2393" s="207"/>
      <c r="D2393" s="196">
        <v>42438</v>
      </c>
      <c r="E2393" s="101" t="s">
        <v>23</v>
      </c>
      <c r="F2393" s="216" t="s">
        <v>50</v>
      </c>
      <c r="G2393" s="3" t="s">
        <v>56</v>
      </c>
      <c r="H2393" s="3" t="s">
        <v>56</v>
      </c>
      <c r="M2393" s="151" t="str">
        <f t="shared" si="115"/>
        <v/>
      </c>
      <c r="N2393" s="151" t="str">
        <f t="shared" si="116"/>
        <v>/</v>
      </c>
      <c r="Q2393" s="239" t="str">
        <f t="shared" ca="1" si="114"/>
        <v/>
      </c>
    </row>
    <row r="2394" spans="3:17" ht="15.75" hidden="1" customHeight="1" outlineLevel="1" x14ac:dyDescent="0.25">
      <c r="C2394" s="207"/>
      <c r="D2394" s="196">
        <v>42440</v>
      </c>
      <c r="E2394" s="101" t="s">
        <v>16</v>
      </c>
      <c r="F2394" s="216" t="s">
        <v>49</v>
      </c>
      <c r="G2394" s="3" t="s">
        <v>56</v>
      </c>
      <c r="H2394" s="3" t="s">
        <v>56</v>
      </c>
      <c r="M2394" s="151" t="str">
        <f t="shared" si="115"/>
        <v>/</v>
      </c>
      <c r="N2394" s="151" t="str">
        <f t="shared" si="116"/>
        <v/>
      </c>
      <c r="Q2394" s="239" t="str">
        <f t="shared" ca="1" si="114"/>
        <v/>
      </c>
    </row>
    <row r="2395" spans="3:17" ht="15.75" hidden="1" customHeight="1" outlineLevel="1" x14ac:dyDescent="0.25">
      <c r="C2395" s="207"/>
      <c r="D2395" s="196">
        <v>42442</v>
      </c>
      <c r="E2395" s="101" t="s">
        <v>0</v>
      </c>
      <c r="F2395" s="216" t="s">
        <v>49</v>
      </c>
      <c r="G2395" s="3" t="s">
        <v>56</v>
      </c>
      <c r="H2395" s="3" t="s">
        <v>56</v>
      </c>
      <c r="M2395" s="151" t="str">
        <f t="shared" si="115"/>
        <v>/</v>
      </c>
      <c r="N2395" s="151" t="str">
        <f t="shared" si="116"/>
        <v/>
      </c>
      <c r="Q2395" s="239" t="str">
        <f t="shared" ca="1" si="114"/>
        <v/>
      </c>
    </row>
    <row r="2396" spans="3:17" ht="15.75" hidden="1" customHeight="1" outlineLevel="1" x14ac:dyDescent="0.25">
      <c r="C2396" s="207"/>
      <c r="D2396" s="196">
        <v>42444</v>
      </c>
      <c r="E2396" s="101" t="s">
        <v>24</v>
      </c>
      <c r="F2396" s="216" t="s">
        <v>49</v>
      </c>
      <c r="G2396" s="3" t="s">
        <v>56</v>
      </c>
      <c r="H2396" s="3" t="s">
        <v>56</v>
      </c>
      <c r="M2396" s="151" t="str">
        <f t="shared" si="115"/>
        <v>/</v>
      </c>
      <c r="N2396" s="151" t="str">
        <f t="shared" si="116"/>
        <v/>
      </c>
      <c r="Q2396" s="239" t="str">
        <f t="shared" ca="1" si="114"/>
        <v/>
      </c>
    </row>
    <row r="2397" spans="3:17" ht="15.75" hidden="1" customHeight="1" outlineLevel="1" x14ac:dyDescent="0.25">
      <c r="C2397" s="207"/>
      <c r="D2397" s="196">
        <v>42447</v>
      </c>
      <c r="E2397" s="101" t="s">
        <v>20</v>
      </c>
      <c r="F2397" s="216" t="s">
        <v>50</v>
      </c>
      <c r="G2397" s="3" t="s">
        <v>56</v>
      </c>
      <c r="H2397" s="3" t="s">
        <v>56</v>
      </c>
      <c r="M2397" s="151" t="str">
        <f t="shared" si="115"/>
        <v/>
      </c>
      <c r="N2397" s="151" t="str">
        <f t="shared" si="116"/>
        <v>/</v>
      </c>
      <c r="Q2397" s="239" t="str">
        <f t="shared" ca="1" si="114"/>
        <v/>
      </c>
    </row>
    <row r="2398" spans="3:17" ht="15.75" hidden="1" customHeight="1" outlineLevel="1" x14ac:dyDescent="0.25">
      <c r="C2398" s="207"/>
      <c r="D2398" s="196">
        <v>42448</v>
      </c>
      <c r="E2398" s="101" t="s">
        <v>26</v>
      </c>
      <c r="F2398" s="216" t="s">
        <v>49</v>
      </c>
      <c r="G2398" s="3" t="s">
        <v>56</v>
      </c>
      <c r="H2398" s="3" t="s">
        <v>56</v>
      </c>
      <c r="M2398" s="151" t="str">
        <f t="shared" si="115"/>
        <v>/</v>
      </c>
      <c r="N2398" s="151" t="str">
        <f t="shared" si="116"/>
        <v/>
      </c>
      <c r="Q2398" s="239" t="str">
        <f t="shared" ca="1" si="114"/>
        <v/>
      </c>
    </row>
    <row r="2399" spans="3:17" ht="15.75" hidden="1" customHeight="1" outlineLevel="1" x14ac:dyDescent="0.25">
      <c r="C2399" s="207"/>
      <c r="D2399" s="196">
        <v>42450</v>
      </c>
      <c r="E2399" s="101" t="s">
        <v>21</v>
      </c>
      <c r="F2399" s="216" t="s">
        <v>50</v>
      </c>
      <c r="G2399" s="3" t="s">
        <v>56</v>
      </c>
      <c r="H2399" s="3" t="s">
        <v>56</v>
      </c>
      <c r="M2399" s="151" t="str">
        <f t="shared" si="115"/>
        <v/>
      </c>
      <c r="N2399" s="151" t="str">
        <f t="shared" si="116"/>
        <v>/</v>
      </c>
      <c r="Q2399" s="239" t="str">
        <f t="shared" ca="1" si="114"/>
        <v/>
      </c>
    </row>
    <row r="2400" spans="3:17" ht="15.75" hidden="1" customHeight="1" outlineLevel="1" x14ac:dyDescent="0.25">
      <c r="C2400" s="207"/>
      <c r="D2400" s="196">
        <v>42452</v>
      </c>
      <c r="E2400" s="101" t="s">
        <v>20</v>
      </c>
      <c r="F2400" s="216" t="s">
        <v>49</v>
      </c>
      <c r="G2400" s="3" t="s">
        <v>56</v>
      </c>
      <c r="H2400" s="3" t="s">
        <v>56</v>
      </c>
      <c r="M2400" s="151" t="str">
        <f t="shared" si="115"/>
        <v>/</v>
      </c>
      <c r="N2400" s="151" t="str">
        <f t="shared" si="116"/>
        <v/>
      </c>
      <c r="Q2400" s="239" t="str">
        <f t="shared" ca="1" si="114"/>
        <v/>
      </c>
    </row>
    <row r="2401" spans="2:17" ht="15.75" hidden="1" customHeight="1" outlineLevel="1" x14ac:dyDescent="0.25">
      <c r="C2401" s="207"/>
      <c r="D2401" s="196">
        <v>42454</v>
      </c>
      <c r="E2401" s="101" t="s">
        <v>9</v>
      </c>
      <c r="F2401" s="216" t="s">
        <v>49</v>
      </c>
      <c r="G2401" s="3" t="s">
        <v>56</v>
      </c>
      <c r="H2401" s="3" t="s">
        <v>56</v>
      </c>
      <c r="M2401" s="151" t="str">
        <f t="shared" si="115"/>
        <v>/</v>
      </c>
      <c r="N2401" s="151" t="str">
        <f t="shared" si="116"/>
        <v/>
      </c>
      <c r="Q2401" s="239" t="str">
        <f t="shared" ca="1" si="114"/>
        <v/>
      </c>
    </row>
    <row r="2402" spans="2:17" ht="15.75" hidden="1" customHeight="1" outlineLevel="1" x14ac:dyDescent="0.25">
      <c r="C2402" s="207"/>
      <c r="D2402" s="196">
        <v>42456</v>
      </c>
      <c r="E2402" s="101" t="s">
        <v>4</v>
      </c>
      <c r="F2402" s="216" t="s">
        <v>49</v>
      </c>
      <c r="G2402" s="3" t="s">
        <v>56</v>
      </c>
      <c r="H2402" s="3" t="s">
        <v>56</v>
      </c>
      <c r="M2402" s="151" t="str">
        <f t="shared" si="115"/>
        <v>/</v>
      </c>
      <c r="N2402" s="151" t="str">
        <f t="shared" si="116"/>
        <v/>
      </c>
      <c r="Q2402" s="239" t="str">
        <f t="shared" ca="1" si="114"/>
        <v/>
      </c>
    </row>
    <row r="2403" spans="2:17" ht="15.75" hidden="1" customHeight="1" outlineLevel="1" x14ac:dyDescent="0.25">
      <c r="C2403" s="207"/>
      <c r="D2403" s="196">
        <v>42458</v>
      </c>
      <c r="E2403" s="101" t="s">
        <v>16</v>
      </c>
      <c r="F2403" s="216" t="s">
        <v>49</v>
      </c>
      <c r="G2403" s="3" t="s">
        <v>56</v>
      </c>
      <c r="H2403" s="3" t="s">
        <v>56</v>
      </c>
      <c r="M2403" s="151" t="str">
        <f t="shared" si="115"/>
        <v>/</v>
      </c>
      <c r="N2403" s="151" t="str">
        <f t="shared" si="116"/>
        <v/>
      </c>
      <c r="Q2403" s="239" t="str">
        <f t="shared" ca="1" si="114"/>
        <v/>
      </c>
    </row>
    <row r="2404" spans="2:17" ht="15.75" hidden="1" customHeight="1" outlineLevel="1" x14ac:dyDescent="0.25">
      <c r="C2404" s="207"/>
      <c r="D2404" s="196">
        <v>42460</v>
      </c>
      <c r="E2404" s="101" t="s">
        <v>23</v>
      </c>
      <c r="F2404" s="216" t="s">
        <v>50</v>
      </c>
      <c r="G2404" s="3" t="s">
        <v>56</v>
      </c>
      <c r="H2404" s="3" t="s">
        <v>56</v>
      </c>
      <c r="M2404" s="151" t="str">
        <f t="shared" si="115"/>
        <v/>
      </c>
      <c r="N2404" s="151" t="str">
        <f t="shared" si="116"/>
        <v>/</v>
      </c>
      <c r="Q2404" s="239" t="str">
        <f t="shared" ca="1" si="114"/>
        <v/>
      </c>
    </row>
    <row r="2405" spans="2:17" ht="15.75" hidden="1" customHeight="1" outlineLevel="1" x14ac:dyDescent="0.25">
      <c r="C2405" s="208"/>
      <c r="D2405" s="196">
        <v>42462</v>
      </c>
      <c r="E2405" s="101" t="s">
        <v>28</v>
      </c>
      <c r="F2405" s="216" t="s">
        <v>49</v>
      </c>
      <c r="G2405" s="3" t="s">
        <v>56</v>
      </c>
      <c r="H2405" s="3" t="s">
        <v>56</v>
      </c>
      <c r="M2405" s="151" t="str">
        <f t="shared" si="115"/>
        <v>/</v>
      </c>
      <c r="N2405" s="151" t="str">
        <f t="shared" si="116"/>
        <v/>
      </c>
      <c r="Q2405" s="239" t="str">
        <f t="shared" ca="1" si="114"/>
        <v/>
      </c>
    </row>
    <row r="2406" spans="2:17" ht="15.75" hidden="1" customHeight="1" outlineLevel="1" x14ac:dyDescent="0.25">
      <c r="C2406" s="208"/>
      <c r="D2406" s="196">
        <v>42464</v>
      </c>
      <c r="E2406" s="101" t="s">
        <v>20</v>
      </c>
      <c r="F2406" s="216" t="s">
        <v>49</v>
      </c>
      <c r="G2406" s="3" t="s">
        <v>56</v>
      </c>
      <c r="H2406" s="3" t="s">
        <v>56</v>
      </c>
      <c r="M2406" s="151" t="str">
        <f t="shared" si="115"/>
        <v>/</v>
      </c>
      <c r="N2406" s="151" t="str">
        <f t="shared" si="116"/>
        <v/>
      </c>
      <c r="Q2406" s="239" t="str">
        <f t="shared" ca="1" si="114"/>
        <v/>
      </c>
    </row>
    <row r="2407" spans="2:17" ht="15.75" hidden="1" customHeight="1" outlineLevel="1" x14ac:dyDescent="0.25">
      <c r="C2407" s="208"/>
      <c r="D2407" s="196">
        <v>42465</v>
      </c>
      <c r="E2407" s="101" t="s">
        <v>644</v>
      </c>
      <c r="F2407" s="216" t="s">
        <v>49</v>
      </c>
      <c r="G2407" s="3" t="s">
        <v>56</v>
      </c>
      <c r="H2407" s="3" t="s">
        <v>56</v>
      </c>
      <c r="M2407" s="151" t="str">
        <f t="shared" si="115"/>
        <v>/</v>
      </c>
      <c r="N2407" s="151" t="str">
        <f t="shared" si="116"/>
        <v/>
      </c>
      <c r="Q2407" s="239" t="str">
        <f t="shared" ca="1" si="114"/>
        <v/>
      </c>
    </row>
    <row r="2408" spans="2:17" ht="15.75" hidden="1" customHeight="1" outlineLevel="1" x14ac:dyDescent="0.25">
      <c r="C2408" s="208"/>
      <c r="D2408" s="196">
        <v>42467</v>
      </c>
      <c r="E2408" s="101" t="s">
        <v>645</v>
      </c>
      <c r="F2408" s="216" t="s">
        <v>50</v>
      </c>
      <c r="G2408" s="3" t="s">
        <v>56</v>
      </c>
      <c r="H2408" s="3" t="s">
        <v>56</v>
      </c>
      <c r="M2408" s="151" t="str">
        <f t="shared" si="115"/>
        <v/>
      </c>
      <c r="N2408" s="151" t="str">
        <f t="shared" si="116"/>
        <v>/</v>
      </c>
      <c r="Q2408" s="239" t="str">
        <f t="shared" ca="1" si="114"/>
        <v/>
      </c>
    </row>
    <row r="2409" spans="2:17" ht="15.75" hidden="1" customHeight="1" outlineLevel="1" x14ac:dyDescent="0.25">
      <c r="C2409" s="208"/>
      <c r="D2409" s="196">
        <v>42468</v>
      </c>
      <c r="E2409" s="101" t="s">
        <v>18</v>
      </c>
      <c r="F2409" s="216" t="s">
        <v>49</v>
      </c>
      <c r="G2409" s="3" t="s">
        <v>56</v>
      </c>
      <c r="H2409" s="3" t="s">
        <v>56</v>
      </c>
      <c r="M2409" s="151" t="str">
        <f t="shared" si="115"/>
        <v>/</v>
      </c>
      <c r="N2409" s="151" t="str">
        <f t="shared" si="116"/>
        <v/>
      </c>
      <c r="Q2409" s="239" t="str">
        <f t="shared" ca="1" si="114"/>
        <v/>
      </c>
    </row>
    <row r="2410" spans="2:17" ht="15.75" hidden="1" customHeight="1" outlineLevel="1" x14ac:dyDescent="0.25">
      <c r="C2410" s="208"/>
      <c r="D2410" s="196">
        <v>42470</v>
      </c>
      <c r="E2410" s="101" t="s">
        <v>24</v>
      </c>
      <c r="F2410" s="216" t="s">
        <v>50</v>
      </c>
      <c r="G2410" s="3" t="s">
        <v>56</v>
      </c>
      <c r="H2410" s="3" t="s">
        <v>56</v>
      </c>
      <c r="M2410" s="151" t="str">
        <f t="shared" si="115"/>
        <v/>
      </c>
      <c r="N2410" s="151" t="str">
        <f t="shared" si="116"/>
        <v>/</v>
      </c>
      <c r="Q2410" s="239" t="str">
        <f t="shared" ca="1" si="114"/>
        <v/>
      </c>
    </row>
    <row r="2411" spans="2:17" ht="15.75" hidden="1" customHeight="1" outlineLevel="1" x14ac:dyDescent="0.25">
      <c r="C2411" s="208"/>
      <c r="D2411" s="196">
        <v>42472</v>
      </c>
      <c r="E2411" s="102" t="s">
        <v>28</v>
      </c>
      <c r="F2411" s="217" t="s">
        <v>50</v>
      </c>
      <c r="G2411" s="3" t="s">
        <v>56</v>
      </c>
      <c r="H2411" s="3" t="s">
        <v>56</v>
      </c>
      <c r="M2411" s="151" t="str">
        <f t="shared" si="115"/>
        <v/>
      </c>
      <c r="N2411" s="151" t="str">
        <f t="shared" si="116"/>
        <v>/</v>
      </c>
      <c r="Q2411" s="239" t="str">
        <f t="shared" ref="Q2411:Q2474" ca="1" si="117">IF(D2411=TODAY(),1,"")</f>
        <v/>
      </c>
    </row>
    <row r="2412" spans="2:17" collapsed="1" x14ac:dyDescent="0.25">
      <c r="B2412" s="404" t="str">
        <f ca="1">"- "&amp;INDEX(E2413:E2494,MATCH(TODAY(),D2413:D2494,0))</f>
        <v>- lakers</v>
      </c>
      <c r="C2412" s="404"/>
      <c r="D2412" s="406" t="s">
        <v>28</v>
      </c>
      <c r="E2412" s="407"/>
      <c r="F2412" s="408"/>
      <c r="H2412" s="3"/>
      <c r="Q2412" s="239" t="str">
        <f t="shared" ca="1" si="117"/>
        <v/>
      </c>
    </row>
    <row r="2413" spans="2:17" ht="16.5" hidden="1" customHeight="1" outlineLevel="1" x14ac:dyDescent="0.25">
      <c r="C2413" s="207"/>
      <c r="D2413" s="196">
        <v>42668</v>
      </c>
      <c r="E2413" s="103" t="s">
        <v>24</v>
      </c>
      <c r="F2413" s="215" t="s">
        <v>50</v>
      </c>
      <c r="G2413" s="3">
        <v>0</v>
      </c>
      <c r="H2413" s="3">
        <v>104</v>
      </c>
      <c r="I2413" s="151">
        <v>33</v>
      </c>
      <c r="J2413" s="151">
        <v>55</v>
      </c>
      <c r="K2413" s="151">
        <v>100</v>
      </c>
      <c r="L2413" s="151">
        <v>49</v>
      </c>
      <c r="M2413" s="151" t="str">
        <f t="shared" si="115"/>
        <v/>
      </c>
      <c r="N2413" s="151">
        <f t="shared" si="116"/>
        <v>104</v>
      </c>
      <c r="P2413" s="151">
        <v>113</v>
      </c>
      <c r="Q2413" s="239" t="str">
        <f t="shared" ca="1" si="117"/>
        <v/>
      </c>
    </row>
    <row r="2414" spans="2:17" ht="15.75" hidden="1" customHeight="1" outlineLevel="1" x14ac:dyDescent="0.25">
      <c r="C2414" s="207"/>
      <c r="D2414" s="196">
        <v>42671</v>
      </c>
      <c r="E2414" s="101" t="s">
        <v>644</v>
      </c>
      <c r="F2414" s="216" t="s">
        <v>49</v>
      </c>
      <c r="G2414" s="3" t="s">
        <v>56</v>
      </c>
      <c r="H2414" s="3" t="s">
        <v>56</v>
      </c>
      <c r="M2414" s="151" t="str">
        <f t="shared" si="115"/>
        <v>/</v>
      </c>
      <c r="N2414" s="151" t="str">
        <f t="shared" si="116"/>
        <v/>
      </c>
      <c r="Q2414" s="239">
        <f t="shared" ca="1" si="117"/>
        <v>1</v>
      </c>
    </row>
    <row r="2415" spans="2:17" ht="15.75" hidden="1" customHeight="1" outlineLevel="1" x14ac:dyDescent="0.25">
      <c r="C2415" s="207"/>
      <c r="D2415" s="196">
        <v>42673</v>
      </c>
      <c r="E2415" s="101" t="s">
        <v>18</v>
      </c>
      <c r="F2415" s="216" t="s">
        <v>50</v>
      </c>
      <c r="G2415" s="3" t="s">
        <v>56</v>
      </c>
      <c r="H2415" s="3" t="s">
        <v>56</v>
      </c>
      <c r="M2415" s="151" t="str">
        <f t="shared" si="115"/>
        <v/>
      </c>
      <c r="N2415" s="151" t="str">
        <f t="shared" si="116"/>
        <v>/</v>
      </c>
      <c r="Q2415" s="239" t="str">
        <f t="shared" ca="1" si="117"/>
        <v/>
      </c>
    </row>
    <row r="2416" spans="2:17" ht="15.75" hidden="1" customHeight="1" outlineLevel="1" x14ac:dyDescent="0.25">
      <c r="C2416" s="207"/>
      <c r="D2416" s="196">
        <v>42675</v>
      </c>
      <c r="E2416" s="101" t="s">
        <v>46</v>
      </c>
      <c r="F2416" s="216" t="s">
        <v>50</v>
      </c>
      <c r="G2416" s="3" t="s">
        <v>56</v>
      </c>
      <c r="H2416" s="3" t="s">
        <v>56</v>
      </c>
      <c r="M2416" s="151" t="str">
        <f t="shared" si="115"/>
        <v/>
      </c>
      <c r="N2416" s="151" t="str">
        <f t="shared" si="116"/>
        <v>/</v>
      </c>
      <c r="Q2416" s="239" t="str">
        <f t="shared" ca="1" si="117"/>
        <v/>
      </c>
    </row>
    <row r="2417" spans="3:17" ht="15.75" hidden="1" customHeight="1" outlineLevel="1" x14ac:dyDescent="0.25">
      <c r="C2417" s="207"/>
      <c r="D2417" s="196">
        <v>42676</v>
      </c>
      <c r="E2417" s="101" t="s">
        <v>645</v>
      </c>
      <c r="F2417" s="216" t="s">
        <v>49</v>
      </c>
      <c r="G2417" s="3" t="s">
        <v>56</v>
      </c>
      <c r="H2417" s="3" t="s">
        <v>56</v>
      </c>
      <c r="M2417" s="151" t="str">
        <f t="shared" si="115"/>
        <v>/</v>
      </c>
      <c r="N2417" s="151" t="str">
        <f t="shared" si="116"/>
        <v/>
      </c>
      <c r="Q2417" s="239" t="str">
        <f t="shared" ca="1" si="117"/>
        <v/>
      </c>
    </row>
    <row r="2418" spans="3:17" ht="15.75" hidden="1" customHeight="1" outlineLevel="1" x14ac:dyDescent="0.25">
      <c r="C2418" s="207"/>
      <c r="D2418" s="196">
        <v>42678</v>
      </c>
      <c r="E2418" s="101" t="s">
        <v>46</v>
      </c>
      <c r="F2418" s="216" t="s">
        <v>49</v>
      </c>
      <c r="G2418" s="3" t="s">
        <v>56</v>
      </c>
      <c r="H2418" s="3" t="s">
        <v>56</v>
      </c>
      <c r="M2418" s="151" t="str">
        <f t="shared" si="115"/>
        <v>/</v>
      </c>
      <c r="N2418" s="151" t="str">
        <f t="shared" si="116"/>
        <v/>
      </c>
      <c r="Q2418" s="239" t="str">
        <f t="shared" ca="1" si="117"/>
        <v/>
      </c>
    </row>
    <row r="2419" spans="3:17" ht="15.75" hidden="1" customHeight="1" outlineLevel="1" x14ac:dyDescent="0.25">
      <c r="C2419" s="207"/>
      <c r="D2419" s="196">
        <v>42680</v>
      </c>
      <c r="E2419" s="101" t="s">
        <v>9</v>
      </c>
      <c r="F2419" s="216" t="s">
        <v>50</v>
      </c>
      <c r="G2419" s="3" t="s">
        <v>56</v>
      </c>
      <c r="H2419" s="3" t="s">
        <v>56</v>
      </c>
      <c r="M2419" s="151" t="str">
        <f t="shared" si="115"/>
        <v/>
      </c>
      <c r="N2419" s="151" t="str">
        <f t="shared" si="116"/>
        <v>/</v>
      </c>
      <c r="Q2419" s="239" t="str">
        <f t="shared" ca="1" si="117"/>
        <v/>
      </c>
    </row>
    <row r="2420" spans="3:17" ht="15.75" hidden="1" customHeight="1" outlineLevel="1" x14ac:dyDescent="0.25">
      <c r="C2420" s="207"/>
      <c r="D2420" s="196">
        <v>42681</v>
      </c>
      <c r="E2420" s="101" t="s">
        <v>11</v>
      </c>
      <c r="F2420" s="216" t="s">
        <v>50</v>
      </c>
      <c r="G2420" s="3" t="s">
        <v>56</v>
      </c>
      <c r="H2420" s="3" t="s">
        <v>56</v>
      </c>
      <c r="M2420" s="151" t="str">
        <f t="shared" si="115"/>
        <v/>
      </c>
      <c r="N2420" s="151" t="str">
        <f t="shared" si="116"/>
        <v>/</v>
      </c>
      <c r="Q2420" s="239" t="str">
        <f t="shared" ca="1" si="117"/>
        <v/>
      </c>
    </row>
    <row r="2421" spans="3:17" ht="15.75" hidden="1" customHeight="1" outlineLevel="1" x14ac:dyDescent="0.25">
      <c r="C2421" s="207"/>
      <c r="D2421" s="196">
        <v>42683</v>
      </c>
      <c r="E2421" s="101" t="s">
        <v>3</v>
      </c>
      <c r="F2421" s="216" t="s">
        <v>50</v>
      </c>
      <c r="G2421" s="3" t="s">
        <v>56</v>
      </c>
      <c r="H2421" s="3" t="s">
        <v>56</v>
      </c>
      <c r="M2421" s="151" t="str">
        <f t="shared" si="115"/>
        <v/>
      </c>
      <c r="N2421" s="151" t="str">
        <f t="shared" si="116"/>
        <v>/</v>
      </c>
      <c r="Q2421" s="239" t="str">
        <f t="shared" ca="1" si="117"/>
        <v/>
      </c>
    </row>
    <row r="2422" spans="3:17" ht="15.75" hidden="1" customHeight="1" outlineLevel="1" x14ac:dyDescent="0.25">
      <c r="C2422" s="207"/>
      <c r="D2422" s="196">
        <v>42685</v>
      </c>
      <c r="E2422" s="101" t="s">
        <v>10</v>
      </c>
      <c r="F2422" s="216" t="s">
        <v>50</v>
      </c>
      <c r="G2422" s="3" t="s">
        <v>56</v>
      </c>
      <c r="H2422" s="3" t="s">
        <v>56</v>
      </c>
      <c r="M2422" s="151" t="str">
        <f t="shared" si="115"/>
        <v/>
      </c>
      <c r="N2422" s="151" t="str">
        <f t="shared" si="116"/>
        <v>/</v>
      </c>
      <c r="Q2422" s="239" t="str">
        <f t="shared" ca="1" si="117"/>
        <v/>
      </c>
    </row>
    <row r="2423" spans="3:17" ht="15.75" hidden="1" customHeight="1" outlineLevel="1" x14ac:dyDescent="0.25">
      <c r="C2423" s="207"/>
      <c r="D2423" s="196">
        <v>42686</v>
      </c>
      <c r="E2423" s="101" t="s">
        <v>6</v>
      </c>
      <c r="F2423" s="216" t="s">
        <v>50</v>
      </c>
      <c r="G2423" s="3" t="s">
        <v>56</v>
      </c>
      <c r="H2423" s="3" t="s">
        <v>56</v>
      </c>
      <c r="M2423" s="151" t="str">
        <f t="shared" si="115"/>
        <v/>
      </c>
      <c r="N2423" s="151" t="str">
        <f t="shared" si="116"/>
        <v>/</v>
      </c>
      <c r="Q2423" s="239" t="str">
        <f t="shared" ca="1" si="117"/>
        <v/>
      </c>
    </row>
    <row r="2424" spans="3:17" ht="15.75" hidden="1" customHeight="1" outlineLevel="1" x14ac:dyDescent="0.25">
      <c r="C2424" s="207"/>
      <c r="D2424" s="196">
        <v>42688</v>
      </c>
      <c r="E2424" s="101" t="s">
        <v>20</v>
      </c>
      <c r="F2424" s="216" t="s">
        <v>49</v>
      </c>
      <c r="G2424" s="3" t="s">
        <v>56</v>
      </c>
      <c r="H2424" s="3" t="s">
        <v>56</v>
      </c>
      <c r="M2424" s="151" t="str">
        <f t="shared" si="115"/>
        <v>/</v>
      </c>
      <c r="N2424" s="151" t="str">
        <f t="shared" si="116"/>
        <v/>
      </c>
      <c r="Q2424" s="239" t="str">
        <f t="shared" ca="1" si="117"/>
        <v/>
      </c>
    </row>
    <row r="2425" spans="3:17" ht="15.75" hidden="1" customHeight="1" outlineLevel="1" x14ac:dyDescent="0.25">
      <c r="C2425" s="207"/>
      <c r="D2425" s="196">
        <v>42691</v>
      </c>
      <c r="E2425" s="101" t="s">
        <v>2</v>
      </c>
      <c r="F2425" s="216" t="s">
        <v>49</v>
      </c>
      <c r="G2425" s="3" t="s">
        <v>56</v>
      </c>
      <c r="H2425" s="3" t="s">
        <v>56</v>
      </c>
      <c r="M2425" s="151" t="str">
        <f t="shared" si="115"/>
        <v>/</v>
      </c>
      <c r="N2425" s="151" t="str">
        <f t="shared" si="116"/>
        <v/>
      </c>
      <c r="Q2425" s="239" t="str">
        <f t="shared" ca="1" si="117"/>
        <v/>
      </c>
    </row>
    <row r="2426" spans="3:17" ht="15.75" hidden="1" customHeight="1" outlineLevel="1" x14ac:dyDescent="0.25">
      <c r="C2426" s="207"/>
      <c r="D2426" s="196">
        <v>42693</v>
      </c>
      <c r="E2426" s="101" t="s">
        <v>17</v>
      </c>
      <c r="F2426" s="216" t="s">
        <v>50</v>
      </c>
      <c r="G2426" s="3" t="s">
        <v>56</v>
      </c>
      <c r="H2426" s="3" t="s">
        <v>56</v>
      </c>
      <c r="M2426" s="151" t="str">
        <f t="shared" si="115"/>
        <v/>
      </c>
      <c r="N2426" s="151" t="str">
        <f t="shared" si="116"/>
        <v>/</v>
      </c>
      <c r="Q2426" s="239" t="str">
        <f t="shared" ca="1" si="117"/>
        <v/>
      </c>
    </row>
    <row r="2427" spans="3:17" ht="15.75" hidden="1" customHeight="1" outlineLevel="1" x14ac:dyDescent="0.25">
      <c r="C2427" s="207"/>
      <c r="D2427" s="196">
        <v>42694</v>
      </c>
      <c r="E2427" s="101" t="s">
        <v>15</v>
      </c>
      <c r="F2427" s="216" t="s">
        <v>50</v>
      </c>
      <c r="G2427" s="3" t="s">
        <v>56</v>
      </c>
      <c r="H2427" s="3" t="s">
        <v>56</v>
      </c>
      <c r="M2427" s="151" t="str">
        <f t="shared" si="115"/>
        <v/>
      </c>
      <c r="N2427" s="151" t="str">
        <f t="shared" si="116"/>
        <v>/</v>
      </c>
      <c r="Q2427" s="239" t="str">
        <f t="shared" ca="1" si="117"/>
        <v/>
      </c>
    </row>
    <row r="2428" spans="3:17" ht="15.75" hidden="1" customHeight="1" outlineLevel="1" x14ac:dyDescent="0.25">
      <c r="C2428" s="207"/>
      <c r="D2428" s="196">
        <v>42697</v>
      </c>
      <c r="E2428" s="101" t="s">
        <v>15</v>
      </c>
      <c r="F2428" s="216" t="s">
        <v>49</v>
      </c>
      <c r="G2428" s="3" t="s">
        <v>56</v>
      </c>
      <c r="H2428" s="3" t="s">
        <v>56</v>
      </c>
      <c r="M2428" s="151" t="str">
        <f t="shared" si="115"/>
        <v>/</v>
      </c>
      <c r="N2428" s="151" t="str">
        <f t="shared" si="116"/>
        <v/>
      </c>
      <c r="Q2428" s="239" t="str">
        <f t="shared" ca="1" si="117"/>
        <v/>
      </c>
    </row>
    <row r="2429" spans="3:17" ht="15.75" hidden="1" customHeight="1" outlineLevel="1" x14ac:dyDescent="0.25">
      <c r="C2429" s="207"/>
      <c r="D2429" s="196">
        <v>42699</v>
      </c>
      <c r="E2429" s="101" t="s">
        <v>0</v>
      </c>
      <c r="F2429" s="216" t="s">
        <v>49</v>
      </c>
      <c r="G2429" s="3" t="s">
        <v>56</v>
      </c>
      <c r="H2429" s="3" t="s">
        <v>56</v>
      </c>
      <c r="M2429" s="151" t="str">
        <f t="shared" si="115"/>
        <v>/</v>
      </c>
      <c r="N2429" s="151" t="str">
        <f t="shared" si="116"/>
        <v/>
      </c>
      <c r="Q2429" s="239" t="str">
        <f t="shared" ca="1" si="117"/>
        <v/>
      </c>
    </row>
    <row r="2430" spans="3:17" ht="15.75" hidden="1" customHeight="1" outlineLevel="1" x14ac:dyDescent="0.25">
      <c r="C2430" s="207"/>
      <c r="D2430" s="196">
        <v>42702</v>
      </c>
      <c r="E2430" s="101" t="s">
        <v>21</v>
      </c>
      <c r="F2430" s="216" t="s">
        <v>50</v>
      </c>
      <c r="G2430" s="3" t="s">
        <v>56</v>
      </c>
      <c r="H2430" s="3" t="s">
        <v>56</v>
      </c>
      <c r="M2430" s="151" t="str">
        <f t="shared" si="115"/>
        <v/>
      </c>
      <c r="N2430" s="151" t="str">
        <f t="shared" si="116"/>
        <v>/</v>
      </c>
      <c r="Q2430" s="239" t="str">
        <f t="shared" ca="1" si="117"/>
        <v/>
      </c>
    </row>
    <row r="2431" spans="3:17" ht="15.75" hidden="1" customHeight="1" outlineLevel="1" x14ac:dyDescent="0.25">
      <c r="C2431" s="207"/>
      <c r="D2431" s="196">
        <v>42703</v>
      </c>
      <c r="E2431" s="101" t="s">
        <v>17</v>
      </c>
      <c r="F2431" s="216" t="s">
        <v>49</v>
      </c>
      <c r="G2431" s="3" t="s">
        <v>56</v>
      </c>
      <c r="H2431" s="3" t="s">
        <v>56</v>
      </c>
      <c r="M2431" s="151" t="str">
        <f t="shared" si="115"/>
        <v>/</v>
      </c>
      <c r="N2431" s="151" t="str">
        <f t="shared" si="116"/>
        <v/>
      </c>
      <c r="Q2431" s="239" t="str">
        <f t="shared" ca="1" si="117"/>
        <v/>
      </c>
    </row>
    <row r="2432" spans="3:17" ht="15.75" hidden="1" customHeight="1" outlineLevel="1" x14ac:dyDescent="0.25">
      <c r="C2432" s="208"/>
      <c r="D2432" s="196">
        <v>42705</v>
      </c>
      <c r="E2432" s="101" t="s">
        <v>6</v>
      </c>
      <c r="F2432" s="216" t="s">
        <v>49</v>
      </c>
      <c r="G2432" s="3" t="s">
        <v>56</v>
      </c>
      <c r="H2432" s="3" t="s">
        <v>56</v>
      </c>
      <c r="M2432" s="151" t="str">
        <f t="shared" si="115"/>
        <v>/</v>
      </c>
      <c r="N2432" s="151" t="str">
        <f t="shared" si="116"/>
        <v/>
      </c>
      <c r="Q2432" s="239" t="str">
        <f t="shared" ca="1" si="117"/>
        <v/>
      </c>
    </row>
    <row r="2433" spans="3:17" ht="15.75" hidden="1" customHeight="1" outlineLevel="1" x14ac:dyDescent="0.25">
      <c r="C2433" s="208"/>
      <c r="D2433" s="196">
        <v>42707</v>
      </c>
      <c r="E2433" s="101" t="s">
        <v>15</v>
      </c>
      <c r="F2433" s="216" t="s">
        <v>49</v>
      </c>
      <c r="G2433" s="3" t="s">
        <v>56</v>
      </c>
      <c r="H2433" s="3" t="s">
        <v>56</v>
      </c>
      <c r="M2433" s="151" t="str">
        <f t="shared" si="115"/>
        <v>/</v>
      </c>
      <c r="N2433" s="151" t="str">
        <f t="shared" si="116"/>
        <v/>
      </c>
      <c r="Q2433" s="239" t="str">
        <f t="shared" ca="1" si="117"/>
        <v/>
      </c>
    </row>
    <row r="2434" spans="3:17" ht="15.75" hidden="1" customHeight="1" outlineLevel="1" x14ac:dyDescent="0.25">
      <c r="C2434" s="208"/>
      <c r="D2434" s="196">
        <v>42709</v>
      </c>
      <c r="E2434" s="101" t="s">
        <v>644</v>
      </c>
      <c r="F2434" s="216" t="s">
        <v>50</v>
      </c>
      <c r="G2434" s="3" t="s">
        <v>56</v>
      </c>
      <c r="H2434" s="3" t="s">
        <v>56</v>
      </c>
      <c r="M2434" s="151" t="str">
        <f t="shared" si="115"/>
        <v/>
      </c>
      <c r="N2434" s="151" t="str">
        <f t="shared" si="116"/>
        <v>/</v>
      </c>
      <c r="Q2434" s="239" t="str">
        <f t="shared" ca="1" si="117"/>
        <v/>
      </c>
    </row>
    <row r="2435" spans="3:17" ht="15.75" hidden="1" customHeight="1" outlineLevel="1" x14ac:dyDescent="0.25">
      <c r="C2435" s="208"/>
      <c r="D2435" s="196">
        <v>42710</v>
      </c>
      <c r="E2435" s="101" t="s">
        <v>25</v>
      </c>
      <c r="F2435" s="216" t="s">
        <v>49</v>
      </c>
      <c r="G2435" s="3" t="s">
        <v>56</v>
      </c>
      <c r="H2435" s="3" t="s">
        <v>56</v>
      </c>
      <c r="M2435" s="151" t="str">
        <f t="shared" si="115"/>
        <v>/</v>
      </c>
      <c r="N2435" s="151" t="str">
        <f t="shared" si="116"/>
        <v/>
      </c>
      <c r="Q2435" s="239" t="str">
        <f t="shared" ca="1" si="117"/>
        <v/>
      </c>
    </row>
    <row r="2436" spans="3:17" ht="15.75" hidden="1" customHeight="1" outlineLevel="1" x14ac:dyDescent="0.25">
      <c r="C2436" s="208"/>
      <c r="D2436" s="196">
        <v>42712</v>
      </c>
      <c r="E2436" s="101" t="s">
        <v>16</v>
      </c>
      <c r="F2436" s="216" t="s">
        <v>49</v>
      </c>
      <c r="G2436" s="3" t="s">
        <v>56</v>
      </c>
      <c r="H2436" s="3" t="s">
        <v>56</v>
      </c>
      <c r="M2436" s="151" t="str">
        <f t="shared" si="115"/>
        <v>/</v>
      </c>
      <c r="N2436" s="151" t="str">
        <f t="shared" si="116"/>
        <v/>
      </c>
      <c r="Q2436" s="239" t="str">
        <f t="shared" ca="1" si="117"/>
        <v/>
      </c>
    </row>
    <row r="2437" spans="3:17" ht="15.75" hidden="1" customHeight="1" outlineLevel="1" x14ac:dyDescent="0.25">
      <c r="C2437" s="208"/>
      <c r="D2437" s="196">
        <v>42714</v>
      </c>
      <c r="E2437" s="101" t="s">
        <v>26</v>
      </c>
      <c r="F2437" s="216" t="s">
        <v>49</v>
      </c>
      <c r="G2437" s="3" t="s">
        <v>56</v>
      </c>
      <c r="H2437" s="3" t="s">
        <v>56</v>
      </c>
      <c r="M2437" s="151" t="str">
        <f t="shared" si="115"/>
        <v>/</v>
      </c>
      <c r="N2437" s="151" t="str">
        <f t="shared" si="116"/>
        <v/>
      </c>
      <c r="Q2437" s="239" t="str">
        <f t="shared" ca="1" si="117"/>
        <v/>
      </c>
    </row>
    <row r="2438" spans="3:17" ht="15.75" hidden="1" customHeight="1" outlineLevel="1" x14ac:dyDescent="0.25">
      <c r="C2438" s="208"/>
      <c r="D2438" s="196">
        <v>42718</v>
      </c>
      <c r="E2438" s="101" t="s">
        <v>23</v>
      </c>
      <c r="F2438" s="216" t="s">
        <v>49</v>
      </c>
      <c r="G2438" s="3" t="s">
        <v>56</v>
      </c>
      <c r="H2438" s="3" t="s">
        <v>56</v>
      </c>
      <c r="M2438" s="151" t="str">
        <f t="shared" si="115"/>
        <v>/</v>
      </c>
      <c r="N2438" s="151" t="str">
        <f t="shared" si="116"/>
        <v/>
      </c>
      <c r="Q2438" s="239" t="str">
        <f t="shared" ca="1" si="117"/>
        <v/>
      </c>
    </row>
    <row r="2439" spans="3:17" ht="15.75" hidden="1" customHeight="1" outlineLevel="1" x14ac:dyDescent="0.25">
      <c r="C2439" s="208"/>
      <c r="D2439" s="196">
        <v>42720</v>
      </c>
      <c r="E2439" s="101" t="s">
        <v>645</v>
      </c>
      <c r="F2439" s="216" t="s">
        <v>49</v>
      </c>
      <c r="G2439" s="3" t="s">
        <v>56</v>
      </c>
      <c r="H2439" s="3" t="s">
        <v>56</v>
      </c>
      <c r="M2439" s="151" t="str">
        <f t="shared" ref="M2439:M2494" si="118">IF(F2439="D",H2439,"")</f>
        <v>/</v>
      </c>
      <c r="N2439" s="151" t="str">
        <f t="shared" ref="N2439:N2494" si="119">IF(F2439="E",H2439,"")</f>
        <v/>
      </c>
      <c r="Q2439" s="239" t="str">
        <f t="shared" ca="1" si="117"/>
        <v/>
      </c>
    </row>
    <row r="2440" spans="3:17" ht="15.75" hidden="1" customHeight="1" outlineLevel="1" x14ac:dyDescent="0.25">
      <c r="C2440" s="208"/>
      <c r="D2440" s="196">
        <v>42722</v>
      </c>
      <c r="E2440" s="101" t="s">
        <v>20</v>
      </c>
      <c r="F2440" s="216" t="s">
        <v>50</v>
      </c>
      <c r="G2440" s="3" t="s">
        <v>56</v>
      </c>
      <c r="H2440" s="3" t="s">
        <v>56</v>
      </c>
      <c r="M2440" s="151" t="str">
        <f t="shared" si="118"/>
        <v/>
      </c>
      <c r="N2440" s="151" t="str">
        <f t="shared" si="119"/>
        <v>/</v>
      </c>
      <c r="Q2440" s="239" t="str">
        <f t="shared" ca="1" si="117"/>
        <v/>
      </c>
    </row>
    <row r="2441" spans="3:17" ht="15.75" hidden="1" customHeight="1" outlineLevel="1" x14ac:dyDescent="0.25">
      <c r="C2441" s="208"/>
      <c r="D2441" s="196">
        <v>42724</v>
      </c>
      <c r="E2441" s="101" t="s">
        <v>16</v>
      </c>
      <c r="F2441" s="216" t="s">
        <v>50</v>
      </c>
      <c r="G2441" s="3" t="s">
        <v>56</v>
      </c>
      <c r="H2441" s="3" t="s">
        <v>56</v>
      </c>
      <c r="M2441" s="151" t="str">
        <f t="shared" si="118"/>
        <v/>
      </c>
      <c r="N2441" s="151" t="str">
        <f t="shared" si="119"/>
        <v>/</v>
      </c>
      <c r="Q2441" s="239" t="str">
        <f t="shared" ca="1" si="117"/>
        <v/>
      </c>
    </row>
    <row r="2442" spans="3:17" ht="15.75" hidden="1" customHeight="1" outlineLevel="1" x14ac:dyDescent="0.25">
      <c r="C2442" s="208"/>
      <c r="D2442" s="196">
        <v>42725</v>
      </c>
      <c r="E2442" s="101" t="s">
        <v>26</v>
      </c>
      <c r="F2442" s="216" t="s">
        <v>49</v>
      </c>
      <c r="G2442" s="3" t="s">
        <v>56</v>
      </c>
      <c r="H2442" s="3" t="s">
        <v>56</v>
      </c>
      <c r="M2442" s="151" t="str">
        <f t="shared" si="118"/>
        <v>/</v>
      </c>
      <c r="N2442" s="151" t="str">
        <f t="shared" si="119"/>
        <v/>
      </c>
      <c r="Q2442" s="239" t="str">
        <f t="shared" ca="1" si="117"/>
        <v/>
      </c>
    </row>
    <row r="2443" spans="3:17" ht="15.75" hidden="1" customHeight="1" outlineLevel="1" x14ac:dyDescent="0.25">
      <c r="C2443" s="208"/>
      <c r="D2443" s="196">
        <v>42727</v>
      </c>
      <c r="E2443" s="101" t="s">
        <v>12</v>
      </c>
      <c r="F2443" s="216" t="s">
        <v>49</v>
      </c>
      <c r="G2443" s="3" t="s">
        <v>56</v>
      </c>
      <c r="H2443" s="3" t="s">
        <v>56</v>
      </c>
      <c r="M2443" s="151" t="str">
        <f t="shared" si="118"/>
        <v>/</v>
      </c>
      <c r="N2443" s="151" t="str">
        <f t="shared" si="119"/>
        <v/>
      </c>
      <c r="Q2443" s="239" t="str">
        <f t="shared" ca="1" si="117"/>
        <v/>
      </c>
    </row>
    <row r="2444" spans="3:17" ht="15.75" hidden="1" customHeight="1" outlineLevel="1" x14ac:dyDescent="0.25">
      <c r="C2444" s="208"/>
      <c r="D2444" s="196">
        <v>42731</v>
      </c>
      <c r="E2444" s="101" t="s">
        <v>644</v>
      </c>
      <c r="F2444" s="216" t="s">
        <v>50</v>
      </c>
      <c r="G2444" s="3" t="s">
        <v>56</v>
      </c>
      <c r="H2444" s="3" t="s">
        <v>56</v>
      </c>
      <c r="M2444" s="151" t="str">
        <f t="shared" si="118"/>
        <v/>
      </c>
      <c r="N2444" s="151" t="str">
        <f t="shared" si="119"/>
        <v>/</v>
      </c>
      <c r="Q2444" s="239" t="str">
        <f t="shared" ca="1" si="117"/>
        <v/>
      </c>
    </row>
    <row r="2445" spans="3:17" ht="15.75" hidden="1" customHeight="1" outlineLevel="1" x14ac:dyDescent="0.25">
      <c r="C2445" s="208"/>
      <c r="D2445" s="196">
        <v>42733</v>
      </c>
      <c r="E2445" s="101" t="s">
        <v>11</v>
      </c>
      <c r="F2445" s="216" t="s">
        <v>49</v>
      </c>
      <c r="G2445" s="3" t="s">
        <v>56</v>
      </c>
      <c r="H2445" s="3" t="s">
        <v>56</v>
      </c>
      <c r="M2445" s="151" t="str">
        <f t="shared" si="118"/>
        <v>/</v>
      </c>
      <c r="N2445" s="151" t="str">
        <f t="shared" si="119"/>
        <v/>
      </c>
      <c r="Q2445" s="239" t="str">
        <f t="shared" ca="1" si="117"/>
        <v/>
      </c>
    </row>
    <row r="2446" spans="3:17" ht="15.75" hidden="1" customHeight="1" outlineLevel="1" x14ac:dyDescent="0.25">
      <c r="C2446" s="208"/>
      <c r="D2446" s="196">
        <v>42735</v>
      </c>
      <c r="E2446" s="101" t="s">
        <v>25</v>
      </c>
      <c r="F2446" s="216" t="s">
        <v>49</v>
      </c>
      <c r="G2446" s="3" t="s">
        <v>56</v>
      </c>
      <c r="H2446" s="3" t="s">
        <v>56</v>
      </c>
      <c r="M2446" s="151" t="str">
        <f t="shared" si="118"/>
        <v>/</v>
      </c>
      <c r="N2446" s="151" t="str">
        <f t="shared" si="119"/>
        <v/>
      </c>
      <c r="Q2446" s="239" t="str">
        <f t="shared" ca="1" si="117"/>
        <v/>
      </c>
    </row>
    <row r="2447" spans="3:17" ht="15.75" hidden="1" customHeight="1" outlineLevel="1" x14ac:dyDescent="0.25">
      <c r="C2447" s="207"/>
      <c r="D2447" s="196">
        <v>42371</v>
      </c>
      <c r="E2447" s="101" t="s">
        <v>45</v>
      </c>
      <c r="F2447" s="216" t="s">
        <v>50</v>
      </c>
      <c r="G2447" s="3" t="s">
        <v>56</v>
      </c>
      <c r="H2447" s="3" t="s">
        <v>56</v>
      </c>
      <c r="M2447" s="151" t="str">
        <f t="shared" si="118"/>
        <v/>
      </c>
      <c r="N2447" s="151" t="str">
        <f t="shared" si="119"/>
        <v>/</v>
      </c>
      <c r="Q2447" s="239" t="str">
        <f t="shared" ca="1" si="117"/>
        <v/>
      </c>
    </row>
    <row r="2448" spans="3:17" ht="15.75" hidden="1" customHeight="1" outlineLevel="1" x14ac:dyDescent="0.25">
      <c r="C2448" s="207"/>
      <c r="D2448" s="196">
        <v>42372</v>
      </c>
      <c r="E2448" s="101" t="s">
        <v>1</v>
      </c>
      <c r="F2448" s="216" t="s">
        <v>50</v>
      </c>
      <c r="G2448" s="3" t="s">
        <v>56</v>
      </c>
      <c r="H2448" s="3" t="s">
        <v>56</v>
      </c>
      <c r="M2448" s="151" t="str">
        <f t="shared" si="118"/>
        <v/>
      </c>
      <c r="N2448" s="151" t="str">
        <f t="shared" si="119"/>
        <v>/</v>
      </c>
      <c r="Q2448" s="239" t="str">
        <f t="shared" ca="1" si="117"/>
        <v/>
      </c>
    </row>
    <row r="2449" spans="3:17" ht="15.75" hidden="1" customHeight="1" outlineLevel="1" x14ac:dyDescent="0.25">
      <c r="C2449" s="207"/>
      <c r="D2449" s="196">
        <v>42374</v>
      </c>
      <c r="E2449" s="101" t="s">
        <v>12</v>
      </c>
      <c r="F2449" s="216" t="s">
        <v>50</v>
      </c>
      <c r="G2449" s="3" t="s">
        <v>56</v>
      </c>
      <c r="H2449" s="3" t="s">
        <v>56</v>
      </c>
      <c r="M2449" s="151" t="str">
        <f t="shared" si="118"/>
        <v/>
      </c>
      <c r="N2449" s="151" t="str">
        <f t="shared" si="119"/>
        <v>/</v>
      </c>
      <c r="Q2449" s="239" t="str">
        <f t="shared" ca="1" si="117"/>
        <v/>
      </c>
    </row>
    <row r="2450" spans="3:17" ht="15.75" hidden="1" customHeight="1" outlineLevel="1" x14ac:dyDescent="0.25">
      <c r="C2450" s="207"/>
      <c r="D2450" s="196">
        <v>42376</v>
      </c>
      <c r="E2450" s="101" t="s">
        <v>21</v>
      </c>
      <c r="F2450" s="216" t="s">
        <v>50</v>
      </c>
      <c r="G2450" s="3" t="s">
        <v>56</v>
      </c>
      <c r="H2450" s="3" t="s">
        <v>56</v>
      </c>
      <c r="M2450" s="151" t="str">
        <f t="shared" si="118"/>
        <v/>
      </c>
      <c r="N2450" s="151" t="str">
        <f t="shared" si="119"/>
        <v>/</v>
      </c>
      <c r="Q2450" s="239" t="str">
        <f t="shared" ca="1" si="117"/>
        <v/>
      </c>
    </row>
    <row r="2451" spans="3:17" ht="15.75" hidden="1" customHeight="1" outlineLevel="1" x14ac:dyDescent="0.25">
      <c r="C2451" s="207"/>
      <c r="D2451" s="196">
        <v>42377</v>
      </c>
      <c r="E2451" s="101" t="s">
        <v>20</v>
      </c>
      <c r="F2451" s="216" t="s">
        <v>50</v>
      </c>
      <c r="G2451" s="3" t="s">
        <v>56</v>
      </c>
      <c r="H2451" s="3" t="s">
        <v>56</v>
      </c>
      <c r="M2451" s="151" t="str">
        <f t="shared" si="118"/>
        <v/>
      </c>
      <c r="N2451" s="151" t="str">
        <f t="shared" si="119"/>
        <v>/</v>
      </c>
      <c r="Q2451" s="239" t="str">
        <f t="shared" ca="1" si="117"/>
        <v/>
      </c>
    </row>
    <row r="2452" spans="3:17" ht="15.75" hidden="1" customHeight="1" outlineLevel="1" x14ac:dyDescent="0.25">
      <c r="C2452" s="207"/>
      <c r="D2452" s="196">
        <v>42379</v>
      </c>
      <c r="E2452" s="101" t="s">
        <v>4</v>
      </c>
      <c r="F2452" s="216" t="s">
        <v>49</v>
      </c>
      <c r="G2452" s="3" t="s">
        <v>56</v>
      </c>
      <c r="H2452" s="3" t="s">
        <v>56</v>
      </c>
      <c r="M2452" s="151" t="str">
        <f t="shared" si="118"/>
        <v>/</v>
      </c>
      <c r="N2452" s="151" t="str">
        <f t="shared" si="119"/>
        <v/>
      </c>
      <c r="Q2452" s="239" t="str">
        <f t="shared" ca="1" si="117"/>
        <v/>
      </c>
    </row>
    <row r="2453" spans="3:17" ht="15.75" hidden="1" customHeight="1" outlineLevel="1" x14ac:dyDescent="0.25">
      <c r="C2453" s="207"/>
      <c r="D2453" s="196">
        <v>42382</v>
      </c>
      <c r="E2453" s="101" t="s">
        <v>5</v>
      </c>
      <c r="F2453" s="216" t="s">
        <v>49</v>
      </c>
      <c r="G2453" s="3" t="s">
        <v>56</v>
      </c>
      <c r="H2453" s="3" t="s">
        <v>56</v>
      </c>
      <c r="M2453" s="151" t="str">
        <f t="shared" si="118"/>
        <v>/</v>
      </c>
      <c r="N2453" s="151" t="str">
        <f t="shared" si="119"/>
        <v/>
      </c>
      <c r="Q2453" s="239" t="str">
        <f t="shared" ca="1" si="117"/>
        <v/>
      </c>
    </row>
    <row r="2454" spans="3:17" ht="15.75" hidden="1" customHeight="1" outlineLevel="1" x14ac:dyDescent="0.25">
      <c r="C2454" s="207"/>
      <c r="D2454" s="196">
        <v>42383</v>
      </c>
      <c r="E2454" s="101" t="s">
        <v>10</v>
      </c>
      <c r="F2454" s="216" t="s">
        <v>49</v>
      </c>
      <c r="G2454" s="3" t="s">
        <v>56</v>
      </c>
      <c r="H2454" s="3" t="s">
        <v>56</v>
      </c>
      <c r="M2454" s="151" t="str">
        <f t="shared" si="118"/>
        <v>/</v>
      </c>
      <c r="N2454" s="151" t="str">
        <f t="shared" si="119"/>
        <v/>
      </c>
      <c r="Q2454" s="239" t="str">
        <f t="shared" ca="1" si="117"/>
        <v/>
      </c>
    </row>
    <row r="2455" spans="3:17" ht="15.75" hidden="1" customHeight="1" outlineLevel="1" x14ac:dyDescent="0.25">
      <c r="C2455" s="207"/>
      <c r="D2455" s="196">
        <v>42385</v>
      </c>
      <c r="E2455" s="101" t="s">
        <v>25</v>
      </c>
      <c r="F2455" s="216" t="s">
        <v>50</v>
      </c>
      <c r="G2455" s="3" t="s">
        <v>56</v>
      </c>
      <c r="H2455" s="3" t="s">
        <v>56</v>
      </c>
      <c r="M2455" s="151" t="str">
        <f t="shared" si="118"/>
        <v/>
      </c>
      <c r="N2455" s="151" t="str">
        <f t="shared" si="119"/>
        <v>/</v>
      </c>
      <c r="Q2455" s="239" t="str">
        <f t="shared" ca="1" si="117"/>
        <v/>
      </c>
    </row>
    <row r="2456" spans="3:17" ht="15.75" hidden="1" customHeight="1" outlineLevel="1" x14ac:dyDescent="0.25">
      <c r="C2456" s="207"/>
      <c r="D2456" s="196">
        <v>42389</v>
      </c>
      <c r="E2456" s="101" t="s">
        <v>645</v>
      </c>
      <c r="F2456" s="216" t="s">
        <v>50</v>
      </c>
      <c r="G2456" s="3" t="s">
        <v>56</v>
      </c>
      <c r="H2456" s="3" t="s">
        <v>56</v>
      </c>
      <c r="M2456" s="151" t="str">
        <f t="shared" si="118"/>
        <v/>
      </c>
      <c r="N2456" s="151" t="str">
        <f t="shared" si="119"/>
        <v>/</v>
      </c>
      <c r="Q2456" s="239" t="str">
        <f t="shared" ca="1" si="117"/>
        <v/>
      </c>
    </row>
    <row r="2457" spans="3:17" ht="15.75" hidden="1" customHeight="1" outlineLevel="1" x14ac:dyDescent="0.25">
      <c r="C2457" s="207"/>
      <c r="D2457" s="196">
        <v>42390</v>
      </c>
      <c r="E2457" s="101" t="s">
        <v>7</v>
      </c>
      <c r="F2457" s="216" t="s">
        <v>49</v>
      </c>
      <c r="G2457" s="3" t="s">
        <v>56</v>
      </c>
      <c r="H2457" s="3" t="s">
        <v>56</v>
      </c>
      <c r="M2457" s="151" t="str">
        <f t="shared" si="118"/>
        <v>/</v>
      </c>
      <c r="N2457" s="151" t="str">
        <f t="shared" si="119"/>
        <v/>
      </c>
      <c r="Q2457" s="239" t="str">
        <f t="shared" ca="1" si="117"/>
        <v/>
      </c>
    </row>
    <row r="2458" spans="3:17" ht="15.75" hidden="1" customHeight="1" outlineLevel="1" x14ac:dyDescent="0.25">
      <c r="C2458" s="207"/>
      <c r="D2458" s="196">
        <v>42392</v>
      </c>
      <c r="E2458" s="101" t="s">
        <v>23</v>
      </c>
      <c r="F2458" s="216" t="s">
        <v>49</v>
      </c>
      <c r="G2458" s="3" t="s">
        <v>56</v>
      </c>
      <c r="H2458" s="3" t="s">
        <v>56</v>
      </c>
      <c r="M2458" s="151" t="str">
        <f t="shared" si="118"/>
        <v>/</v>
      </c>
      <c r="N2458" s="151" t="str">
        <f t="shared" si="119"/>
        <v/>
      </c>
      <c r="Q2458" s="239" t="str">
        <f t="shared" ca="1" si="117"/>
        <v/>
      </c>
    </row>
    <row r="2459" spans="3:17" ht="15.75" hidden="1" customHeight="1" outlineLevel="1" x14ac:dyDescent="0.25">
      <c r="C2459" s="207"/>
      <c r="D2459" s="196">
        <v>42393</v>
      </c>
      <c r="E2459" s="101" t="s">
        <v>15</v>
      </c>
      <c r="F2459" s="216" t="s">
        <v>50</v>
      </c>
      <c r="G2459" s="3" t="s">
        <v>56</v>
      </c>
      <c r="H2459" s="3" t="s">
        <v>56</v>
      </c>
      <c r="M2459" s="151" t="str">
        <f t="shared" si="118"/>
        <v/>
      </c>
      <c r="N2459" s="151" t="str">
        <f t="shared" si="119"/>
        <v>/</v>
      </c>
      <c r="Q2459" s="239" t="str">
        <f t="shared" ca="1" si="117"/>
        <v/>
      </c>
    </row>
    <row r="2460" spans="3:17" ht="15.75" hidden="1" customHeight="1" outlineLevel="1" x14ac:dyDescent="0.25">
      <c r="C2460" s="207"/>
      <c r="D2460" s="196">
        <v>42395</v>
      </c>
      <c r="E2460" s="101" t="s">
        <v>644</v>
      </c>
      <c r="F2460" s="216" t="s">
        <v>49</v>
      </c>
      <c r="G2460" s="3" t="s">
        <v>56</v>
      </c>
      <c r="H2460" s="3" t="s">
        <v>56</v>
      </c>
      <c r="M2460" s="151" t="str">
        <f t="shared" si="118"/>
        <v>/</v>
      </c>
      <c r="N2460" s="151" t="str">
        <f t="shared" si="119"/>
        <v/>
      </c>
      <c r="Q2460" s="239" t="str">
        <f t="shared" ca="1" si="117"/>
        <v/>
      </c>
    </row>
    <row r="2461" spans="3:17" ht="15.75" hidden="1" customHeight="1" outlineLevel="1" x14ac:dyDescent="0.25">
      <c r="C2461" s="207"/>
      <c r="D2461" s="196">
        <v>42397</v>
      </c>
      <c r="E2461" s="101" t="s">
        <v>20</v>
      </c>
      <c r="F2461" s="216" t="s">
        <v>49</v>
      </c>
      <c r="G2461" s="3" t="s">
        <v>56</v>
      </c>
      <c r="H2461" s="3" t="s">
        <v>56</v>
      </c>
      <c r="M2461" s="151" t="str">
        <f t="shared" si="118"/>
        <v>/</v>
      </c>
      <c r="N2461" s="151" t="str">
        <f t="shared" si="119"/>
        <v/>
      </c>
      <c r="Q2461" s="239" t="str">
        <f t="shared" ca="1" si="117"/>
        <v/>
      </c>
    </row>
    <row r="2462" spans="3:17" ht="15.75" hidden="1" customHeight="1" outlineLevel="1" x14ac:dyDescent="0.25">
      <c r="C2462" s="208"/>
      <c r="D2462" s="196">
        <v>42401</v>
      </c>
      <c r="E2462" s="101" t="s">
        <v>8</v>
      </c>
      <c r="F2462" s="216" t="s">
        <v>49</v>
      </c>
      <c r="G2462" s="3" t="s">
        <v>56</v>
      </c>
      <c r="H2462" s="3" t="s">
        <v>56</v>
      </c>
      <c r="M2462" s="151" t="str">
        <f t="shared" si="118"/>
        <v>/</v>
      </c>
      <c r="N2462" s="151" t="str">
        <f t="shared" si="119"/>
        <v/>
      </c>
      <c r="Q2462" s="239" t="str">
        <f t="shared" ca="1" si="117"/>
        <v/>
      </c>
    </row>
    <row r="2463" spans="3:17" ht="15.75" hidden="1" customHeight="1" outlineLevel="1" x14ac:dyDescent="0.25">
      <c r="C2463" s="208"/>
      <c r="D2463" s="196">
        <v>42404</v>
      </c>
      <c r="E2463" s="101" t="s">
        <v>3</v>
      </c>
      <c r="F2463" s="216" t="s">
        <v>49</v>
      </c>
      <c r="G2463" s="3" t="s">
        <v>56</v>
      </c>
      <c r="H2463" s="3" t="s">
        <v>56</v>
      </c>
      <c r="M2463" s="151" t="str">
        <f t="shared" si="118"/>
        <v>/</v>
      </c>
      <c r="N2463" s="151" t="str">
        <f t="shared" si="119"/>
        <v/>
      </c>
      <c r="Q2463" s="239" t="str">
        <f t="shared" ca="1" si="117"/>
        <v/>
      </c>
    </row>
    <row r="2464" spans="3:17" ht="15.75" hidden="1" customHeight="1" outlineLevel="1" x14ac:dyDescent="0.25">
      <c r="C2464" s="208"/>
      <c r="D2464" s="196">
        <v>42406</v>
      </c>
      <c r="E2464" s="101" t="s">
        <v>0</v>
      </c>
      <c r="F2464" s="216" t="s">
        <v>50</v>
      </c>
      <c r="G2464" s="3" t="s">
        <v>56</v>
      </c>
      <c r="H2464" s="3" t="s">
        <v>56</v>
      </c>
      <c r="M2464" s="151" t="str">
        <f t="shared" si="118"/>
        <v/>
      </c>
      <c r="N2464" s="151" t="str">
        <f t="shared" si="119"/>
        <v>/</v>
      </c>
      <c r="Q2464" s="239" t="str">
        <f t="shared" ca="1" si="117"/>
        <v/>
      </c>
    </row>
    <row r="2465" spans="3:17" ht="15.75" hidden="1" customHeight="1" outlineLevel="1" x14ac:dyDescent="0.25">
      <c r="C2465" s="208"/>
      <c r="D2465" s="196">
        <v>42408</v>
      </c>
      <c r="E2465" s="101" t="s">
        <v>22</v>
      </c>
      <c r="F2465" s="216" t="s">
        <v>50</v>
      </c>
      <c r="G2465" s="3" t="s">
        <v>56</v>
      </c>
      <c r="H2465" s="3" t="s">
        <v>56</v>
      </c>
      <c r="M2465" s="151" t="str">
        <f t="shared" si="118"/>
        <v/>
      </c>
      <c r="N2465" s="151" t="str">
        <f t="shared" si="119"/>
        <v>/</v>
      </c>
      <c r="Q2465" s="239" t="str">
        <f t="shared" ca="1" si="117"/>
        <v/>
      </c>
    </row>
    <row r="2466" spans="3:17" ht="15.75" hidden="1" customHeight="1" outlineLevel="1" x14ac:dyDescent="0.25">
      <c r="C2466" s="208"/>
      <c r="D2466" s="196">
        <v>42409</v>
      </c>
      <c r="E2466" s="101" t="s">
        <v>645</v>
      </c>
      <c r="F2466" s="216" t="s">
        <v>50</v>
      </c>
      <c r="G2466" s="3" t="s">
        <v>56</v>
      </c>
      <c r="H2466" s="3" t="s">
        <v>56</v>
      </c>
      <c r="M2466" s="151" t="str">
        <f t="shared" si="118"/>
        <v/>
      </c>
      <c r="N2466" s="151" t="str">
        <f t="shared" si="119"/>
        <v>/</v>
      </c>
      <c r="Q2466" s="239" t="str">
        <f t="shared" ca="1" si="117"/>
        <v/>
      </c>
    </row>
    <row r="2467" spans="3:17" ht="15.75" hidden="1" customHeight="1" outlineLevel="1" x14ac:dyDescent="0.25">
      <c r="C2467" s="208"/>
      <c r="D2467" s="196">
        <v>42411</v>
      </c>
      <c r="E2467" s="101" t="s">
        <v>1</v>
      </c>
      <c r="F2467" s="216" t="s">
        <v>49</v>
      </c>
      <c r="G2467" s="3" t="s">
        <v>56</v>
      </c>
      <c r="H2467" s="3" t="s">
        <v>56</v>
      </c>
      <c r="M2467" s="151" t="str">
        <f t="shared" si="118"/>
        <v>/</v>
      </c>
      <c r="N2467" s="151" t="str">
        <f t="shared" si="119"/>
        <v/>
      </c>
      <c r="Q2467" s="239" t="str">
        <f t="shared" ca="1" si="117"/>
        <v/>
      </c>
    </row>
    <row r="2468" spans="3:17" ht="15.75" hidden="1" customHeight="1" outlineLevel="1" x14ac:dyDescent="0.25">
      <c r="C2468" s="208"/>
      <c r="D2468" s="196">
        <v>42413</v>
      </c>
      <c r="E2468" s="101" t="s">
        <v>18</v>
      </c>
      <c r="F2468" s="216" t="s">
        <v>49</v>
      </c>
      <c r="G2468" s="3" t="s">
        <v>56</v>
      </c>
      <c r="H2468" s="3" t="s">
        <v>56</v>
      </c>
      <c r="M2468" s="151" t="str">
        <f t="shared" si="118"/>
        <v>/</v>
      </c>
      <c r="N2468" s="151" t="str">
        <f t="shared" si="119"/>
        <v/>
      </c>
      <c r="Q2468" s="239" t="str">
        <f t="shared" ca="1" si="117"/>
        <v/>
      </c>
    </row>
    <row r="2469" spans="3:17" ht="15.75" hidden="1" customHeight="1" outlineLevel="1" x14ac:dyDescent="0.25">
      <c r="C2469" s="208"/>
      <c r="D2469" s="196">
        <v>42415</v>
      </c>
      <c r="E2469" s="101" t="s">
        <v>24</v>
      </c>
      <c r="F2469" s="216" t="s">
        <v>49</v>
      </c>
      <c r="G2469" s="3" t="s">
        <v>56</v>
      </c>
      <c r="H2469" s="3" t="s">
        <v>56</v>
      </c>
      <c r="M2469" s="151" t="str">
        <f t="shared" si="118"/>
        <v>/</v>
      </c>
      <c r="N2469" s="151" t="str">
        <f t="shared" si="119"/>
        <v/>
      </c>
      <c r="Q2469" s="239" t="str">
        <f t="shared" ca="1" si="117"/>
        <v/>
      </c>
    </row>
    <row r="2470" spans="3:17" ht="15.75" hidden="1" customHeight="1" outlineLevel="1" x14ac:dyDescent="0.25">
      <c r="C2470" s="208"/>
      <c r="D2470" s="196">
        <v>42424</v>
      </c>
      <c r="E2470" s="101" t="s">
        <v>8</v>
      </c>
      <c r="F2470" s="216" t="s">
        <v>50</v>
      </c>
      <c r="G2470" s="3" t="s">
        <v>56</v>
      </c>
      <c r="H2470" s="3" t="s">
        <v>56</v>
      </c>
      <c r="M2470" s="151" t="str">
        <f t="shared" si="118"/>
        <v/>
      </c>
      <c r="N2470" s="151" t="str">
        <f t="shared" si="119"/>
        <v>/</v>
      </c>
      <c r="Q2470" s="239" t="str">
        <f t="shared" ca="1" si="117"/>
        <v/>
      </c>
    </row>
    <row r="2471" spans="3:17" ht="15.75" hidden="1" customHeight="1" outlineLevel="1" x14ac:dyDescent="0.25">
      <c r="C2471" s="208"/>
      <c r="D2471" s="196">
        <v>42426</v>
      </c>
      <c r="E2471" s="101" t="s">
        <v>13</v>
      </c>
      <c r="F2471" s="216" t="s">
        <v>50</v>
      </c>
      <c r="G2471" s="3" t="s">
        <v>56</v>
      </c>
      <c r="H2471" s="3" t="s">
        <v>56</v>
      </c>
      <c r="M2471" s="151" t="str">
        <f t="shared" si="118"/>
        <v/>
      </c>
      <c r="N2471" s="151" t="str">
        <f t="shared" si="119"/>
        <v>/</v>
      </c>
      <c r="Q2471" s="239" t="str">
        <f t="shared" ca="1" si="117"/>
        <v/>
      </c>
    </row>
    <row r="2472" spans="3:17" ht="15.75" hidden="1" customHeight="1" outlineLevel="1" x14ac:dyDescent="0.25">
      <c r="C2472" s="208"/>
      <c r="D2472" s="196">
        <v>42428</v>
      </c>
      <c r="E2472" s="101" t="s">
        <v>23</v>
      </c>
      <c r="F2472" s="216" t="s">
        <v>50</v>
      </c>
      <c r="G2472" s="3" t="s">
        <v>56</v>
      </c>
      <c r="H2472" s="3" t="s">
        <v>56</v>
      </c>
      <c r="M2472" s="151" t="str">
        <f t="shared" si="118"/>
        <v/>
      </c>
      <c r="N2472" s="151" t="str">
        <f t="shared" si="119"/>
        <v>/</v>
      </c>
      <c r="Q2472" s="239" t="str">
        <f t="shared" ca="1" si="117"/>
        <v/>
      </c>
    </row>
    <row r="2473" spans="3:17" ht="15.75" hidden="1" customHeight="1" outlineLevel="1" x14ac:dyDescent="0.25">
      <c r="C2473" s="207"/>
      <c r="D2473" s="196">
        <v>42430</v>
      </c>
      <c r="E2473" s="101" t="s">
        <v>21</v>
      </c>
      <c r="F2473" s="216" t="s">
        <v>49</v>
      </c>
      <c r="G2473" s="3" t="s">
        <v>56</v>
      </c>
      <c r="H2473" s="3" t="s">
        <v>56</v>
      </c>
      <c r="M2473" s="151" t="str">
        <f t="shared" si="118"/>
        <v>/</v>
      </c>
      <c r="N2473" s="151" t="str">
        <f t="shared" si="119"/>
        <v/>
      </c>
      <c r="Q2473" s="239" t="str">
        <f t="shared" ca="1" si="117"/>
        <v/>
      </c>
    </row>
    <row r="2474" spans="3:17" ht="15.75" hidden="1" customHeight="1" outlineLevel="1" x14ac:dyDescent="0.25">
      <c r="C2474" s="207"/>
      <c r="D2474" s="196">
        <v>42432</v>
      </c>
      <c r="E2474" s="101" t="s">
        <v>45</v>
      </c>
      <c r="F2474" s="216" t="s">
        <v>49</v>
      </c>
      <c r="G2474" s="3" t="s">
        <v>56</v>
      </c>
      <c r="H2474" s="3" t="s">
        <v>56</v>
      </c>
      <c r="M2474" s="151" t="str">
        <f t="shared" si="118"/>
        <v>/</v>
      </c>
      <c r="N2474" s="151" t="str">
        <f t="shared" si="119"/>
        <v/>
      </c>
      <c r="Q2474" s="239" t="str">
        <f t="shared" ca="1" si="117"/>
        <v/>
      </c>
    </row>
    <row r="2475" spans="3:17" ht="15.75" hidden="1" customHeight="1" outlineLevel="1" x14ac:dyDescent="0.25">
      <c r="C2475" s="207"/>
      <c r="D2475" s="196">
        <v>42434</v>
      </c>
      <c r="E2475" s="101" t="s">
        <v>26</v>
      </c>
      <c r="F2475" s="216" t="s">
        <v>50</v>
      </c>
      <c r="G2475" s="3" t="s">
        <v>56</v>
      </c>
      <c r="H2475" s="3" t="s">
        <v>56</v>
      </c>
      <c r="M2475" s="151" t="str">
        <f t="shared" si="118"/>
        <v/>
      </c>
      <c r="N2475" s="151" t="str">
        <f t="shared" si="119"/>
        <v>/</v>
      </c>
      <c r="Q2475" s="239" t="str">
        <f t="shared" ref="Q2475:Q2494" ca="1" si="120">IF(D2475=TODAY(),1,"")</f>
        <v/>
      </c>
    </row>
    <row r="2476" spans="3:17" ht="15.75" hidden="1" customHeight="1" outlineLevel="1" x14ac:dyDescent="0.25">
      <c r="C2476" s="207"/>
      <c r="D2476" s="196">
        <v>42435</v>
      </c>
      <c r="E2476" s="101" t="s">
        <v>22</v>
      </c>
      <c r="F2476" s="216" t="s">
        <v>49</v>
      </c>
      <c r="G2476" s="3" t="s">
        <v>56</v>
      </c>
      <c r="H2476" s="3" t="s">
        <v>56</v>
      </c>
      <c r="M2476" s="151" t="str">
        <f t="shared" si="118"/>
        <v>/</v>
      </c>
      <c r="N2476" s="151" t="str">
        <f t="shared" si="119"/>
        <v/>
      </c>
      <c r="Q2476" s="239" t="str">
        <f t="shared" ca="1" si="120"/>
        <v/>
      </c>
    </row>
    <row r="2477" spans="3:17" ht="15.75" hidden="1" customHeight="1" outlineLevel="1" x14ac:dyDescent="0.25">
      <c r="C2477" s="207"/>
      <c r="D2477" s="196">
        <v>42437</v>
      </c>
      <c r="E2477" s="101" t="s">
        <v>17</v>
      </c>
      <c r="F2477" s="216" t="s">
        <v>50</v>
      </c>
      <c r="G2477" s="3" t="s">
        <v>56</v>
      </c>
      <c r="H2477" s="3" t="s">
        <v>56</v>
      </c>
      <c r="M2477" s="151" t="str">
        <f t="shared" si="118"/>
        <v/>
      </c>
      <c r="N2477" s="151" t="str">
        <f t="shared" si="119"/>
        <v>/</v>
      </c>
      <c r="Q2477" s="239" t="str">
        <f t="shared" ca="1" si="120"/>
        <v/>
      </c>
    </row>
    <row r="2478" spans="3:17" ht="15.75" hidden="1" customHeight="1" outlineLevel="1" x14ac:dyDescent="0.25">
      <c r="C2478" s="207"/>
      <c r="D2478" s="196">
        <v>42440</v>
      </c>
      <c r="E2478" s="101" t="s">
        <v>23</v>
      </c>
      <c r="F2478" s="216" t="s">
        <v>50</v>
      </c>
      <c r="G2478" s="3" t="s">
        <v>56</v>
      </c>
      <c r="H2478" s="3" t="s">
        <v>56</v>
      </c>
      <c r="M2478" s="151" t="str">
        <f t="shared" si="118"/>
        <v/>
      </c>
      <c r="N2478" s="151" t="str">
        <f t="shared" si="119"/>
        <v>/</v>
      </c>
      <c r="Q2478" s="239" t="str">
        <f t="shared" ca="1" si="120"/>
        <v/>
      </c>
    </row>
    <row r="2479" spans="3:17" ht="15.75" hidden="1" customHeight="1" outlineLevel="1" x14ac:dyDescent="0.25">
      <c r="C2479" s="207"/>
      <c r="D2479" s="196">
        <v>42442</v>
      </c>
      <c r="E2479" s="101" t="s">
        <v>18</v>
      </c>
      <c r="F2479" s="216" t="s">
        <v>49</v>
      </c>
      <c r="G2479" s="3" t="s">
        <v>56</v>
      </c>
      <c r="H2479" s="3" t="s">
        <v>56</v>
      </c>
      <c r="M2479" s="151" t="str">
        <f t="shared" si="118"/>
        <v>/</v>
      </c>
      <c r="N2479" s="151" t="str">
        <f t="shared" si="119"/>
        <v/>
      </c>
      <c r="Q2479" s="239" t="str">
        <f t="shared" ca="1" si="120"/>
        <v/>
      </c>
    </row>
    <row r="2480" spans="3:17" ht="15.75" hidden="1" customHeight="1" outlineLevel="1" x14ac:dyDescent="0.25">
      <c r="C2480" s="207"/>
      <c r="D2480" s="196">
        <v>42444</v>
      </c>
      <c r="E2480" s="101" t="s">
        <v>5</v>
      </c>
      <c r="F2480" s="216" t="s">
        <v>50</v>
      </c>
      <c r="G2480" s="3" t="s">
        <v>56</v>
      </c>
      <c r="H2480" s="3" t="s">
        <v>56</v>
      </c>
      <c r="M2480" s="151" t="str">
        <f t="shared" si="118"/>
        <v/>
      </c>
      <c r="N2480" s="151" t="str">
        <f t="shared" si="119"/>
        <v>/</v>
      </c>
      <c r="Q2480" s="239" t="str">
        <f t="shared" ca="1" si="120"/>
        <v/>
      </c>
    </row>
    <row r="2481" spans="3:17" ht="15.75" hidden="1" customHeight="1" outlineLevel="1" x14ac:dyDescent="0.25">
      <c r="C2481" s="207"/>
      <c r="D2481" s="196">
        <v>42445</v>
      </c>
      <c r="E2481" s="101" t="s">
        <v>4</v>
      </c>
      <c r="F2481" s="216" t="s">
        <v>50</v>
      </c>
      <c r="G2481" s="3" t="s">
        <v>56</v>
      </c>
      <c r="H2481" s="3" t="s">
        <v>56</v>
      </c>
      <c r="M2481" s="151" t="str">
        <f t="shared" si="118"/>
        <v/>
      </c>
      <c r="N2481" s="151" t="str">
        <f t="shared" si="119"/>
        <v>/</v>
      </c>
      <c r="Q2481" s="239" t="str">
        <f t="shared" ca="1" si="120"/>
        <v/>
      </c>
    </row>
    <row r="2482" spans="3:17" ht="15.75" hidden="1" customHeight="1" outlineLevel="1" x14ac:dyDescent="0.25">
      <c r="C2482" s="207"/>
      <c r="D2482" s="196">
        <v>42447</v>
      </c>
      <c r="E2482" s="101" t="s">
        <v>2</v>
      </c>
      <c r="F2482" s="216" t="s">
        <v>50</v>
      </c>
      <c r="G2482" s="3" t="s">
        <v>56</v>
      </c>
      <c r="H2482" s="3" t="s">
        <v>56</v>
      </c>
      <c r="M2482" s="151" t="str">
        <f t="shared" si="118"/>
        <v/>
      </c>
      <c r="N2482" s="151" t="str">
        <f t="shared" si="119"/>
        <v>/</v>
      </c>
      <c r="Q2482" s="239" t="str">
        <f t="shared" ca="1" si="120"/>
        <v/>
      </c>
    </row>
    <row r="2483" spans="3:17" ht="15.75" hidden="1" customHeight="1" outlineLevel="1" x14ac:dyDescent="0.25">
      <c r="C2483" s="207"/>
      <c r="D2483" s="196">
        <v>42449</v>
      </c>
      <c r="E2483" s="101" t="s">
        <v>7</v>
      </c>
      <c r="F2483" s="216" t="s">
        <v>50</v>
      </c>
      <c r="G2483" s="3" t="s">
        <v>56</v>
      </c>
      <c r="H2483" s="3" t="s">
        <v>56</v>
      </c>
      <c r="M2483" s="151" t="str">
        <f t="shared" si="118"/>
        <v/>
      </c>
      <c r="N2483" s="151" t="str">
        <f t="shared" si="119"/>
        <v>/</v>
      </c>
      <c r="Q2483" s="239" t="str">
        <f t="shared" ca="1" si="120"/>
        <v/>
      </c>
    </row>
    <row r="2484" spans="3:17" ht="15.75" hidden="1" customHeight="1" outlineLevel="1" x14ac:dyDescent="0.25">
      <c r="C2484" s="207"/>
      <c r="D2484" s="196">
        <v>42451</v>
      </c>
      <c r="E2484" s="101" t="s">
        <v>9</v>
      </c>
      <c r="F2484" s="216" t="s">
        <v>49</v>
      </c>
      <c r="G2484" s="3" t="s">
        <v>56</v>
      </c>
      <c r="H2484" s="3" t="s">
        <v>56</v>
      </c>
      <c r="M2484" s="151" t="str">
        <f t="shared" si="118"/>
        <v>/</v>
      </c>
      <c r="N2484" s="151" t="str">
        <f t="shared" si="119"/>
        <v/>
      </c>
      <c r="Q2484" s="239" t="str">
        <f t="shared" ca="1" si="120"/>
        <v/>
      </c>
    </row>
    <row r="2485" spans="3:17" ht="15.75" hidden="1" customHeight="1" outlineLevel="1" x14ac:dyDescent="0.25">
      <c r="C2485" s="207"/>
      <c r="D2485" s="196">
        <v>42454</v>
      </c>
      <c r="E2485" s="101" t="s">
        <v>18</v>
      </c>
      <c r="F2485" s="216" t="s">
        <v>50</v>
      </c>
      <c r="G2485" s="3" t="s">
        <v>56</v>
      </c>
      <c r="H2485" s="3" t="s">
        <v>56</v>
      </c>
      <c r="M2485" s="151" t="str">
        <f t="shared" si="118"/>
        <v/>
      </c>
      <c r="N2485" s="151" t="str">
        <f t="shared" si="119"/>
        <v>/</v>
      </c>
      <c r="Q2485" s="239" t="str">
        <f t="shared" ca="1" si="120"/>
        <v/>
      </c>
    </row>
    <row r="2486" spans="3:17" ht="15.75" hidden="1" customHeight="1" outlineLevel="1" x14ac:dyDescent="0.25">
      <c r="C2486" s="207"/>
      <c r="D2486" s="196">
        <v>42456</v>
      </c>
      <c r="E2486" s="101" t="s">
        <v>22</v>
      </c>
      <c r="F2486" s="216" t="s">
        <v>49</v>
      </c>
      <c r="G2486" s="3" t="s">
        <v>56</v>
      </c>
      <c r="H2486" s="3" t="s">
        <v>56</v>
      </c>
      <c r="M2486" s="151" t="str">
        <f t="shared" si="118"/>
        <v>/</v>
      </c>
      <c r="N2486" s="151" t="str">
        <f t="shared" si="119"/>
        <v/>
      </c>
      <c r="Q2486" s="239" t="str">
        <f t="shared" ca="1" si="120"/>
        <v/>
      </c>
    </row>
    <row r="2487" spans="3:17" ht="15.75" hidden="1" customHeight="1" outlineLevel="1" x14ac:dyDescent="0.25">
      <c r="C2487" s="207"/>
      <c r="D2487" s="196">
        <v>42458</v>
      </c>
      <c r="E2487" s="101" t="s">
        <v>26</v>
      </c>
      <c r="F2487" s="216" t="s">
        <v>50</v>
      </c>
      <c r="G2487" s="3" t="s">
        <v>56</v>
      </c>
      <c r="H2487" s="3" t="s">
        <v>56</v>
      </c>
      <c r="M2487" s="151" t="str">
        <f t="shared" si="118"/>
        <v/>
      </c>
      <c r="N2487" s="151" t="str">
        <f t="shared" si="119"/>
        <v>/</v>
      </c>
      <c r="Q2487" s="239" t="str">
        <f t="shared" ca="1" si="120"/>
        <v/>
      </c>
    </row>
    <row r="2488" spans="3:17" ht="15.75" hidden="1" customHeight="1" outlineLevel="1" x14ac:dyDescent="0.25">
      <c r="C2488" s="207"/>
      <c r="D2488" s="196">
        <v>42460</v>
      </c>
      <c r="E2488" s="101" t="s">
        <v>13</v>
      </c>
      <c r="F2488" s="216" t="s">
        <v>49</v>
      </c>
      <c r="G2488" s="3" t="s">
        <v>56</v>
      </c>
      <c r="H2488" s="3" t="s">
        <v>56</v>
      </c>
      <c r="M2488" s="151" t="str">
        <f t="shared" si="118"/>
        <v>/</v>
      </c>
      <c r="N2488" s="151" t="str">
        <f t="shared" si="119"/>
        <v/>
      </c>
      <c r="Q2488" s="239" t="str">
        <f t="shared" ca="1" si="120"/>
        <v/>
      </c>
    </row>
    <row r="2489" spans="3:17" ht="15.75" hidden="1" customHeight="1" outlineLevel="1" x14ac:dyDescent="0.25">
      <c r="C2489" s="208"/>
      <c r="D2489" s="196">
        <v>42462</v>
      </c>
      <c r="E2489" s="101" t="s">
        <v>46</v>
      </c>
      <c r="F2489" s="216" t="s">
        <v>50</v>
      </c>
      <c r="G2489" s="3" t="s">
        <v>56</v>
      </c>
      <c r="H2489" s="3" t="s">
        <v>56</v>
      </c>
      <c r="M2489" s="151" t="str">
        <f t="shared" si="118"/>
        <v/>
      </c>
      <c r="N2489" s="151" t="str">
        <f t="shared" si="119"/>
        <v>/</v>
      </c>
      <c r="Q2489" s="239" t="str">
        <f t="shared" ca="1" si="120"/>
        <v/>
      </c>
    </row>
    <row r="2490" spans="3:17" ht="15.75" hidden="1" customHeight="1" outlineLevel="1" x14ac:dyDescent="0.25">
      <c r="C2490" s="208"/>
      <c r="D2490" s="196">
        <v>42464</v>
      </c>
      <c r="E2490" s="101" t="s">
        <v>24</v>
      </c>
      <c r="F2490" s="216" t="s">
        <v>49</v>
      </c>
      <c r="G2490" s="3" t="s">
        <v>56</v>
      </c>
      <c r="H2490" s="3" t="s">
        <v>56</v>
      </c>
      <c r="M2490" s="151" t="str">
        <f t="shared" si="118"/>
        <v>/</v>
      </c>
      <c r="N2490" s="151" t="str">
        <f t="shared" si="119"/>
        <v/>
      </c>
      <c r="Q2490" s="239" t="str">
        <f t="shared" ca="1" si="120"/>
        <v/>
      </c>
    </row>
    <row r="2491" spans="3:17" ht="15.75" hidden="1" customHeight="1" outlineLevel="1" x14ac:dyDescent="0.25">
      <c r="C2491" s="208"/>
      <c r="D2491" s="196">
        <v>42467</v>
      </c>
      <c r="E2491" s="101" t="s">
        <v>21</v>
      </c>
      <c r="F2491" s="216" t="s">
        <v>49</v>
      </c>
      <c r="G2491" s="3" t="s">
        <v>56</v>
      </c>
      <c r="H2491" s="3" t="s">
        <v>56</v>
      </c>
      <c r="M2491" s="151" t="str">
        <f t="shared" si="118"/>
        <v>/</v>
      </c>
      <c r="N2491" s="151" t="str">
        <f t="shared" si="119"/>
        <v/>
      </c>
      <c r="Q2491" s="239" t="str">
        <f t="shared" ca="1" si="120"/>
        <v/>
      </c>
    </row>
    <row r="2492" spans="3:17" ht="15.75" hidden="1" customHeight="1" outlineLevel="1" x14ac:dyDescent="0.25">
      <c r="C2492" s="208"/>
      <c r="D2492" s="196">
        <v>42468</v>
      </c>
      <c r="E2492" s="101" t="s">
        <v>24</v>
      </c>
      <c r="F2492" s="216" t="s">
        <v>50</v>
      </c>
      <c r="G2492" s="3" t="s">
        <v>56</v>
      </c>
      <c r="H2492" s="3" t="s">
        <v>56</v>
      </c>
      <c r="M2492" s="151" t="str">
        <f t="shared" si="118"/>
        <v/>
      </c>
      <c r="N2492" s="151" t="str">
        <f t="shared" si="119"/>
        <v>/</v>
      </c>
      <c r="Q2492" s="239" t="str">
        <f t="shared" ca="1" si="120"/>
        <v/>
      </c>
    </row>
    <row r="2493" spans="3:17" ht="15.75" hidden="1" customHeight="1" outlineLevel="1" x14ac:dyDescent="0.25">
      <c r="C2493" s="208"/>
      <c r="D2493" s="196">
        <v>42470</v>
      </c>
      <c r="E2493" s="101" t="s">
        <v>16</v>
      </c>
      <c r="F2493" s="216" t="s">
        <v>50</v>
      </c>
      <c r="G2493" s="3" t="s">
        <v>56</v>
      </c>
      <c r="H2493" s="3" t="s">
        <v>56</v>
      </c>
      <c r="M2493" s="151" t="str">
        <f t="shared" si="118"/>
        <v/>
      </c>
      <c r="N2493" s="151" t="str">
        <f t="shared" si="119"/>
        <v>/</v>
      </c>
      <c r="Q2493" s="239" t="str">
        <f t="shared" ca="1" si="120"/>
        <v/>
      </c>
    </row>
    <row r="2494" spans="3:17" ht="15.75" hidden="1" customHeight="1" outlineLevel="1" x14ac:dyDescent="0.25">
      <c r="C2494" s="208"/>
      <c r="D2494" s="196">
        <v>42472</v>
      </c>
      <c r="E2494" s="101" t="s">
        <v>46</v>
      </c>
      <c r="F2494" s="216" t="s">
        <v>49</v>
      </c>
      <c r="G2494" s="3" t="s">
        <v>56</v>
      </c>
      <c r="H2494" s="3" t="s">
        <v>56</v>
      </c>
      <c r="M2494" s="151" t="str">
        <f t="shared" si="118"/>
        <v>/</v>
      </c>
      <c r="N2494" s="151" t="str">
        <f t="shared" si="119"/>
        <v/>
      </c>
      <c r="Q2494" s="239" t="str">
        <f t="shared" ca="1" si="120"/>
        <v/>
      </c>
    </row>
    <row r="2495" spans="3:17" collapsed="1" x14ac:dyDescent="0.25">
      <c r="E2495" s="100"/>
    </row>
    <row r="2496" spans="3:17" x14ac:dyDescent="0.25">
      <c r="E2496" s="100"/>
    </row>
    <row r="2497" spans="5:5" x14ac:dyDescent="0.25">
      <c r="E2497" s="100"/>
    </row>
    <row r="2498" spans="5:5" x14ac:dyDescent="0.25">
      <c r="E2498" s="100"/>
    </row>
    <row r="2499" spans="5:5" x14ac:dyDescent="0.25">
      <c r="E2499" s="100"/>
    </row>
    <row r="2500" spans="5:5" x14ac:dyDescent="0.25">
      <c r="E2500" s="100"/>
    </row>
  </sheetData>
  <autoFilter ref="D5:F2494">
    <filterColumn colId="0" showButton="0"/>
    <filterColumn colId="1" showButton="0"/>
  </autoFilter>
  <mergeCells count="73">
    <mergeCell ref="D3:D4"/>
    <mergeCell ref="B3:C3"/>
    <mergeCell ref="B4:C4"/>
    <mergeCell ref="D337:F337"/>
    <mergeCell ref="D254:F254"/>
    <mergeCell ref="D171:F171"/>
    <mergeCell ref="D88:F88"/>
    <mergeCell ref="D5:F5"/>
    <mergeCell ref="B5:C5"/>
    <mergeCell ref="B88:C88"/>
    <mergeCell ref="B171:C171"/>
    <mergeCell ref="B254:C254"/>
    <mergeCell ref="B337:C337"/>
    <mergeCell ref="D1001:F1001"/>
    <mergeCell ref="D918:F918"/>
    <mergeCell ref="D420:F420"/>
    <mergeCell ref="D835:F835"/>
    <mergeCell ref="D752:F752"/>
    <mergeCell ref="D669:F669"/>
    <mergeCell ref="D586:F586"/>
    <mergeCell ref="D503:F503"/>
    <mergeCell ref="D1416:F1416"/>
    <mergeCell ref="D1333:F1333"/>
    <mergeCell ref="D1250:F1250"/>
    <mergeCell ref="D1167:F1167"/>
    <mergeCell ref="D1084:F1084"/>
    <mergeCell ref="O3:O4"/>
    <mergeCell ref="P3:P4"/>
    <mergeCell ref="M3:M4"/>
    <mergeCell ref="N3:N4"/>
    <mergeCell ref="D2412:F2412"/>
    <mergeCell ref="D2329:F2329"/>
    <mergeCell ref="D2246:F2246"/>
    <mergeCell ref="D2163:F2163"/>
    <mergeCell ref="D2080:F2080"/>
    <mergeCell ref="D1997:F1997"/>
    <mergeCell ref="D1914:F1914"/>
    <mergeCell ref="D1831:F1831"/>
    <mergeCell ref="D1748:F1748"/>
    <mergeCell ref="D1665:F1665"/>
    <mergeCell ref="D1582:F1582"/>
    <mergeCell ref="D1499:F1499"/>
    <mergeCell ref="B1250:C1250"/>
    <mergeCell ref="B1167:C1167"/>
    <mergeCell ref="B1084:C1084"/>
    <mergeCell ref="B1001:C1001"/>
    <mergeCell ref="B1748:C1748"/>
    <mergeCell ref="B1665:C1665"/>
    <mergeCell ref="B1582:C1582"/>
    <mergeCell ref="B1499:C1499"/>
    <mergeCell ref="B1416:C1416"/>
    <mergeCell ref="B503:C503"/>
    <mergeCell ref="B420:C420"/>
    <mergeCell ref="B2412:C2412"/>
    <mergeCell ref="B2329:C2329"/>
    <mergeCell ref="B2246:C2246"/>
    <mergeCell ref="B2163:C2163"/>
    <mergeCell ref="B2080:C2080"/>
    <mergeCell ref="B1997:C1997"/>
    <mergeCell ref="B1914:C1914"/>
    <mergeCell ref="B1831:C1831"/>
    <mergeCell ref="B918:C918"/>
    <mergeCell ref="B835:C835"/>
    <mergeCell ref="B752:C752"/>
    <mergeCell ref="B669:C669"/>
    <mergeCell ref="B586:C586"/>
    <mergeCell ref="B1333:C1333"/>
    <mergeCell ref="C1:D1"/>
    <mergeCell ref="I1:J1"/>
    <mergeCell ref="I2:J2"/>
    <mergeCell ref="E1:H1"/>
    <mergeCell ref="B2:D2"/>
    <mergeCell ref="E2:H2"/>
  </mergeCells>
  <conditionalFormatting sqref="D6">
    <cfRule type="timePeriod" dxfId="8" priority="23" timePeriod="today">
      <formula>FLOOR(D6,1)=TODAY()</formula>
    </cfRule>
  </conditionalFormatting>
  <conditionalFormatting sqref="D6:D87">
    <cfRule type="timePeriod" dxfId="7" priority="20" timePeriod="today">
      <formula>FLOOR(D6,1)=TODAY()</formula>
    </cfRule>
  </conditionalFormatting>
  <conditionalFormatting sqref="D89:D170">
    <cfRule type="timePeriod" dxfId="6" priority="19" timePeriod="today">
      <formula>FLOOR(D89,1)=TODAY()</formula>
    </cfRule>
  </conditionalFormatting>
  <conditionalFormatting sqref="D255:D336 D338:D419 D421:D502 D504:D585 D587:D668 D670:D751 D753:D834 D836:D917 D919:D1000 D1002:D1083 D1085:D1166 D1168:D1249">
    <cfRule type="timePeriod" dxfId="5" priority="6" timePeriod="today">
      <formula>FLOOR(D255,1)=TODAY()</formula>
    </cfRule>
  </conditionalFormatting>
  <conditionalFormatting sqref="D172:D253">
    <cfRule type="timePeriod" dxfId="4" priority="5" timePeriod="today">
      <formula>FLOOR(D172,1)=TODAY()</formula>
    </cfRule>
  </conditionalFormatting>
  <conditionalFormatting sqref="D255:D336">
    <cfRule type="timePeriod" dxfId="3" priority="4" timePeriod="today">
      <formula>FLOOR(D255,1)=TODAY()</formula>
    </cfRule>
  </conditionalFormatting>
  <conditionalFormatting sqref="D1251:D1332 D1334:D1415 D1417:D1498 D1500:D1581 D1583:D1664 D1666:D1747 D1749:D1830 D1832:D1913 D1915:D1996 D1998:D2079 D2081:D2162 D2164:D2245 D2247:D2328 D2330:D2411 D2413:D2494">
    <cfRule type="timePeriod" dxfId="2" priority="3" timePeriod="today">
      <formula>FLOOR(D1251,1)=TODAY()</formula>
    </cfRule>
  </conditionalFormatting>
  <conditionalFormatting sqref="B5:C5 B88:C88 B171:C171 B254:C254 B337:C337">
    <cfRule type="notContainsErrors" dxfId="1" priority="2">
      <formula>NOT(ISERROR(B5))</formula>
    </cfRule>
  </conditionalFormatting>
  <conditionalFormatting sqref="B420:C420 B503:C503 B586:C586 B669:C669 B752:C752 B835:C835 B918:C918 B1001:C1001 B1084:C1084 B1167:C1167 B1250:C1250 B1333:C1333 B1416:C1416 B1499:C1499 B1582:C1582 B1665:C1665 B1748:C1748 B1831:C1831 B1914:C1914 B1997:C1997 B2080:C2080 B2163:C2163 B2246:C2246 B2329:C2329 B2412:C2412">
    <cfRule type="notContainsErrors" dxfId="0" priority="1">
      <formula>NOT(ISERROR(B420))</formula>
    </cfRule>
  </conditionalFormatting>
  <dataValidations count="4">
    <dataValidation type="list" allowBlank="1" showInputMessage="1" showErrorMessage="1" sqref="E3:E4 E6:E87 E89:E170 E172:E253 E255:E336 E338:E419 E2495:E1048576">
      <formula1>liste1</formula1>
    </dataValidation>
    <dataValidation type="list" allowBlank="1" showInputMessage="1" showErrorMessage="1" sqref="G5 G2329 G337 G88 G171 G254 G420 G503 G586 G669 G752 G835 G918 G1001 G1084 G1167 G1250 G1333 G1416 G1499 G1582 G1665 G1748 G1831 G1914 G1997 G2080 G2163 G2246 G2412">
      <formula1>vd</formula1>
    </dataValidation>
    <dataValidation type="list" allowBlank="1" showInputMessage="1" showErrorMessage="1" sqref="G2413:G2494 G172:G253 G255:G336 G338:G419 G421:G502 G504:G585 G587:G668 G670:G751 G753:G834 G836:G917 G919:G1000 G1002:G1083 G1085:G1166 G1168:G1249 G1251:G1332 G1334:G1415 G1417:G1498 G1500:G1581 G1583:G1664 G1666:G1747 G1749:G1830 G1832:G1913 G1915:G1996 G1998:G2079 G2081:G2162 G2164:G2245 G2247:G2328 G2330:G2411 G89:G170 G6:G87">
      <formula1>AZ</formula1>
    </dataValidation>
    <dataValidation allowBlank="1" showInputMessage="1" showErrorMessage="1" prompt="Choisir" sqref="O419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Schedule!G2413:G2494</xm:f>
              <xm:sqref>G2412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Schedule!G2330:G2411</xm:f>
              <xm:sqref>G2329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Schedule!G2247:G2328</xm:f>
              <xm:sqref>G2246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Schedule!G2164:G2245</xm:f>
              <xm:sqref>G2163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Schedule!G2081:G2162</xm:f>
              <xm:sqref>G2080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Schedule!G1998:G2079</xm:f>
              <xm:sqref>G1997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Schedule!G1915:G1996</xm:f>
              <xm:sqref>G1914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Schedule!G1832:G1913</xm:f>
              <xm:sqref>G1831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Schedule!G1749:G1830</xm:f>
              <xm:sqref>G1748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Schedule!G1666:G1747</xm:f>
              <xm:sqref>G1665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Schedule!G1583:G1664</xm:f>
              <xm:sqref>G1582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Schedule!G1500:G1581</xm:f>
              <xm:sqref>G1499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Schedule!G1417:G1498</xm:f>
              <xm:sqref>G1416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Schedule!G1334:G1415</xm:f>
              <xm:sqref>G1333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Schedule!G1251:G1332</xm:f>
              <xm:sqref>G1250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Schedule!G1168:G1249</xm:f>
              <xm:sqref>G1167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Schedule!G1085:G1166</xm:f>
              <xm:sqref>G1084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Schedule!G1002:G1083</xm:f>
              <xm:sqref>G1001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Schedule!G919:G1000</xm:f>
              <xm:sqref>G918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Schedule!G836:G917</xm:f>
              <xm:sqref>G835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Schedule!G753:G834</xm:f>
              <xm:sqref>G752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Schedule!G670:G751</xm:f>
              <xm:sqref>G669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Schedule!G587:G668</xm:f>
              <xm:sqref>G586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Schedule!G504:G585</xm:f>
              <xm:sqref>G503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Schedule!G421:G502</xm:f>
              <xm:sqref>G420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Schedule!G338:G419</xm:f>
              <xm:sqref>G337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Schedule!G255:G336</xm:f>
              <xm:sqref>G254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Schedule!G172:G253</xm:f>
              <xm:sqref>G171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Schedule!G89:G170</xm:f>
              <xm:sqref>G88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Schedule!G6:G87</xm:f>
              <xm:sqref>G5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Schedule!I2408:I2489</xm:f>
              <xm:sqref>I2412</xm:sqref>
            </x14:sparkline>
            <x14:sparkline>
              <xm:f>Schedule!J2408:J2489</xm:f>
              <xm:sqref>J2412</xm:sqref>
            </x14:sparkline>
            <x14:sparkline>
              <xm:f>Schedule!K2408:K2489</xm:f>
              <xm:sqref>K2412</xm:sqref>
            </x14:sparkline>
            <x14:sparkline>
              <xm:f>Schedule!L2408:L2489</xm:f>
              <xm:sqref>L2412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Schedule!I2325:I2406</xm:f>
              <xm:sqref>I2329</xm:sqref>
            </x14:sparkline>
            <x14:sparkline>
              <xm:f>Schedule!J2325:J2406</xm:f>
              <xm:sqref>J2329</xm:sqref>
            </x14:sparkline>
            <x14:sparkline>
              <xm:f>Schedule!K2325:K2406</xm:f>
              <xm:sqref>K2329</xm:sqref>
            </x14:sparkline>
            <x14:sparkline>
              <xm:f>Schedule!L2325:L2406</xm:f>
              <xm:sqref>L2329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Schedule!I2242:I2323</xm:f>
              <xm:sqref>I2246</xm:sqref>
            </x14:sparkline>
            <x14:sparkline>
              <xm:f>Schedule!J2242:J2323</xm:f>
              <xm:sqref>J2246</xm:sqref>
            </x14:sparkline>
            <x14:sparkline>
              <xm:f>Schedule!K2242:K2323</xm:f>
              <xm:sqref>K2246</xm:sqref>
            </x14:sparkline>
            <x14:sparkline>
              <xm:f>Schedule!L2242:L2323</xm:f>
              <xm:sqref>L2246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Schedule!I2159:I2240</xm:f>
              <xm:sqref>I2163</xm:sqref>
            </x14:sparkline>
            <x14:sparkline>
              <xm:f>Schedule!J2159:J2240</xm:f>
              <xm:sqref>J2163</xm:sqref>
            </x14:sparkline>
            <x14:sparkline>
              <xm:f>Schedule!K2159:K2240</xm:f>
              <xm:sqref>K2163</xm:sqref>
            </x14:sparkline>
            <x14:sparkline>
              <xm:f>Schedule!L2159:L2240</xm:f>
              <xm:sqref>L2163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Schedule!I2076:I2157</xm:f>
              <xm:sqref>I2080</xm:sqref>
            </x14:sparkline>
            <x14:sparkline>
              <xm:f>Schedule!J2076:J2157</xm:f>
              <xm:sqref>J2080</xm:sqref>
            </x14:sparkline>
            <x14:sparkline>
              <xm:f>Schedule!K2076:K2157</xm:f>
              <xm:sqref>K2080</xm:sqref>
            </x14:sparkline>
            <x14:sparkline>
              <xm:f>Schedule!L2076:L2157</xm:f>
              <xm:sqref>L2080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Schedule!I1993:I2074</xm:f>
              <xm:sqref>I1997</xm:sqref>
            </x14:sparkline>
            <x14:sparkline>
              <xm:f>Schedule!J1993:J2074</xm:f>
              <xm:sqref>J1997</xm:sqref>
            </x14:sparkline>
            <x14:sparkline>
              <xm:f>Schedule!K1993:K2074</xm:f>
              <xm:sqref>K1997</xm:sqref>
            </x14:sparkline>
            <x14:sparkline>
              <xm:f>Schedule!L1993:L2074</xm:f>
              <xm:sqref>L1997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Schedule!I1910:I1991</xm:f>
              <xm:sqref>I1914</xm:sqref>
            </x14:sparkline>
            <x14:sparkline>
              <xm:f>Schedule!J1910:J1991</xm:f>
              <xm:sqref>J1914</xm:sqref>
            </x14:sparkline>
            <x14:sparkline>
              <xm:f>Schedule!K1910:K1991</xm:f>
              <xm:sqref>K1914</xm:sqref>
            </x14:sparkline>
            <x14:sparkline>
              <xm:f>Schedule!L1910:L1991</xm:f>
              <xm:sqref>L1914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Schedule!I1827:I1908</xm:f>
              <xm:sqref>I1831</xm:sqref>
            </x14:sparkline>
            <x14:sparkline>
              <xm:f>Schedule!J1827:J1908</xm:f>
              <xm:sqref>J1831</xm:sqref>
            </x14:sparkline>
            <x14:sparkline>
              <xm:f>Schedule!K1827:K1908</xm:f>
              <xm:sqref>K1831</xm:sqref>
            </x14:sparkline>
            <x14:sparkline>
              <xm:f>Schedule!L1827:L1908</xm:f>
              <xm:sqref>L1831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Schedule!I1744:I1825</xm:f>
              <xm:sqref>I1748</xm:sqref>
            </x14:sparkline>
            <x14:sparkline>
              <xm:f>Schedule!J1744:J1825</xm:f>
              <xm:sqref>J1748</xm:sqref>
            </x14:sparkline>
            <x14:sparkline>
              <xm:f>Schedule!K1744:K1825</xm:f>
              <xm:sqref>K1748</xm:sqref>
            </x14:sparkline>
            <x14:sparkline>
              <xm:f>Schedule!L1744:L1825</xm:f>
              <xm:sqref>L1748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Schedule!I1661:I1742</xm:f>
              <xm:sqref>I1665</xm:sqref>
            </x14:sparkline>
            <x14:sparkline>
              <xm:f>Schedule!J1661:J1742</xm:f>
              <xm:sqref>J1665</xm:sqref>
            </x14:sparkline>
            <x14:sparkline>
              <xm:f>Schedule!K1661:K1742</xm:f>
              <xm:sqref>K1665</xm:sqref>
            </x14:sparkline>
            <x14:sparkline>
              <xm:f>Schedule!L1661:L1742</xm:f>
              <xm:sqref>L1665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Schedule!I1578:I1659</xm:f>
              <xm:sqref>I1582</xm:sqref>
            </x14:sparkline>
            <x14:sparkline>
              <xm:f>Schedule!J1578:J1659</xm:f>
              <xm:sqref>J1582</xm:sqref>
            </x14:sparkline>
            <x14:sparkline>
              <xm:f>Schedule!K1578:K1659</xm:f>
              <xm:sqref>K1582</xm:sqref>
            </x14:sparkline>
            <x14:sparkline>
              <xm:f>Schedule!L1578:L1659</xm:f>
              <xm:sqref>L1582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Schedule!I1495:I1576</xm:f>
              <xm:sqref>I1499</xm:sqref>
            </x14:sparkline>
            <x14:sparkline>
              <xm:f>Schedule!J1495:J1576</xm:f>
              <xm:sqref>J1499</xm:sqref>
            </x14:sparkline>
            <x14:sparkline>
              <xm:f>Schedule!K1495:K1576</xm:f>
              <xm:sqref>K1499</xm:sqref>
            </x14:sparkline>
            <x14:sparkline>
              <xm:f>Schedule!L1495:L1576</xm:f>
              <xm:sqref>L1499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Schedule!I1412:I1493</xm:f>
              <xm:sqref>I1416</xm:sqref>
            </x14:sparkline>
            <x14:sparkline>
              <xm:f>Schedule!J1412:J1493</xm:f>
              <xm:sqref>J1416</xm:sqref>
            </x14:sparkline>
            <x14:sparkline>
              <xm:f>Schedule!K1412:K1493</xm:f>
              <xm:sqref>K1416</xm:sqref>
            </x14:sparkline>
            <x14:sparkline>
              <xm:f>Schedule!L1412:L1493</xm:f>
              <xm:sqref>L1416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Schedule!I1329:I1410</xm:f>
              <xm:sqref>I1333</xm:sqref>
            </x14:sparkline>
            <x14:sparkline>
              <xm:f>Schedule!J1329:J1410</xm:f>
              <xm:sqref>J1333</xm:sqref>
            </x14:sparkline>
            <x14:sparkline>
              <xm:f>Schedule!K1329:K1410</xm:f>
              <xm:sqref>K1333</xm:sqref>
            </x14:sparkline>
            <x14:sparkline>
              <xm:f>Schedule!L1329:L1410</xm:f>
              <xm:sqref>L1333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Schedule!I1246:I1327</xm:f>
              <xm:sqref>I1250</xm:sqref>
            </x14:sparkline>
            <x14:sparkline>
              <xm:f>Schedule!J1246:J1327</xm:f>
              <xm:sqref>J1250</xm:sqref>
            </x14:sparkline>
            <x14:sparkline>
              <xm:f>Schedule!K1246:K1327</xm:f>
              <xm:sqref>K1250</xm:sqref>
            </x14:sparkline>
            <x14:sparkline>
              <xm:f>Schedule!L1246:L1327</xm:f>
              <xm:sqref>L1250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Schedule!I1163:I1244</xm:f>
              <xm:sqref>I1167</xm:sqref>
            </x14:sparkline>
            <x14:sparkline>
              <xm:f>Schedule!J1163:J1244</xm:f>
              <xm:sqref>J1167</xm:sqref>
            </x14:sparkline>
            <x14:sparkline>
              <xm:f>Schedule!K1163:K1244</xm:f>
              <xm:sqref>K1167</xm:sqref>
            </x14:sparkline>
            <x14:sparkline>
              <xm:f>Schedule!L1163:L1244</xm:f>
              <xm:sqref>L1167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Schedule!I1080:I1161</xm:f>
              <xm:sqref>I1084</xm:sqref>
            </x14:sparkline>
            <x14:sparkline>
              <xm:f>Schedule!J1080:J1161</xm:f>
              <xm:sqref>J1084</xm:sqref>
            </x14:sparkline>
            <x14:sparkline>
              <xm:f>Schedule!K1080:K1161</xm:f>
              <xm:sqref>K1084</xm:sqref>
            </x14:sparkline>
            <x14:sparkline>
              <xm:f>Schedule!L1080:L1161</xm:f>
              <xm:sqref>L1084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Schedule!I997:I1078</xm:f>
              <xm:sqref>I1001</xm:sqref>
            </x14:sparkline>
            <x14:sparkline>
              <xm:f>Schedule!J997:J1078</xm:f>
              <xm:sqref>J1001</xm:sqref>
            </x14:sparkline>
            <x14:sparkline>
              <xm:f>Schedule!K997:K1078</xm:f>
              <xm:sqref>K1001</xm:sqref>
            </x14:sparkline>
            <x14:sparkline>
              <xm:f>Schedule!L997:L1078</xm:f>
              <xm:sqref>L1001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Schedule!I914:I995</xm:f>
              <xm:sqref>I918</xm:sqref>
            </x14:sparkline>
            <x14:sparkline>
              <xm:f>Schedule!J914:J995</xm:f>
              <xm:sqref>J918</xm:sqref>
            </x14:sparkline>
            <x14:sparkline>
              <xm:f>Schedule!K914:K995</xm:f>
              <xm:sqref>K918</xm:sqref>
            </x14:sparkline>
            <x14:sparkline>
              <xm:f>Schedule!L914:L995</xm:f>
              <xm:sqref>L918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Schedule!I831:I912</xm:f>
              <xm:sqref>I835</xm:sqref>
            </x14:sparkline>
            <x14:sparkline>
              <xm:f>Schedule!J831:J912</xm:f>
              <xm:sqref>J835</xm:sqref>
            </x14:sparkline>
            <x14:sparkline>
              <xm:f>Schedule!K831:K912</xm:f>
              <xm:sqref>K835</xm:sqref>
            </x14:sparkline>
            <x14:sparkline>
              <xm:f>Schedule!L831:L912</xm:f>
              <xm:sqref>L835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Schedule!I748:I829</xm:f>
              <xm:sqref>I752</xm:sqref>
            </x14:sparkline>
            <x14:sparkline>
              <xm:f>Schedule!J748:J829</xm:f>
              <xm:sqref>J752</xm:sqref>
            </x14:sparkline>
            <x14:sparkline>
              <xm:f>Schedule!K748:K829</xm:f>
              <xm:sqref>K752</xm:sqref>
            </x14:sparkline>
            <x14:sparkline>
              <xm:f>Schedule!L748:L829</xm:f>
              <xm:sqref>L752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Schedule!I665:I746</xm:f>
              <xm:sqref>I669</xm:sqref>
            </x14:sparkline>
            <x14:sparkline>
              <xm:f>Schedule!J665:J746</xm:f>
              <xm:sqref>J669</xm:sqref>
            </x14:sparkline>
            <x14:sparkline>
              <xm:f>Schedule!K665:K746</xm:f>
              <xm:sqref>K669</xm:sqref>
            </x14:sparkline>
            <x14:sparkline>
              <xm:f>Schedule!L665:L746</xm:f>
              <xm:sqref>L669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Schedule!I582:I663</xm:f>
              <xm:sqref>I586</xm:sqref>
            </x14:sparkline>
            <x14:sparkline>
              <xm:f>Schedule!J582:J663</xm:f>
              <xm:sqref>J586</xm:sqref>
            </x14:sparkline>
            <x14:sparkline>
              <xm:f>Schedule!K582:K663</xm:f>
              <xm:sqref>K586</xm:sqref>
            </x14:sparkline>
            <x14:sparkline>
              <xm:f>Schedule!L582:L663</xm:f>
              <xm:sqref>L586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Schedule!I499:I580</xm:f>
              <xm:sqref>I503</xm:sqref>
            </x14:sparkline>
            <x14:sparkline>
              <xm:f>Schedule!J499:J580</xm:f>
              <xm:sqref>J503</xm:sqref>
            </x14:sparkline>
            <x14:sparkline>
              <xm:f>Schedule!K499:K580</xm:f>
              <xm:sqref>K503</xm:sqref>
            </x14:sparkline>
            <x14:sparkline>
              <xm:f>Schedule!L499:L580</xm:f>
              <xm:sqref>L503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Schedule!I416:I497</xm:f>
              <xm:sqref>I420</xm:sqref>
            </x14:sparkline>
            <x14:sparkline>
              <xm:f>Schedule!J416:J497</xm:f>
              <xm:sqref>J420</xm:sqref>
            </x14:sparkline>
            <x14:sparkline>
              <xm:f>Schedule!K416:K497</xm:f>
              <xm:sqref>K420</xm:sqref>
            </x14:sparkline>
            <x14:sparkline>
              <xm:f>Schedule!L416:L497</xm:f>
              <xm:sqref>L420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Schedule!I333:I414</xm:f>
              <xm:sqref>I337</xm:sqref>
            </x14:sparkline>
            <x14:sparkline>
              <xm:f>Schedule!J333:J414</xm:f>
              <xm:sqref>J337</xm:sqref>
            </x14:sparkline>
            <x14:sparkline>
              <xm:f>Schedule!K333:K414</xm:f>
              <xm:sqref>K337</xm:sqref>
            </x14:sparkline>
            <x14:sparkline>
              <xm:f>Schedule!L333:L414</xm:f>
              <xm:sqref>L337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Schedule!I250:I331</xm:f>
              <xm:sqref>I254</xm:sqref>
            </x14:sparkline>
            <x14:sparkline>
              <xm:f>Schedule!J250:J331</xm:f>
              <xm:sqref>J254</xm:sqref>
            </x14:sparkline>
            <x14:sparkline>
              <xm:f>Schedule!K250:K331</xm:f>
              <xm:sqref>K254</xm:sqref>
            </x14:sparkline>
            <x14:sparkline>
              <xm:f>Schedule!L250:L331</xm:f>
              <xm:sqref>L254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Schedule!I167:I248</xm:f>
              <xm:sqref>I171</xm:sqref>
            </x14:sparkline>
            <x14:sparkline>
              <xm:f>Schedule!J167:J248</xm:f>
              <xm:sqref>J171</xm:sqref>
            </x14:sparkline>
            <x14:sparkline>
              <xm:f>Schedule!K167:K248</xm:f>
              <xm:sqref>K171</xm:sqref>
            </x14:sparkline>
            <x14:sparkline>
              <xm:f>Schedule!L167:L248</xm:f>
              <xm:sqref>L171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Schedule!I89:I165</xm:f>
              <xm:sqref>I88</xm:sqref>
            </x14:sparkline>
            <x14:sparkline>
              <xm:f>Schedule!J89:J165</xm:f>
              <xm:sqref>J88</xm:sqref>
            </x14:sparkline>
            <x14:sparkline>
              <xm:f>Schedule!K89:K165</xm:f>
              <xm:sqref>K88</xm:sqref>
            </x14:sparkline>
            <x14:sparkline>
              <xm:f>Schedule!L89:L165</xm:f>
              <xm:sqref>L88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Schedule!H26:H78</xm:f>
              <xm:sqref>H5</xm:sqref>
            </x14:sparkline>
            <x14:sparkline>
              <xm:f>Schedule!I35:I87</xm:f>
              <xm:sqref>I5</xm:sqref>
            </x14:sparkline>
            <x14:sparkline>
              <xm:f>Schedule!J35:J87</xm:f>
              <xm:sqref>J5</xm:sqref>
            </x14:sparkline>
            <x14:sparkline>
              <xm:f>Schedule!K35:K87</xm:f>
              <xm:sqref>K5</xm:sqref>
            </x14:sparkline>
            <x14:sparkline>
              <xm:f>Schedule!L35:L87</xm:f>
              <xm:sqref>L5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B050"/>
  </sheetPr>
  <dimension ref="A1:V4061"/>
  <sheetViews>
    <sheetView topLeftCell="B1" zoomScale="70" zoomScaleNormal="70" zoomScalePageLayoutView="70" workbookViewId="0">
      <pane ySplit="25" topLeftCell="A26" activePane="bottomLeft" state="frozen"/>
      <selection pane="bottomLeft" activeCell="K34" sqref="K34"/>
    </sheetView>
  </sheetViews>
  <sheetFormatPr baseColWidth="10" defaultRowHeight="15.75" outlineLevelRow="1" x14ac:dyDescent="0.25"/>
  <cols>
    <col min="1" max="1" width="16.875" bestFit="1" customWidth="1"/>
    <col min="2" max="2" width="15.625" bestFit="1" customWidth="1"/>
    <col min="3" max="3" width="26.125" bestFit="1" customWidth="1"/>
    <col min="6" max="6" width="5.625" style="115" customWidth="1"/>
    <col min="7" max="7" width="27.875" style="158" bestFit="1" customWidth="1"/>
    <col min="10" max="10" width="5.125" customWidth="1"/>
    <col min="11" max="11" width="14.875" customWidth="1"/>
    <col min="12" max="12" width="9.625" customWidth="1"/>
    <col min="13" max="13" width="5.5" bestFit="1" customWidth="1"/>
    <col min="14" max="15" width="5.625" customWidth="1"/>
    <col min="16" max="16" width="9" bestFit="1" customWidth="1"/>
    <col min="17" max="17" width="10.625" hidden="1" customWidth="1"/>
    <col min="18" max="19" width="7.375" bestFit="1" customWidth="1"/>
  </cols>
  <sheetData>
    <row r="1" spans="1:22" ht="15.75" customHeight="1" x14ac:dyDescent="0.25">
      <c r="A1" s="233"/>
      <c r="B1" s="417" t="s">
        <v>587</v>
      </c>
      <c r="C1" s="417"/>
      <c r="D1" s="418"/>
      <c r="E1" s="173"/>
      <c r="F1" s="329" t="s">
        <v>2002</v>
      </c>
      <c r="G1" s="417" t="s">
        <v>1440</v>
      </c>
      <c r="H1" s="418"/>
      <c r="I1" s="144"/>
      <c r="J1" s="439"/>
      <c r="K1" s="439"/>
      <c r="L1" s="439"/>
      <c r="M1" s="439"/>
      <c r="N1" s="439"/>
      <c r="O1" s="439"/>
      <c r="P1" s="439"/>
      <c r="Q1" s="144"/>
      <c r="R1" s="144"/>
      <c r="S1" s="144"/>
      <c r="T1" s="144"/>
      <c r="U1" s="331"/>
      <c r="V1" s="331"/>
    </row>
    <row r="2" spans="1:22" ht="15.75" hidden="1" customHeight="1" outlineLevel="1" x14ac:dyDescent="0.25">
      <c r="A2" s="233"/>
      <c r="B2" s="176" t="str">
        <f t="shared" ref="B2:C6" si="0">INDEX(B27:B661,MATCH(C2,C27:C661,0))</f>
        <v>GOL</v>
      </c>
      <c r="C2" s="158" t="str">
        <f t="shared" si="0"/>
        <v>Stephen Curry, PG</v>
      </c>
      <c r="D2" s="177">
        <f>MAX(D27:D641)</f>
        <v>31.6</v>
      </c>
      <c r="E2" s="173"/>
      <c r="F2" s="269">
        <v>1</v>
      </c>
      <c r="G2" s="158" t="str">
        <f>'Player Rank'!C17</f>
        <v>Kawhi Leonard, SA</v>
      </c>
      <c r="H2" s="177">
        <f>(SUBSTITUTE('Player Rank'!M17,".",","))*1</f>
        <v>44.16</v>
      </c>
      <c r="I2" s="144"/>
      <c r="J2" s="157"/>
      <c r="K2" s="423"/>
      <c r="L2" s="423"/>
      <c r="M2" s="423"/>
      <c r="N2" s="423"/>
      <c r="O2" s="423"/>
      <c r="P2" s="423"/>
      <c r="Q2" s="144"/>
      <c r="R2" s="144"/>
      <c r="S2" s="144"/>
      <c r="T2" s="144"/>
      <c r="U2" s="331"/>
      <c r="V2" s="331"/>
    </row>
    <row r="3" spans="1:22" ht="15.75" hidden="1" customHeight="1" outlineLevel="1" x14ac:dyDescent="0.25">
      <c r="A3" s="233"/>
      <c r="B3" s="176" t="str">
        <f t="shared" si="0"/>
        <v>OKL</v>
      </c>
      <c r="C3" s="158" t="str">
        <f t="shared" si="0"/>
        <v>Kevin Durant, SF</v>
      </c>
      <c r="D3" s="178">
        <f>LARGE(D27:D661,2)</f>
        <v>28.2</v>
      </c>
      <c r="E3" s="173"/>
      <c r="F3" s="269">
        <v>2</v>
      </c>
      <c r="G3" s="158" t="str">
        <f>'Player Rank'!C18</f>
        <v>Damian Lillard, POR</v>
      </c>
      <c r="H3" s="177">
        <f>(SUBSTITUTE('Player Rank'!M18,".",","))*1</f>
        <v>44.08</v>
      </c>
      <c r="I3" s="144"/>
      <c r="J3" s="157"/>
      <c r="K3" s="423"/>
      <c r="L3" s="423"/>
      <c r="M3" s="423"/>
      <c r="N3" s="423"/>
      <c r="O3" s="423"/>
      <c r="P3" s="423"/>
      <c r="Q3" s="144"/>
      <c r="R3" s="144"/>
      <c r="S3" s="144"/>
      <c r="T3" s="144"/>
      <c r="U3" s="331"/>
      <c r="V3" s="331"/>
    </row>
    <row r="4" spans="1:22" ht="15.75" hidden="1" customHeight="1" outlineLevel="1" x14ac:dyDescent="0.25">
      <c r="A4" s="233"/>
      <c r="B4" s="176" t="str">
        <f t="shared" si="0"/>
        <v>SAN</v>
      </c>
      <c r="C4" s="158" t="str">
        <f t="shared" si="0"/>
        <v>Boban Marjanovic, C</v>
      </c>
      <c r="D4" s="178">
        <f>LARGE(D28:D662,3)</f>
        <v>27.8</v>
      </c>
      <c r="E4" s="173"/>
      <c r="F4" s="269">
        <v>3</v>
      </c>
      <c r="G4" s="158" t="str">
        <f>'Player Rank'!C19</f>
        <v>Anthony Davis, NO</v>
      </c>
      <c r="H4" s="177">
        <f>(SUBSTITUTE('Player Rank'!M19,".",","))*1</f>
        <v>42.97</v>
      </c>
      <c r="I4" s="144"/>
      <c r="J4" s="157"/>
      <c r="K4" s="423"/>
      <c r="L4" s="423"/>
      <c r="M4" s="423"/>
      <c r="N4" s="423"/>
      <c r="O4" s="423"/>
      <c r="P4" s="423"/>
      <c r="Q4" s="144"/>
      <c r="R4" s="144"/>
      <c r="S4" s="144"/>
      <c r="T4" s="144"/>
      <c r="U4" s="331"/>
      <c r="V4" s="331"/>
    </row>
    <row r="5" spans="1:22" ht="15.75" hidden="1" customHeight="1" outlineLevel="1" x14ac:dyDescent="0.25">
      <c r="A5" s="233"/>
      <c r="B5" s="176" t="str">
        <f t="shared" si="0"/>
        <v>CLE</v>
      </c>
      <c r="C5" s="156" t="str">
        <f t="shared" si="0"/>
        <v>LeBron James, SF</v>
      </c>
      <c r="D5" s="179">
        <f>LARGE(D29:D663,4)</f>
        <v>27.6</v>
      </c>
      <c r="E5" s="173"/>
      <c r="F5" s="269">
        <v>4</v>
      </c>
      <c r="G5" s="158" t="str">
        <f>'Player Rank'!C20</f>
        <v>Cody Zeller, CHA</v>
      </c>
      <c r="H5" s="177">
        <f>(SUBSTITUTE('Player Rank'!M20,".",","))*1</f>
        <v>42.85</v>
      </c>
      <c r="I5" s="144"/>
      <c r="J5" s="157"/>
      <c r="K5" s="423"/>
      <c r="L5" s="423"/>
      <c r="M5" s="423"/>
      <c r="N5" s="423"/>
      <c r="O5" s="423"/>
      <c r="P5" s="423"/>
      <c r="Q5" s="144"/>
      <c r="R5" s="144"/>
      <c r="S5" s="144"/>
      <c r="T5" s="144"/>
      <c r="U5" s="331"/>
      <c r="V5" s="331"/>
    </row>
    <row r="6" spans="1:22" ht="15.75" hidden="1" customHeight="1" outlineLevel="1" x14ac:dyDescent="0.25">
      <c r="A6" s="233"/>
      <c r="B6" s="176" t="str">
        <f t="shared" si="0"/>
        <v>LAC</v>
      </c>
      <c r="C6" s="156" t="str">
        <f t="shared" si="0"/>
        <v>Chris Paul, PG</v>
      </c>
      <c r="D6" s="179">
        <f>LARGE(D30:D664,6)</f>
        <v>26.3</v>
      </c>
      <c r="E6" s="173"/>
      <c r="F6" s="269">
        <v>5</v>
      </c>
      <c r="G6" s="158" t="str">
        <f>'Player Rank'!C21</f>
        <v>Dragan Bender, PHX</v>
      </c>
      <c r="H6" s="177">
        <f>(SUBSTITUTE('Player Rank'!M21,".",","))*1</f>
        <v>41.14</v>
      </c>
      <c r="I6" s="172"/>
      <c r="J6" s="172"/>
      <c r="K6" s="423"/>
      <c r="L6" s="423"/>
      <c r="M6" s="423"/>
      <c r="N6" s="423"/>
      <c r="O6" s="423"/>
      <c r="P6" s="423"/>
      <c r="Q6" s="144"/>
      <c r="R6" s="144"/>
      <c r="S6" s="144"/>
      <c r="T6" s="144"/>
      <c r="U6" s="331"/>
      <c r="V6" s="331"/>
    </row>
    <row r="7" spans="1:22" ht="15.75" hidden="1" customHeight="1" outlineLevel="1" x14ac:dyDescent="0.25">
      <c r="A7" s="233"/>
      <c r="B7" s="176" t="str">
        <f t="shared" ref="B7:B21" si="1">INDEX(B32:B666,MATCH(C7,C32:C666,0))</f>
        <v>SAN</v>
      </c>
      <c r="C7" s="156" t="str">
        <f>INDEX(C31:C665,MATCH(D7,D31:D665,0))</f>
        <v>Kawhi Leonard, SF</v>
      </c>
      <c r="D7" s="179">
        <f>LARGE(D31:D665,7)</f>
        <v>26.1</v>
      </c>
      <c r="E7" s="173"/>
      <c r="F7" s="269">
        <v>6</v>
      </c>
      <c r="G7" s="158" t="str">
        <f>'Player Rank'!C22</f>
        <v>Joe Johnson, UTAH</v>
      </c>
      <c r="H7" s="177">
        <f>(SUBSTITUTE('Player Rank'!M22,".",","))*1</f>
        <v>40.409999999999997</v>
      </c>
      <c r="I7" s="172"/>
      <c r="J7" s="172"/>
      <c r="K7" s="423"/>
      <c r="L7" s="423"/>
      <c r="M7" s="423"/>
      <c r="N7" s="449"/>
      <c r="O7" s="449"/>
      <c r="P7" s="449"/>
      <c r="Q7" s="144"/>
      <c r="R7" s="144"/>
      <c r="S7" s="144"/>
      <c r="T7" s="144"/>
      <c r="U7" s="331"/>
      <c r="V7" s="331"/>
    </row>
    <row r="8" spans="1:22" ht="15.75" hidden="1" customHeight="1" outlineLevel="1" x14ac:dyDescent="0.25">
      <c r="A8" s="233"/>
      <c r="B8" s="176" t="str">
        <f t="shared" si="1"/>
        <v>MIA</v>
      </c>
      <c r="C8" s="156" t="str">
        <f>INDEX(C32:C666,MATCH(D8,D32:D666,0))</f>
        <v>Hassan Whiteside, C</v>
      </c>
      <c r="D8" s="179">
        <f>LARGE(D32:D666,8)</f>
        <v>25.7</v>
      </c>
      <c r="E8" s="173"/>
      <c r="F8" s="269">
        <v>7</v>
      </c>
      <c r="G8" s="158" t="str">
        <f>'Player Rank'!C23</f>
        <v>Jonas Valanciunas, TOR</v>
      </c>
      <c r="H8" s="177">
        <f>(SUBSTITUTE('Player Rank'!M23,".",","))*1</f>
        <v>40.26</v>
      </c>
      <c r="I8" s="172"/>
      <c r="J8" s="172"/>
      <c r="K8" s="423"/>
      <c r="L8" s="423"/>
      <c r="M8" s="423"/>
      <c r="N8" s="449"/>
      <c r="O8" s="449"/>
      <c r="P8" s="449"/>
      <c r="Q8" s="144"/>
      <c r="R8" s="144"/>
      <c r="S8" s="144"/>
      <c r="T8" s="144"/>
      <c r="U8" s="331"/>
      <c r="V8" s="331"/>
    </row>
    <row r="9" spans="1:22" ht="15.75" hidden="1" customHeight="1" outlineLevel="1" x14ac:dyDescent="0.25">
      <c r="A9" s="233"/>
      <c r="B9" s="176" t="str">
        <f t="shared" si="1"/>
        <v>HOU</v>
      </c>
      <c r="C9" s="156" t="str">
        <f>INDEX(C33:C667,MATCH(D9,D33:D667,0))</f>
        <v>James Harden, SG</v>
      </c>
      <c r="D9" s="179">
        <f>LARGE(D33:D667,9)</f>
        <v>25.4</v>
      </c>
      <c r="E9" s="173"/>
      <c r="F9" s="269">
        <v>8</v>
      </c>
      <c r="G9" s="158" t="str">
        <f>'Player Rank'!C24</f>
        <v>Louis Williams, LAL</v>
      </c>
      <c r="H9" s="177">
        <f>(SUBSTITUTE('Player Rank'!M24,".",","))*1</f>
        <v>39.36</v>
      </c>
      <c r="I9" s="172"/>
      <c r="J9" s="172"/>
      <c r="K9" s="423"/>
      <c r="L9" s="423"/>
      <c r="M9" s="423"/>
      <c r="N9" s="449"/>
      <c r="O9" s="449"/>
      <c r="P9" s="449"/>
      <c r="Q9" s="144"/>
      <c r="R9" s="144"/>
      <c r="S9" s="144"/>
      <c r="T9" s="144"/>
      <c r="U9" s="331"/>
      <c r="V9" s="331"/>
    </row>
    <row r="10" spans="1:22" ht="15.75" hidden="1" customHeight="1" outlineLevel="1" x14ac:dyDescent="0.25">
      <c r="A10" s="233"/>
      <c r="B10" s="176" t="str">
        <f t="shared" si="1"/>
        <v>NEW</v>
      </c>
      <c r="C10" s="156" t="str">
        <f>INDEX(C34:C668,MATCH(D10,D34:D668,0))</f>
        <v>Anthony Davis, PF</v>
      </c>
      <c r="D10" s="179">
        <f>LARGE(D34:D668,10)</f>
        <v>25.1</v>
      </c>
      <c r="E10" s="173"/>
      <c r="F10" s="269">
        <v>9</v>
      </c>
      <c r="G10" s="158" t="str">
        <f>'Player Rank'!C25</f>
        <v>Tyler Zeller, BOS</v>
      </c>
      <c r="H10" s="177">
        <f>(SUBSTITUTE('Player Rank'!M25,".",","))*1</f>
        <v>37.76</v>
      </c>
      <c r="I10" s="173"/>
      <c r="J10" s="157"/>
      <c r="K10" s="423"/>
      <c r="L10" s="423"/>
      <c r="M10" s="423"/>
      <c r="N10" s="449"/>
      <c r="O10" s="449"/>
      <c r="P10" s="449"/>
      <c r="Q10" s="144"/>
      <c r="R10" s="144"/>
      <c r="S10" s="144"/>
      <c r="T10" s="144"/>
      <c r="U10" s="331"/>
      <c r="V10" s="331"/>
    </row>
    <row r="11" spans="1:22" ht="15.75" hidden="1" customHeight="1" outlineLevel="1" x14ac:dyDescent="0.25">
      <c r="A11" s="233"/>
      <c r="B11" s="176" t="str">
        <f t="shared" si="1"/>
        <v>BOS</v>
      </c>
      <c r="C11" s="156" t="str">
        <f>INDEX(C35:C669,MATCH(D11,D35:D669,0))</f>
        <v>David Lee, PF†</v>
      </c>
      <c r="D11" s="179">
        <f>LARGE(D35:D669,11)</f>
        <v>24.1</v>
      </c>
      <c r="E11" s="173"/>
      <c r="F11" s="269">
        <v>10</v>
      </c>
      <c r="G11" s="158" t="str">
        <f>'Player Rank'!C26</f>
        <v>K.J. McDaniels, HOU</v>
      </c>
      <c r="H11" s="177">
        <f>(SUBSTITUTE('Player Rank'!M26,".",","))*1</f>
        <v>37.61</v>
      </c>
      <c r="I11" s="173"/>
      <c r="J11" s="157"/>
      <c r="K11" s="423"/>
      <c r="L11" s="423"/>
      <c r="M11" s="423"/>
      <c r="N11" s="423"/>
      <c r="O11" s="423"/>
      <c r="P11" s="423"/>
      <c r="Q11" s="144"/>
      <c r="R11" s="144"/>
      <c r="S11" s="144"/>
      <c r="T11" s="144"/>
      <c r="U11" s="331"/>
      <c r="V11" s="331"/>
    </row>
    <row r="12" spans="1:22" ht="15.75" hidden="1" customHeight="1" outlineLevel="1" x14ac:dyDescent="0.25">
      <c r="A12" s="233"/>
      <c r="B12" s="176" t="str">
        <f t="shared" si="1"/>
        <v>BOS</v>
      </c>
      <c r="C12" s="156" t="str">
        <f t="shared" ref="C12:C21" si="2">INDEX(C35:C669,MATCH(D12,D35:D669,0))</f>
        <v>Coty Clarke, PF</v>
      </c>
      <c r="D12" s="250">
        <f>LARGE(D36:D670,13)</f>
        <v>24</v>
      </c>
      <c r="E12" s="173"/>
      <c r="F12" s="269">
        <v>11</v>
      </c>
      <c r="G12" s="158" t="str">
        <f>'Player Rank'!C28</f>
        <v>Myles Turner, IND</v>
      </c>
      <c r="H12" s="177">
        <f>(SUBSTITUTE('Player Rank'!M28,".",","))*1</f>
        <v>36.47</v>
      </c>
      <c r="I12" s="173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331"/>
      <c r="V12" s="331"/>
    </row>
    <row r="13" spans="1:22" ht="15.75" hidden="1" customHeight="1" outlineLevel="1" x14ac:dyDescent="0.25">
      <c r="A13" s="233"/>
      <c r="B13" s="176" t="str">
        <f t="shared" si="1"/>
        <v>SAC</v>
      </c>
      <c r="C13" s="156" t="str">
        <f t="shared" si="2"/>
        <v>DeMarcus Cousins, C</v>
      </c>
      <c r="D13" s="179">
        <f>LARGE(D37:D671,14)</f>
        <v>23.7</v>
      </c>
      <c r="E13" s="173"/>
      <c r="F13" s="269">
        <v>12</v>
      </c>
      <c r="G13" s="158" t="str">
        <f>'Player Rank'!C29</f>
        <v>Jordan Clarkson, LAL</v>
      </c>
      <c r="H13" s="177">
        <f>(SUBSTITUTE('Player Rank'!M29,".",","))*1</f>
        <v>35.99</v>
      </c>
      <c r="I13" s="173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331"/>
      <c r="V13" s="331"/>
    </row>
    <row r="14" spans="1:22" ht="15.75" hidden="1" customHeight="1" outlineLevel="1" x14ac:dyDescent="0.25">
      <c r="A14" s="233"/>
      <c r="B14" s="176" t="str">
        <f t="shared" si="1"/>
        <v>TOR</v>
      </c>
      <c r="C14" s="156" t="str">
        <f t="shared" si="2"/>
        <v>Jonas Valanciunas, C</v>
      </c>
      <c r="D14" s="179">
        <f>LARGE(D38:D672,15)</f>
        <v>22.6</v>
      </c>
      <c r="E14" s="173"/>
      <c r="F14" s="269">
        <v>13</v>
      </c>
      <c r="G14" s="158" t="str">
        <f>'Player Rank'!C30</f>
        <v>DeMar DeRozan, TOR</v>
      </c>
      <c r="H14" s="177">
        <f>(SUBSTITUTE('Player Rank'!M30,".",","))*1</f>
        <v>35.340000000000003</v>
      </c>
      <c r="I14" s="173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331"/>
      <c r="V14" s="331"/>
    </row>
    <row r="15" spans="1:22" ht="15.75" hidden="1" customHeight="1" outlineLevel="1" x14ac:dyDescent="0.25">
      <c r="A15" s="233"/>
      <c r="B15" s="176" t="str">
        <f t="shared" si="1"/>
        <v>PHI</v>
      </c>
      <c r="C15" s="156" t="str">
        <f t="shared" si="2"/>
        <v>Carl Landry, PF</v>
      </c>
      <c r="D15" s="179">
        <f>LARGE(D39:D673,18)</f>
        <v>22.5</v>
      </c>
      <c r="E15" s="173"/>
      <c r="F15" s="269">
        <v>14</v>
      </c>
      <c r="G15" s="158" t="str">
        <f>'Player Rank'!C31</f>
        <v>James Harden, HOU</v>
      </c>
      <c r="H15" s="177">
        <f>(SUBSTITUTE('Player Rank'!M31,".",","))*1</f>
        <v>35.229999999999997</v>
      </c>
      <c r="I15" s="173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331"/>
      <c r="V15" s="331"/>
    </row>
    <row r="16" spans="1:22" ht="15.75" hidden="1" customHeight="1" outlineLevel="1" x14ac:dyDescent="0.25">
      <c r="A16" s="233"/>
      <c r="B16" s="176" t="str">
        <f t="shared" si="1"/>
        <v>SAN</v>
      </c>
      <c r="C16" s="156" t="str">
        <f t="shared" si="2"/>
        <v>LaMarcus Aldridge, PF</v>
      </c>
      <c r="D16" s="179">
        <f>LARGE(D40:D674,19)</f>
        <v>22.4</v>
      </c>
      <c r="E16" s="173"/>
      <c r="F16" s="269">
        <v>15</v>
      </c>
      <c r="G16" s="158" t="str">
        <f>'Player Rank'!C32</f>
        <v>Patty Mills, SA</v>
      </c>
      <c r="H16" s="177">
        <f>(SUBSTITUTE('Player Rank'!M32,".",","))*1</f>
        <v>35.21</v>
      </c>
      <c r="I16" s="173"/>
      <c r="J16" s="144"/>
      <c r="K16" s="440" t="s">
        <v>588</v>
      </c>
      <c r="L16" s="441"/>
      <c r="M16" s="441"/>
      <c r="N16" s="442"/>
      <c r="O16" s="450" t="s">
        <v>1439</v>
      </c>
      <c r="P16" s="450"/>
      <c r="Q16" s="450"/>
      <c r="R16" s="450"/>
      <c r="S16" s="450"/>
      <c r="T16" s="144"/>
      <c r="U16" s="331"/>
      <c r="V16" s="331"/>
    </row>
    <row r="17" spans="1:22" ht="15.75" hidden="1" customHeight="1" outlineLevel="1" x14ac:dyDescent="0.25">
      <c r="A17" s="233"/>
      <c r="B17" s="176" t="str">
        <f t="shared" si="1"/>
        <v>TOR</v>
      </c>
      <c r="C17" s="156" t="str">
        <f t="shared" si="2"/>
        <v>Kyle Lowry, PG</v>
      </c>
      <c r="D17" s="179">
        <f>LARGE(D41:D675,20)</f>
        <v>22.2</v>
      </c>
      <c r="E17" s="173"/>
      <c r="F17" s="428" t="s">
        <v>2001</v>
      </c>
      <c r="G17" s="429"/>
      <c r="H17" s="430"/>
      <c r="I17" s="144"/>
      <c r="J17" s="144"/>
      <c r="K17" s="443"/>
      <c r="L17" s="444"/>
      <c r="M17" s="444"/>
      <c r="N17" s="445"/>
      <c r="O17" s="450"/>
      <c r="P17" s="450"/>
      <c r="Q17" s="450"/>
      <c r="R17" s="450"/>
      <c r="S17" s="450"/>
      <c r="T17" s="144"/>
      <c r="U17" s="331"/>
      <c r="V17" s="331"/>
    </row>
    <row r="18" spans="1:22" ht="15.75" hidden="1" customHeight="1" outlineLevel="1" x14ac:dyDescent="0.25">
      <c r="A18" s="233"/>
      <c r="B18" s="176" t="str">
        <f t="shared" si="1"/>
        <v>MIA</v>
      </c>
      <c r="C18" s="156" t="str">
        <f t="shared" si="2"/>
        <v>Jarnell Stokes, PF†</v>
      </c>
      <c r="D18" s="179">
        <f>LARGE(D42:D676,23)</f>
        <v>21.9</v>
      </c>
      <c r="E18" s="173"/>
      <c r="F18" s="431"/>
      <c r="G18" s="432"/>
      <c r="H18" s="433"/>
      <c r="I18" s="144"/>
      <c r="J18" s="144"/>
      <c r="K18" s="443"/>
      <c r="L18" s="444"/>
      <c r="M18" s="444"/>
      <c r="N18" s="445"/>
      <c r="O18" s="450"/>
      <c r="P18" s="450"/>
      <c r="Q18" s="450"/>
      <c r="R18" s="450"/>
      <c r="S18" s="450"/>
      <c r="T18" s="144"/>
      <c r="U18" s="331"/>
      <c r="V18" s="331"/>
    </row>
    <row r="19" spans="1:22" ht="15.75" hidden="1" customHeight="1" outlineLevel="1" x14ac:dyDescent="0.25">
      <c r="A19" s="233"/>
      <c r="B19" s="176" t="str">
        <f t="shared" si="1"/>
        <v>BRO</v>
      </c>
      <c r="C19" s="156" t="str">
        <f t="shared" si="2"/>
        <v>Brook Lopez, C</v>
      </c>
      <c r="D19" s="179">
        <f>LARGE(D43:D677,25)</f>
        <v>21.8</v>
      </c>
      <c r="E19" s="173"/>
      <c r="F19" s="431"/>
      <c r="G19" s="432"/>
      <c r="H19" s="433"/>
      <c r="I19" s="144"/>
      <c r="J19" s="144"/>
      <c r="K19" s="443"/>
      <c r="L19" s="444"/>
      <c r="M19" s="444"/>
      <c r="N19" s="445"/>
      <c r="O19" s="450"/>
      <c r="P19" s="450"/>
      <c r="Q19" s="450"/>
      <c r="R19" s="450"/>
      <c r="S19" s="450"/>
      <c r="T19" s="144"/>
      <c r="U19" s="331"/>
      <c r="V19" s="331"/>
    </row>
    <row r="20" spans="1:22" ht="15.75" hidden="1" customHeight="1" outlineLevel="1" x14ac:dyDescent="0.25">
      <c r="A20" s="233"/>
      <c r="B20" s="176" t="str">
        <f t="shared" si="1"/>
        <v>UTA</v>
      </c>
      <c r="C20" s="156" t="str">
        <f t="shared" si="2"/>
        <v>Derrick Favors, PF</v>
      </c>
      <c r="D20" s="179">
        <f>LARGE(D44:D678,27)</f>
        <v>21.7</v>
      </c>
      <c r="E20" s="173"/>
      <c r="F20" s="431"/>
      <c r="G20" s="432"/>
      <c r="H20" s="433"/>
      <c r="I20" s="144"/>
      <c r="J20" s="144"/>
      <c r="K20" s="443"/>
      <c r="L20" s="444"/>
      <c r="M20" s="444"/>
      <c r="N20" s="445"/>
      <c r="O20" s="450"/>
      <c r="P20" s="450"/>
      <c r="Q20" s="450"/>
      <c r="R20" s="450"/>
      <c r="S20" s="450"/>
      <c r="T20" s="144"/>
      <c r="U20" s="331"/>
      <c r="V20" s="331"/>
    </row>
    <row r="21" spans="1:22" ht="15.75" hidden="1" customHeight="1" outlineLevel="1" x14ac:dyDescent="0.25">
      <c r="A21" s="233"/>
      <c r="B21" s="180" t="str">
        <f t="shared" si="1"/>
        <v>TOR</v>
      </c>
      <c r="C21" s="182" t="str">
        <f t="shared" si="2"/>
        <v>DeMar DeRozan, SG</v>
      </c>
      <c r="D21" s="181">
        <f>LARGE(D45:D679,28)</f>
        <v>21.6</v>
      </c>
      <c r="E21" s="173"/>
      <c r="F21" s="434"/>
      <c r="G21" s="435"/>
      <c r="H21" s="436"/>
      <c r="I21" s="144"/>
      <c r="J21" s="144"/>
      <c r="K21" s="446"/>
      <c r="L21" s="447"/>
      <c r="M21" s="447"/>
      <c r="N21" s="448"/>
      <c r="O21" s="450"/>
      <c r="P21" s="450"/>
      <c r="Q21" s="450"/>
      <c r="R21" s="450"/>
      <c r="S21" s="450"/>
      <c r="T21" s="144"/>
      <c r="U21" s="331"/>
      <c r="V21" s="331"/>
    </row>
    <row r="22" spans="1:22" ht="15.75" customHeight="1" collapsed="1" x14ac:dyDescent="0.25">
      <c r="A22" s="233"/>
      <c r="B22" s="145"/>
      <c r="C22" s="157"/>
      <c r="D22" s="157"/>
      <c r="E22" s="173"/>
      <c r="F22" s="272"/>
      <c r="G22" s="157"/>
      <c r="H22" s="173"/>
      <c r="I22" s="173"/>
      <c r="J22" s="144"/>
      <c r="K22" s="144"/>
      <c r="L22" s="144"/>
      <c r="M22" s="174"/>
      <c r="N22" s="174"/>
      <c r="O22" s="174"/>
      <c r="P22" s="144"/>
      <c r="Q22" s="144"/>
      <c r="R22" s="144"/>
      <c r="S22" s="144"/>
      <c r="T22" s="144"/>
      <c r="U22" s="331"/>
      <c r="V22" s="331"/>
    </row>
    <row r="23" spans="1:22" x14ac:dyDescent="0.25">
      <c r="A23" s="154" t="s">
        <v>656</v>
      </c>
      <c r="B23" s="154" t="s">
        <v>658</v>
      </c>
      <c r="C23" s="152" t="s">
        <v>667</v>
      </c>
      <c r="D23" s="424" t="s">
        <v>537</v>
      </c>
      <c r="E23" s="425"/>
      <c r="F23" s="273"/>
      <c r="G23" s="152" t="s">
        <v>667</v>
      </c>
      <c r="H23" s="424" t="s">
        <v>538</v>
      </c>
      <c r="I23" s="425"/>
      <c r="J23" s="144"/>
      <c r="K23" s="144"/>
      <c r="L23" s="144"/>
      <c r="M23" s="421" t="s">
        <v>539</v>
      </c>
      <c r="N23" s="421"/>
      <c r="O23" s="421"/>
      <c r="P23" s="164"/>
      <c r="Q23" s="144"/>
      <c r="R23" s="144"/>
      <c r="S23" s="144"/>
      <c r="T23" s="144"/>
      <c r="U23" s="331"/>
      <c r="V23" s="331"/>
    </row>
    <row r="24" spans="1:22" x14ac:dyDescent="0.25">
      <c r="A24" s="154" t="s">
        <v>659</v>
      </c>
      <c r="B24" s="155" t="s">
        <v>660</v>
      </c>
      <c r="C24" s="144"/>
      <c r="D24" s="426"/>
      <c r="E24" s="427"/>
      <c r="F24" s="273"/>
      <c r="G24" s="153"/>
      <c r="H24" s="426"/>
      <c r="I24" s="427"/>
      <c r="J24" s="144"/>
      <c r="K24" s="422" t="s">
        <v>654</v>
      </c>
      <c r="L24" s="422"/>
      <c r="M24" s="147">
        <v>1</v>
      </c>
      <c r="N24" s="147">
        <v>3</v>
      </c>
      <c r="O24" s="147">
        <v>5</v>
      </c>
      <c r="P24" s="175"/>
      <c r="Q24" s="144"/>
      <c r="R24" s="144"/>
      <c r="S24" s="144"/>
      <c r="T24" s="144"/>
      <c r="U24" s="331"/>
      <c r="V24" s="331"/>
    </row>
    <row r="25" spans="1:22" ht="16.5" thickBot="1" x14ac:dyDescent="0.3">
      <c r="A25" s="154" t="s">
        <v>657</v>
      </c>
      <c r="B25" s="163" t="s">
        <v>661</v>
      </c>
      <c r="C25" s="144"/>
      <c r="D25" s="119" t="s">
        <v>224</v>
      </c>
      <c r="E25" s="148" t="s">
        <v>53</v>
      </c>
      <c r="F25" s="272"/>
      <c r="G25" s="157"/>
      <c r="H25" s="119" t="s">
        <v>224</v>
      </c>
      <c r="I25" s="148" t="s">
        <v>53</v>
      </c>
      <c r="J25" s="171"/>
      <c r="K25" s="422" t="s">
        <v>655</v>
      </c>
      <c r="L25" s="422"/>
      <c r="M25" s="147">
        <v>2</v>
      </c>
      <c r="N25" s="147">
        <v>4</v>
      </c>
      <c r="O25" s="147">
        <v>6</v>
      </c>
      <c r="P25" s="144"/>
      <c r="Q25" s="144"/>
      <c r="R25" s="144"/>
      <c r="S25" s="144"/>
      <c r="T25" s="144"/>
      <c r="U25" s="331"/>
      <c r="V25" s="331"/>
    </row>
    <row r="26" spans="1:22" ht="16.5" thickBot="1" x14ac:dyDescent="0.3">
      <c r="B26" s="437" t="str">
        <f>Stats!B57</f>
        <v>Atlanta</v>
      </c>
      <c r="C26" s="438"/>
      <c r="G26" s="156"/>
      <c r="H26" s="97"/>
      <c r="N26" s="168"/>
      <c r="P26" s="115"/>
      <c r="Q26" t="e">
        <f>(LARGE(PER!H27:H46,1)+LARGE(PER!H27:H46,2))/2</f>
        <v>#NUM!</v>
      </c>
      <c r="R26" s="115"/>
    </row>
    <row r="27" spans="1:22" ht="16.5" customHeight="1" outlineLevel="1" thickBot="1" x14ac:dyDescent="0.3">
      <c r="B27" s="226" t="s">
        <v>559</v>
      </c>
      <c r="C27" s="103" t="s">
        <v>57</v>
      </c>
      <c r="D27" s="159">
        <v>21.3</v>
      </c>
      <c r="E27" s="117">
        <v>81</v>
      </c>
      <c r="F27" s="169"/>
      <c r="G27" s="101" t="s">
        <v>57</v>
      </c>
      <c r="H27" s="159"/>
      <c r="I27" s="117"/>
      <c r="J27" s="151"/>
      <c r="M27" s="166"/>
    </row>
    <row r="28" spans="1:22" ht="16.5" customHeight="1" outlineLevel="1" thickBot="1" x14ac:dyDescent="0.3">
      <c r="B28" s="223" t="s">
        <v>559</v>
      </c>
      <c r="C28" s="101" t="s">
        <v>58</v>
      </c>
      <c r="D28" s="160">
        <v>18</v>
      </c>
      <c r="E28" s="118">
        <v>78</v>
      </c>
      <c r="F28" s="169"/>
      <c r="G28" s="101" t="s">
        <v>541</v>
      </c>
      <c r="H28" s="160"/>
      <c r="I28" s="118"/>
      <c r="J28" s="151"/>
      <c r="M28" s="167"/>
    </row>
    <row r="29" spans="1:22" ht="16.5" customHeight="1" outlineLevel="1" thickBot="1" x14ac:dyDescent="0.3">
      <c r="B29" s="223" t="s">
        <v>559</v>
      </c>
      <c r="C29" s="101" t="s">
        <v>59</v>
      </c>
      <c r="D29" s="159">
        <v>19.5</v>
      </c>
      <c r="E29" s="117">
        <v>82</v>
      </c>
      <c r="F29" s="169"/>
      <c r="G29" s="101" t="s">
        <v>542</v>
      </c>
      <c r="H29" s="159"/>
      <c r="I29" s="117"/>
      <c r="J29" s="151"/>
      <c r="M29" s="167"/>
    </row>
    <row r="30" spans="1:22" ht="16.5" customHeight="1" outlineLevel="1" thickBot="1" x14ac:dyDescent="0.3">
      <c r="B30" s="223" t="s">
        <v>559</v>
      </c>
      <c r="C30" s="101" t="s">
        <v>60</v>
      </c>
      <c r="D30" s="161">
        <v>13.4</v>
      </c>
      <c r="E30" s="118">
        <v>68</v>
      </c>
      <c r="F30" s="169"/>
      <c r="G30" s="101" t="s">
        <v>60</v>
      </c>
      <c r="H30" s="161"/>
      <c r="I30" s="118"/>
      <c r="J30" s="151"/>
      <c r="M30" s="167"/>
    </row>
    <row r="31" spans="1:22" ht="16.5" customHeight="1" outlineLevel="1" thickBot="1" x14ac:dyDescent="0.3">
      <c r="B31" s="223" t="s">
        <v>559</v>
      </c>
      <c r="C31" s="101" t="s">
        <v>61</v>
      </c>
      <c r="D31" s="162">
        <v>15.6</v>
      </c>
      <c r="E31" s="117">
        <v>6</v>
      </c>
      <c r="F31" s="169"/>
      <c r="G31" s="101" t="s">
        <v>61</v>
      </c>
      <c r="H31" s="162"/>
      <c r="I31" s="117"/>
      <c r="J31" s="151"/>
    </row>
    <row r="32" spans="1:22" ht="16.5" customHeight="1" outlineLevel="1" thickBot="1" x14ac:dyDescent="0.3">
      <c r="B32" s="223" t="s">
        <v>559</v>
      </c>
      <c r="C32" s="101" t="s">
        <v>62</v>
      </c>
      <c r="D32" s="161">
        <v>9.8000000000000007</v>
      </c>
      <c r="E32" s="118">
        <v>80</v>
      </c>
      <c r="F32" s="169"/>
      <c r="G32" s="101" t="s">
        <v>62</v>
      </c>
      <c r="H32" s="161"/>
      <c r="I32" s="118"/>
      <c r="J32" s="151"/>
    </row>
    <row r="33" spans="2:18" ht="16.5" customHeight="1" outlineLevel="1" thickBot="1" x14ac:dyDescent="0.3">
      <c r="B33" s="223" t="s">
        <v>559</v>
      </c>
      <c r="C33" s="101" t="s">
        <v>63</v>
      </c>
      <c r="D33" s="162">
        <v>12.4</v>
      </c>
      <c r="E33" s="117">
        <v>11</v>
      </c>
      <c r="F33" s="169"/>
      <c r="G33" s="101" t="s">
        <v>63</v>
      </c>
      <c r="H33" s="162"/>
      <c r="I33" s="117"/>
      <c r="J33" s="151"/>
    </row>
    <row r="34" spans="2:18" ht="16.5" customHeight="1" outlineLevel="1" thickBot="1" x14ac:dyDescent="0.3">
      <c r="B34" s="223" t="s">
        <v>559</v>
      </c>
      <c r="C34" s="101" t="s">
        <v>64</v>
      </c>
      <c r="D34" s="161">
        <v>11.7</v>
      </c>
      <c r="E34" s="118">
        <v>1</v>
      </c>
      <c r="F34" s="169"/>
      <c r="G34" s="101" t="s">
        <v>64</v>
      </c>
      <c r="H34" s="161"/>
      <c r="I34" s="118"/>
      <c r="J34" s="151"/>
    </row>
    <row r="35" spans="2:18" ht="16.5" customHeight="1" outlineLevel="1" thickBot="1" x14ac:dyDescent="0.3">
      <c r="B35" s="223" t="s">
        <v>559</v>
      </c>
      <c r="C35" s="101" t="s">
        <v>65</v>
      </c>
      <c r="D35" s="162">
        <v>15</v>
      </c>
      <c r="E35" s="117">
        <v>0</v>
      </c>
      <c r="F35" s="169"/>
      <c r="G35" s="101" t="s">
        <v>65</v>
      </c>
      <c r="H35" s="162"/>
      <c r="I35" s="117"/>
      <c r="J35" s="151"/>
    </row>
    <row r="36" spans="2:18" ht="16.5" customHeight="1" outlineLevel="1" thickBot="1" x14ac:dyDescent="0.3">
      <c r="B36" s="223" t="s">
        <v>559</v>
      </c>
      <c r="C36" s="101" t="s">
        <v>66</v>
      </c>
      <c r="D36" s="161">
        <v>14.1</v>
      </c>
      <c r="E36" s="118">
        <v>0</v>
      </c>
      <c r="F36" s="169"/>
      <c r="G36" s="101" t="s">
        <v>66</v>
      </c>
      <c r="H36" s="161"/>
      <c r="I36" s="118"/>
      <c r="J36" s="151"/>
    </row>
    <row r="37" spans="2:18" ht="16.5" outlineLevel="1" thickBot="1" x14ac:dyDescent="0.3">
      <c r="B37" s="223" t="s">
        <v>559</v>
      </c>
      <c r="C37" s="101" t="s">
        <v>67</v>
      </c>
      <c r="D37" s="162">
        <v>13.8</v>
      </c>
      <c r="E37" s="117">
        <v>2</v>
      </c>
      <c r="F37" s="169"/>
      <c r="G37" s="101" t="s">
        <v>67</v>
      </c>
      <c r="H37" s="162"/>
      <c r="I37" s="117"/>
      <c r="J37" s="151"/>
    </row>
    <row r="38" spans="2:18" ht="16.5" outlineLevel="1" thickBot="1" x14ac:dyDescent="0.3">
      <c r="B38" s="223" t="s">
        <v>559</v>
      </c>
      <c r="C38" s="101" t="s">
        <v>68</v>
      </c>
      <c r="D38" s="161">
        <v>15.5</v>
      </c>
      <c r="E38" s="118">
        <v>0</v>
      </c>
      <c r="F38" s="169"/>
      <c r="G38" s="101" t="s">
        <v>543</v>
      </c>
      <c r="H38" s="161"/>
      <c r="I38" s="118"/>
      <c r="J38" s="151"/>
    </row>
    <row r="39" spans="2:18" ht="16.5" outlineLevel="1" thickBot="1" x14ac:dyDescent="0.3">
      <c r="B39" s="223" t="s">
        <v>559</v>
      </c>
      <c r="C39" s="101" t="s">
        <v>69</v>
      </c>
      <c r="D39" s="162">
        <v>13.7</v>
      </c>
      <c r="E39" s="117">
        <v>0</v>
      </c>
      <c r="F39" s="169"/>
      <c r="G39" s="101" t="s">
        <v>69</v>
      </c>
      <c r="H39" s="162"/>
      <c r="I39" s="117"/>
      <c r="J39" s="151"/>
    </row>
    <row r="40" spans="2:18" ht="16.5" outlineLevel="1" thickBot="1" x14ac:dyDescent="0.3">
      <c r="B40" s="223" t="s">
        <v>559</v>
      </c>
      <c r="C40" s="101" t="s">
        <v>70</v>
      </c>
      <c r="D40" s="161">
        <v>4.7</v>
      </c>
      <c r="E40" s="118">
        <v>1</v>
      </c>
      <c r="F40" s="169"/>
      <c r="G40" s="101" t="s">
        <v>544</v>
      </c>
      <c r="H40" s="161"/>
      <c r="I40" s="118"/>
      <c r="J40" s="151"/>
    </row>
    <row r="41" spans="2:18" ht="16.5" outlineLevel="1" thickBot="1" x14ac:dyDescent="0.3">
      <c r="B41" s="223" t="s">
        <v>559</v>
      </c>
      <c r="C41" s="101" t="s">
        <v>71</v>
      </c>
      <c r="D41" s="162">
        <v>5.0999999999999996</v>
      </c>
      <c r="E41" s="117">
        <v>0</v>
      </c>
      <c r="F41" s="169"/>
      <c r="G41" s="101" t="s">
        <v>355</v>
      </c>
      <c r="H41" s="162"/>
      <c r="I41" s="117"/>
      <c r="J41" s="151"/>
    </row>
    <row r="42" spans="2:18" ht="16.5" outlineLevel="1" thickBot="1" x14ac:dyDescent="0.3">
      <c r="B42" s="223" t="s">
        <v>559</v>
      </c>
      <c r="C42" s="101" t="s">
        <v>72</v>
      </c>
      <c r="D42" s="161">
        <v>14.5</v>
      </c>
      <c r="E42" s="118">
        <v>0</v>
      </c>
      <c r="F42" s="169"/>
      <c r="G42" s="101" t="s">
        <v>72</v>
      </c>
      <c r="H42" s="161"/>
      <c r="I42" s="118"/>
      <c r="J42" s="151"/>
    </row>
    <row r="43" spans="2:18" ht="16.5" outlineLevel="1" thickBot="1" x14ac:dyDescent="0.3">
      <c r="B43" s="223" t="s">
        <v>559</v>
      </c>
      <c r="C43" s="101" t="s">
        <v>73</v>
      </c>
      <c r="D43" s="162">
        <v>6.2</v>
      </c>
      <c r="E43" s="117">
        <v>0</v>
      </c>
      <c r="F43" s="169"/>
      <c r="G43" s="101" t="s">
        <v>93</v>
      </c>
      <c r="H43" s="159"/>
      <c r="I43" s="117"/>
      <c r="J43" s="151"/>
    </row>
    <row r="44" spans="2:18" ht="16.5" outlineLevel="1" thickBot="1" x14ac:dyDescent="0.3">
      <c r="B44" s="223" t="s">
        <v>559</v>
      </c>
      <c r="C44" s="101"/>
      <c r="D44" s="184"/>
      <c r="E44" s="150"/>
      <c r="F44" s="169"/>
      <c r="G44" s="101" t="s">
        <v>398</v>
      </c>
      <c r="H44" s="160"/>
      <c r="I44" s="118"/>
      <c r="J44" s="151"/>
    </row>
    <row r="45" spans="2:18" ht="16.5" outlineLevel="1" thickBot="1" x14ac:dyDescent="0.3">
      <c r="B45" s="223" t="s">
        <v>559</v>
      </c>
      <c r="C45" s="101"/>
      <c r="D45" s="184"/>
      <c r="E45" s="150"/>
      <c r="F45" s="169"/>
      <c r="G45" s="101" t="s">
        <v>545</v>
      </c>
      <c r="H45" s="159"/>
      <c r="I45" s="117"/>
      <c r="J45" s="151"/>
    </row>
    <row r="46" spans="2:18" ht="16.5" outlineLevel="1" thickBot="1" x14ac:dyDescent="0.3">
      <c r="B46" s="227" t="s">
        <v>559</v>
      </c>
      <c r="C46" s="102"/>
      <c r="D46" s="184"/>
      <c r="E46" s="150"/>
      <c r="F46" s="169"/>
      <c r="G46" s="102" t="s">
        <v>546</v>
      </c>
      <c r="H46" s="161"/>
      <c r="I46" s="118"/>
      <c r="J46" s="151"/>
    </row>
    <row r="47" spans="2:18" ht="16.5" thickBot="1" x14ac:dyDescent="0.3">
      <c r="B47" s="419" t="str">
        <f>Stats!B58</f>
        <v>Boston</v>
      </c>
      <c r="C47" s="420"/>
      <c r="D47" s="114"/>
      <c r="E47" s="116"/>
      <c r="F47" s="116"/>
      <c r="G47" s="230"/>
      <c r="H47" s="162"/>
      <c r="I47" s="117"/>
      <c r="J47" s="151"/>
      <c r="P47" s="115"/>
      <c r="Q47">
        <f>(LARGE(PER!H48:H67,1)+LARGE(PER!H48:H67,2))/2</f>
        <v>33.450000000000003</v>
      </c>
      <c r="R47" s="115"/>
    </row>
    <row r="48" spans="2:18" ht="16.5" hidden="1" customHeight="1" outlineLevel="1" thickBot="1" x14ac:dyDescent="0.3">
      <c r="B48" s="228" t="s">
        <v>560</v>
      </c>
      <c r="C48" s="103" t="s">
        <v>74</v>
      </c>
      <c r="D48" s="218">
        <v>21.5</v>
      </c>
      <c r="E48" s="117">
        <v>79</v>
      </c>
      <c r="F48" s="169"/>
      <c r="G48" s="103" t="str">
        <f>PER_WEB!CM143</f>
        <v>Tyler Zeller, C</v>
      </c>
      <c r="H48" s="161">
        <f>(SUBSTITUTE(PER_WEB!DA143,".",","))*1</f>
        <v>37.799999999999997</v>
      </c>
      <c r="I48" s="118">
        <f>PER_WEB!CO143</f>
        <v>0</v>
      </c>
      <c r="J48" s="151"/>
    </row>
    <row r="49" spans="2:10" ht="16.5" hidden="1" customHeight="1" outlineLevel="1" thickBot="1" x14ac:dyDescent="0.3">
      <c r="B49" s="224" t="s">
        <v>560</v>
      </c>
      <c r="C49" s="101" t="s">
        <v>75</v>
      </c>
      <c r="D49" s="219">
        <v>13.2</v>
      </c>
      <c r="E49" s="118">
        <v>72</v>
      </c>
      <c r="F49" s="169"/>
      <c r="G49" s="103" t="str">
        <f>PER_WEB!CM144</f>
        <v>Isaiah Thomas, PG</v>
      </c>
      <c r="H49" s="161">
        <f>(SUBSTITUTE(PER_WEB!DA144,".",","))*1</f>
        <v>29.1</v>
      </c>
      <c r="I49" s="118">
        <f>PER_WEB!CO144</f>
        <v>1</v>
      </c>
      <c r="J49" s="151"/>
    </row>
    <row r="50" spans="2:10" ht="16.5" hidden="1" customHeight="1" outlineLevel="1" thickBot="1" x14ac:dyDescent="0.3">
      <c r="B50" s="224" t="s">
        <v>560</v>
      </c>
      <c r="C50" s="101" t="s">
        <v>76</v>
      </c>
      <c r="D50" s="218">
        <v>15.8</v>
      </c>
      <c r="E50" s="117">
        <v>73</v>
      </c>
      <c r="F50" s="169"/>
      <c r="G50" s="103" t="str">
        <f>PER_WEB!CM145</f>
        <v>Jae Crowder, SF</v>
      </c>
      <c r="H50" s="161">
        <f>(SUBSTITUTE(PER_WEB!DA145,".",","))*1</f>
        <v>24</v>
      </c>
      <c r="I50" s="118">
        <f>PER_WEB!CO145</f>
        <v>1</v>
      </c>
      <c r="J50" s="151"/>
    </row>
    <row r="51" spans="2:10" ht="16.5" hidden="1" customHeight="1" outlineLevel="1" thickBot="1" x14ac:dyDescent="0.3">
      <c r="B51" s="224" t="s">
        <v>560</v>
      </c>
      <c r="C51" s="101" t="s">
        <v>77</v>
      </c>
      <c r="D51" s="219">
        <v>13.7</v>
      </c>
      <c r="E51" s="118">
        <v>12</v>
      </c>
      <c r="F51" s="169"/>
      <c r="G51" s="103" t="str">
        <f>PER_WEB!CM146</f>
        <v>Al Horford, C</v>
      </c>
      <c r="H51" s="161">
        <f>(SUBSTITUTE(PER_WEB!DA146,".",","))*1</f>
        <v>21.7</v>
      </c>
      <c r="I51" s="118">
        <f>PER_WEB!CO146</f>
        <v>1</v>
      </c>
      <c r="J51" s="151"/>
    </row>
    <row r="52" spans="2:10" ht="16.5" hidden="1" customHeight="1" outlineLevel="1" thickBot="1" x14ac:dyDescent="0.3">
      <c r="B52" s="224" t="s">
        <v>560</v>
      </c>
      <c r="C52" s="101" t="s">
        <v>78</v>
      </c>
      <c r="D52" s="218">
        <v>16.8</v>
      </c>
      <c r="E52" s="117">
        <v>73</v>
      </c>
      <c r="F52" s="169"/>
      <c r="G52" s="103" t="str">
        <f>PER_WEB!CM147</f>
        <v>Jaylen Brown, SF</v>
      </c>
      <c r="H52" s="161">
        <f>(SUBSTITUTE(PER_WEB!DA147,".",","))*1</f>
        <v>20.9</v>
      </c>
      <c r="I52" s="118">
        <f>PER_WEB!CO147</f>
        <v>0</v>
      </c>
      <c r="J52" s="151"/>
    </row>
    <row r="53" spans="2:10" ht="16.5" hidden="1" outlineLevel="1" thickBot="1" x14ac:dyDescent="0.3">
      <c r="B53" s="224" t="s">
        <v>560</v>
      </c>
      <c r="C53" s="101" t="s">
        <v>79</v>
      </c>
      <c r="D53" s="219">
        <v>16.3</v>
      </c>
      <c r="E53" s="118">
        <v>8</v>
      </c>
      <c r="F53" s="169"/>
      <c r="G53" s="103" t="str">
        <f>PER_WEB!CM148</f>
        <v>Gerald Green, SF</v>
      </c>
      <c r="H53" s="161">
        <f>(SUBSTITUTE(PER_WEB!DA148,".",","))*1</f>
        <v>20.5</v>
      </c>
      <c r="I53" s="118">
        <f>PER_WEB!CO148</f>
        <v>0</v>
      </c>
      <c r="J53" s="151"/>
    </row>
    <row r="54" spans="2:10" ht="16.5" hidden="1" outlineLevel="1" thickBot="1" x14ac:dyDescent="0.3">
      <c r="B54" s="224" t="s">
        <v>560</v>
      </c>
      <c r="C54" s="101" t="s">
        <v>80</v>
      </c>
      <c r="D54" s="218">
        <v>11.3</v>
      </c>
      <c r="E54" s="117">
        <v>10</v>
      </c>
      <c r="F54" s="169"/>
      <c r="G54" s="103" t="str">
        <f>PER_WEB!CM149</f>
        <v>Avery Bradley, PG</v>
      </c>
      <c r="H54" s="161">
        <f>(SUBSTITUTE(PER_WEB!DA149,".",","))*1</f>
        <v>16.3</v>
      </c>
      <c r="I54" s="118">
        <f>PER_WEB!CO149</f>
        <v>1</v>
      </c>
      <c r="J54" s="151"/>
    </row>
    <row r="55" spans="2:10" ht="16.5" hidden="1" outlineLevel="1" thickBot="1" x14ac:dyDescent="0.3">
      <c r="B55" s="224" t="s">
        <v>560</v>
      </c>
      <c r="C55" s="101" t="s">
        <v>81</v>
      </c>
      <c r="D55" s="219">
        <v>16</v>
      </c>
      <c r="E55" s="118">
        <v>76</v>
      </c>
      <c r="F55" s="169"/>
      <c r="G55" s="103" t="str">
        <f>PER_WEB!CM150</f>
        <v>Amir Johnson, PF</v>
      </c>
      <c r="H55" s="161">
        <f>(SUBSTITUTE(PER_WEB!DA150,".",","))*1</f>
        <v>13.2</v>
      </c>
      <c r="I55" s="118">
        <f>PER_WEB!CO150</f>
        <v>1</v>
      </c>
      <c r="J55" s="151"/>
    </row>
    <row r="56" spans="2:10" ht="16.5" hidden="1" outlineLevel="1" thickBot="1" x14ac:dyDescent="0.3">
      <c r="B56" s="224" t="s">
        <v>560</v>
      </c>
      <c r="C56" s="101" t="s">
        <v>82</v>
      </c>
      <c r="D56" s="218">
        <v>15.5</v>
      </c>
      <c r="E56" s="117">
        <v>4</v>
      </c>
      <c r="F56" s="169"/>
      <c r="G56" s="103" t="str">
        <f>PER_WEB!CM151</f>
        <v>Terry Rozier, PG</v>
      </c>
      <c r="H56" s="161">
        <f>(SUBSTITUTE(PER_WEB!DA151,".",","))*1</f>
        <v>8.1</v>
      </c>
      <c r="I56" s="118">
        <f>PER_WEB!CO151</f>
        <v>0</v>
      </c>
      <c r="J56" s="151"/>
    </row>
    <row r="57" spans="2:10" ht="16.5" hidden="1" outlineLevel="1" thickBot="1" x14ac:dyDescent="0.3">
      <c r="B57" s="224" t="s">
        <v>560</v>
      </c>
      <c r="C57" s="101" t="s">
        <v>83</v>
      </c>
      <c r="D57" s="219">
        <v>15.4</v>
      </c>
      <c r="E57" s="118">
        <v>3</v>
      </c>
      <c r="F57" s="169"/>
      <c r="G57" s="103" t="str">
        <f>PER_WEB!CM152</f>
        <v>Jonas Jerebko, PF</v>
      </c>
      <c r="H57" s="161">
        <f>(SUBSTITUTE(PER_WEB!DA152,".",","))*1</f>
        <v>6.9</v>
      </c>
      <c r="I57" s="118">
        <f>PER_WEB!CO152</f>
        <v>0</v>
      </c>
      <c r="J57" s="151"/>
    </row>
    <row r="58" spans="2:10" ht="16.5" hidden="1" outlineLevel="1" thickBot="1" x14ac:dyDescent="0.3">
      <c r="B58" s="224" t="s">
        <v>560</v>
      </c>
      <c r="C58" s="101" t="s">
        <v>84</v>
      </c>
      <c r="D58" s="218">
        <v>10.3</v>
      </c>
      <c r="E58" s="117">
        <v>0</v>
      </c>
      <c r="F58" s="169"/>
      <c r="G58" s="103"/>
      <c r="H58" s="161"/>
      <c r="I58" s="118"/>
      <c r="J58" s="151"/>
    </row>
    <row r="59" spans="2:10" ht="16.5" hidden="1" outlineLevel="1" thickBot="1" x14ac:dyDescent="0.3">
      <c r="B59" s="224" t="s">
        <v>560</v>
      </c>
      <c r="C59" s="101" t="s">
        <v>85</v>
      </c>
      <c r="D59" s="219">
        <v>7.7</v>
      </c>
      <c r="E59" s="118">
        <v>0</v>
      </c>
      <c r="F59" s="169"/>
      <c r="G59" s="103"/>
      <c r="H59" s="159"/>
      <c r="I59" s="117"/>
      <c r="J59" s="151"/>
    </row>
    <row r="60" spans="2:10" ht="16.5" hidden="1" outlineLevel="1" thickBot="1" x14ac:dyDescent="0.3">
      <c r="B60" s="224" t="s">
        <v>560</v>
      </c>
      <c r="C60" s="101" t="s">
        <v>86</v>
      </c>
      <c r="D60" s="218">
        <v>24</v>
      </c>
      <c r="E60" s="117">
        <v>0</v>
      </c>
      <c r="F60" s="169"/>
      <c r="G60" s="103"/>
      <c r="H60" s="160"/>
      <c r="I60" s="118"/>
      <c r="J60" s="151"/>
    </row>
    <row r="61" spans="2:10" ht="16.5" hidden="1" outlineLevel="1" thickBot="1" x14ac:dyDescent="0.3">
      <c r="B61" s="224" t="s">
        <v>560</v>
      </c>
      <c r="C61" s="101" t="s">
        <v>87</v>
      </c>
      <c r="D61" s="219">
        <v>5</v>
      </c>
      <c r="E61" s="118">
        <v>0</v>
      </c>
      <c r="F61" s="169"/>
      <c r="G61" s="101"/>
      <c r="H61" s="159"/>
      <c r="I61" s="117"/>
      <c r="J61" s="151"/>
    </row>
    <row r="62" spans="2:10" ht="16.5" hidden="1" outlineLevel="1" thickBot="1" x14ac:dyDescent="0.3">
      <c r="B62" s="224" t="s">
        <v>560</v>
      </c>
      <c r="C62" s="101" t="s">
        <v>88</v>
      </c>
      <c r="D62" s="218">
        <v>15.4</v>
      </c>
      <c r="E62" s="117">
        <v>0</v>
      </c>
      <c r="F62" s="169"/>
      <c r="G62" s="101"/>
      <c r="H62" s="161"/>
      <c r="I62" s="118"/>
      <c r="J62" s="151"/>
    </row>
    <row r="63" spans="2:10" ht="16.5" hidden="1" outlineLevel="1" thickBot="1" x14ac:dyDescent="0.3">
      <c r="B63" s="224" t="s">
        <v>560</v>
      </c>
      <c r="C63" s="101" t="s">
        <v>89</v>
      </c>
      <c r="D63" s="219">
        <v>3.6</v>
      </c>
      <c r="E63" s="118">
        <v>0</v>
      </c>
      <c r="F63" s="169"/>
      <c r="G63" s="101"/>
      <c r="H63" s="162"/>
      <c r="I63" s="117"/>
      <c r="J63" s="151"/>
    </row>
    <row r="64" spans="2:10" ht="16.5" hidden="1" outlineLevel="1" thickBot="1" x14ac:dyDescent="0.3">
      <c r="B64" s="224" t="s">
        <v>560</v>
      </c>
      <c r="C64" s="101"/>
      <c r="D64" s="149"/>
      <c r="E64" s="149"/>
      <c r="F64" s="169"/>
      <c r="G64" s="101"/>
      <c r="H64" s="161"/>
      <c r="I64" s="118"/>
      <c r="J64" s="151"/>
    </row>
    <row r="65" spans="2:18" ht="16.5" hidden="1" outlineLevel="1" thickBot="1" x14ac:dyDescent="0.3">
      <c r="B65" s="224" t="s">
        <v>560</v>
      </c>
      <c r="C65" s="101"/>
      <c r="D65" s="149"/>
      <c r="E65" s="149"/>
      <c r="F65" s="169"/>
      <c r="G65" s="101"/>
      <c r="H65" s="162"/>
      <c r="I65" s="117"/>
      <c r="J65" s="151"/>
    </row>
    <row r="66" spans="2:18" ht="16.5" hidden="1" outlineLevel="1" thickBot="1" x14ac:dyDescent="0.3">
      <c r="B66" s="224" t="s">
        <v>560</v>
      </c>
      <c r="C66" s="101"/>
      <c r="D66" s="149"/>
      <c r="E66" s="149"/>
      <c r="F66" s="169"/>
      <c r="G66" s="101"/>
      <c r="H66" s="161"/>
      <c r="I66" s="118"/>
      <c r="J66" s="151"/>
    </row>
    <row r="67" spans="2:18" ht="16.5" hidden="1" outlineLevel="1" thickBot="1" x14ac:dyDescent="0.3">
      <c r="B67" s="229" t="s">
        <v>560</v>
      </c>
      <c r="C67" s="102"/>
      <c r="D67" s="149"/>
      <c r="E67" s="149"/>
      <c r="F67" s="169"/>
      <c r="G67" s="102"/>
      <c r="H67" s="162"/>
      <c r="I67" s="117"/>
      <c r="J67" s="151"/>
    </row>
    <row r="68" spans="2:18" ht="16.5" collapsed="1" thickBot="1" x14ac:dyDescent="0.3">
      <c r="B68" s="419" t="s">
        <v>45</v>
      </c>
      <c r="C68" s="420"/>
      <c r="E68" s="115"/>
      <c r="G68" s="156"/>
      <c r="H68" s="225"/>
      <c r="I68" s="170"/>
      <c r="J68" s="151"/>
      <c r="K68" s="115"/>
      <c r="L68" s="115"/>
      <c r="M68" s="115"/>
      <c r="N68" s="115"/>
      <c r="O68" s="115"/>
      <c r="P68" s="115"/>
      <c r="Q68">
        <f>(LARGE(PER!H69:H88,1)+LARGE(PER!H69:H88,2))/2</f>
        <v>30.35</v>
      </c>
      <c r="R68" s="115"/>
    </row>
    <row r="69" spans="2:18" ht="16.5" hidden="1" outlineLevel="1" thickBot="1" x14ac:dyDescent="0.3">
      <c r="B69" s="228" t="s">
        <v>561</v>
      </c>
      <c r="C69" s="103" t="s">
        <v>90</v>
      </c>
      <c r="D69" s="218">
        <v>21.8</v>
      </c>
      <c r="E69" s="117">
        <v>73</v>
      </c>
      <c r="F69" s="169"/>
      <c r="G69" s="103" t="str">
        <f>PER_WEB!DB143</f>
        <v>Justin Hamilton, PF</v>
      </c>
      <c r="H69" s="162">
        <f>(SUBSTITUTE(PER_WEB!DP143,".",","))*1</f>
        <v>31.7</v>
      </c>
      <c r="I69" s="117">
        <f>PER_WEB!DD143</f>
        <v>0</v>
      </c>
      <c r="J69" s="151"/>
    </row>
    <row r="70" spans="2:18" ht="16.5" hidden="1" outlineLevel="1" thickBot="1" x14ac:dyDescent="0.3">
      <c r="B70" s="224" t="s">
        <v>561</v>
      </c>
      <c r="C70" s="101" t="s">
        <v>91</v>
      </c>
      <c r="D70" s="219">
        <v>17.600000000000001</v>
      </c>
      <c r="E70" s="118">
        <v>73</v>
      </c>
      <c r="F70" s="169"/>
      <c r="G70" s="103" t="str">
        <f>PER_WEB!DB144</f>
        <v>Chris McCullough, PF</v>
      </c>
      <c r="H70" s="162">
        <f>(SUBSTITUTE(PER_WEB!DP144,".",","))*1</f>
        <v>29</v>
      </c>
      <c r="I70" s="117">
        <f>PER_WEB!DD144</f>
        <v>0</v>
      </c>
      <c r="J70" s="151"/>
    </row>
    <row r="71" spans="2:18" ht="16.5" hidden="1" outlineLevel="1" thickBot="1" x14ac:dyDescent="0.3">
      <c r="B71" s="224" t="s">
        <v>561</v>
      </c>
      <c r="C71" s="101" t="s">
        <v>92</v>
      </c>
      <c r="D71" s="218">
        <v>16.8</v>
      </c>
      <c r="E71" s="117">
        <v>0</v>
      </c>
      <c r="F71" s="169"/>
      <c r="G71" s="103" t="str">
        <f>PER_WEB!DB145</f>
        <v>Trevor Booker, PF</v>
      </c>
      <c r="H71" s="162">
        <f>(SUBSTITUTE(PER_WEB!DP145,".",","))*1</f>
        <v>26.7</v>
      </c>
      <c r="I71" s="117">
        <f>PER_WEB!DD145</f>
        <v>1</v>
      </c>
      <c r="J71" s="151"/>
    </row>
    <row r="72" spans="2:18" ht="16.5" hidden="1" outlineLevel="1" thickBot="1" x14ac:dyDescent="0.3">
      <c r="B72" s="224" t="s">
        <v>561</v>
      </c>
      <c r="C72" s="101" t="s">
        <v>93</v>
      </c>
      <c r="D72" s="219">
        <v>14.5</v>
      </c>
      <c r="E72" s="118">
        <v>32</v>
      </c>
      <c r="F72" s="169"/>
      <c r="G72" s="103" t="str">
        <f>PER_WEB!DB146</f>
        <v>Bojan Bogdanovic, SG</v>
      </c>
      <c r="H72" s="162">
        <f>(SUBSTITUTE(PER_WEB!DP146,".",","))*1</f>
        <v>25.4</v>
      </c>
      <c r="I72" s="117">
        <f>PER_WEB!DD146</f>
        <v>1</v>
      </c>
      <c r="J72" s="151"/>
    </row>
    <row r="73" spans="2:18" ht="16.5" hidden="1" outlineLevel="1" thickBot="1" x14ac:dyDescent="0.3">
      <c r="B73" s="224" t="s">
        <v>561</v>
      </c>
      <c r="C73" s="101" t="s">
        <v>94</v>
      </c>
      <c r="D73" s="218">
        <v>10.7</v>
      </c>
      <c r="E73" s="117">
        <v>57</v>
      </c>
      <c r="F73" s="169"/>
      <c r="G73" s="103" t="str">
        <f>PER_WEB!DB147</f>
        <v>Jeremy Lin, PG</v>
      </c>
      <c r="H73" s="162">
        <f>(SUBSTITUTE(PER_WEB!DP147,".",","))*1</f>
        <v>17.8</v>
      </c>
      <c r="I73" s="117">
        <f>PER_WEB!DD147</f>
        <v>1</v>
      </c>
      <c r="J73" s="151"/>
    </row>
    <row r="74" spans="2:18" ht="16.5" hidden="1" outlineLevel="1" thickBot="1" x14ac:dyDescent="0.3">
      <c r="B74" s="224" t="s">
        <v>561</v>
      </c>
      <c r="C74" s="101" t="s">
        <v>95</v>
      </c>
      <c r="D74" s="219">
        <v>10.8</v>
      </c>
      <c r="E74" s="118">
        <v>39</v>
      </c>
      <c r="F74" s="169"/>
      <c r="G74" s="103" t="str">
        <f>PER_WEB!DB148</f>
        <v>Joe Harris, SG</v>
      </c>
      <c r="H74" s="162">
        <f>(SUBSTITUTE(PER_WEB!DP148,".",","))*1</f>
        <v>17.8</v>
      </c>
      <c r="I74" s="117">
        <f>PER_WEB!DD148</f>
        <v>0</v>
      </c>
      <c r="J74" s="151"/>
    </row>
    <row r="75" spans="2:18" ht="16.5" hidden="1" outlineLevel="1" thickBot="1" x14ac:dyDescent="0.3">
      <c r="B75" s="224" t="s">
        <v>561</v>
      </c>
      <c r="C75" s="101" t="s">
        <v>96</v>
      </c>
      <c r="D75" s="218">
        <v>10.199999999999999</v>
      </c>
      <c r="E75" s="117">
        <v>41</v>
      </c>
      <c r="F75" s="169"/>
      <c r="G75" s="103" t="str">
        <f>PER_WEB!DB149</f>
        <v>Sean Kilpatrick, SG</v>
      </c>
      <c r="H75" s="162">
        <f>(SUBSTITUTE(PER_WEB!DP149,".",","))*1</f>
        <v>12.1</v>
      </c>
      <c r="I75" s="117">
        <f>PER_WEB!DD149</f>
        <v>0</v>
      </c>
      <c r="J75" s="151"/>
    </row>
    <row r="76" spans="2:18" ht="16.5" hidden="1" outlineLevel="1" thickBot="1" x14ac:dyDescent="0.3">
      <c r="B76" s="224" t="s">
        <v>561</v>
      </c>
      <c r="C76" s="101" t="s">
        <v>97</v>
      </c>
      <c r="D76" s="219">
        <v>13.4</v>
      </c>
      <c r="E76" s="118">
        <v>17</v>
      </c>
      <c r="F76" s="169"/>
      <c r="G76" s="103" t="str">
        <f>PER_WEB!DB150</f>
        <v>Isaiah Whitehead, SG</v>
      </c>
      <c r="H76" s="162">
        <f>(SUBSTITUTE(PER_WEB!DP150,".",","))*1</f>
        <v>6.8</v>
      </c>
      <c r="I76" s="117">
        <f>PER_WEB!DD150</f>
        <v>0</v>
      </c>
      <c r="J76" s="151"/>
    </row>
    <row r="77" spans="2:18" ht="16.5" hidden="1" outlineLevel="1" thickBot="1" x14ac:dyDescent="0.3">
      <c r="B77" s="224" t="s">
        <v>561</v>
      </c>
      <c r="C77" s="101" t="s">
        <v>98</v>
      </c>
      <c r="D77" s="218">
        <v>14</v>
      </c>
      <c r="E77" s="117">
        <v>33</v>
      </c>
      <c r="F77" s="169"/>
      <c r="G77" s="103" t="str">
        <f>PER_WEB!DB151</f>
        <v>Rondae Hollis-Jefferson, SG</v>
      </c>
      <c r="H77" s="162">
        <f>(SUBSTITUTE(PER_WEB!DP151,".",","))*1</f>
        <v>5.0999999999999996</v>
      </c>
      <c r="I77" s="117">
        <f>PER_WEB!DD151</f>
        <v>1</v>
      </c>
      <c r="J77" s="151"/>
    </row>
    <row r="78" spans="2:18" ht="16.5" hidden="1" outlineLevel="1" thickBot="1" x14ac:dyDescent="0.3">
      <c r="B78" s="224" t="s">
        <v>561</v>
      </c>
      <c r="C78" s="101" t="s">
        <v>99</v>
      </c>
      <c r="D78" s="219">
        <v>11.9</v>
      </c>
      <c r="E78" s="118">
        <v>0</v>
      </c>
      <c r="F78" s="169"/>
      <c r="G78" s="103" t="str">
        <f>PER_WEB!DB152</f>
        <v>Luis Scola, PF</v>
      </c>
      <c r="H78" s="162">
        <f>(SUBSTITUTE(PER_WEB!DP152,".",","))*1</f>
        <v>3.8</v>
      </c>
      <c r="I78" s="117">
        <f>PER_WEB!DD152</f>
        <v>0</v>
      </c>
      <c r="J78" s="151"/>
    </row>
    <row r="79" spans="2:18" ht="16.5" hidden="1" outlineLevel="1" thickBot="1" x14ac:dyDescent="0.3">
      <c r="B79" s="224" t="s">
        <v>561</v>
      </c>
      <c r="C79" s="101" t="s">
        <v>100</v>
      </c>
      <c r="D79" s="218">
        <v>13.9</v>
      </c>
      <c r="E79" s="117">
        <v>4</v>
      </c>
      <c r="F79" s="169"/>
      <c r="G79" s="103" t="str">
        <f>PER_WEB!DB153</f>
        <v>Brook Lopez, C</v>
      </c>
      <c r="H79" s="162">
        <f>(SUBSTITUTE(PER_WEB!DP153,".",","))*1</f>
        <v>3.3</v>
      </c>
      <c r="I79" s="117">
        <f>PER_WEB!DD153</f>
        <v>1</v>
      </c>
      <c r="J79" s="151"/>
    </row>
    <row r="80" spans="2:18" ht="16.5" hidden="1" outlineLevel="1" thickBot="1" x14ac:dyDescent="0.3">
      <c r="B80" s="224" t="s">
        <v>561</v>
      </c>
      <c r="C80" s="101" t="s">
        <v>101</v>
      </c>
      <c r="D80" s="219">
        <v>11.3</v>
      </c>
      <c r="E80" s="118">
        <v>6</v>
      </c>
      <c r="F80" s="169"/>
      <c r="G80" s="103" t="str">
        <f>PER_WEB!DB154</f>
        <v>Greivis Vasquez, PG</v>
      </c>
      <c r="H80" s="162">
        <f>(SUBSTITUTE(PER_WEB!DP154,".",","))*1</f>
        <v>3.2</v>
      </c>
      <c r="I80" s="117">
        <f>PER_WEB!DD154</f>
        <v>0</v>
      </c>
      <c r="J80" s="151"/>
    </row>
    <row r="81" spans="2:17" ht="16.5" hidden="1" outlineLevel="1" thickBot="1" x14ac:dyDescent="0.3">
      <c r="B81" s="224" t="s">
        <v>561</v>
      </c>
      <c r="C81" s="101" t="s">
        <v>102</v>
      </c>
      <c r="D81" s="218">
        <v>14.2</v>
      </c>
      <c r="E81" s="117">
        <v>17</v>
      </c>
      <c r="F81" s="169"/>
      <c r="G81" s="103"/>
      <c r="H81" s="162"/>
      <c r="I81" s="117"/>
      <c r="J81" s="151"/>
    </row>
    <row r="82" spans="2:17" ht="16.5" hidden="1" outlineLevel="1" thickBot="1" x14ac:dyDescent="0.3">
      <c r="B82" s="224" t="s">
        <v>561</v>
      </c>
      <c r="C82" s="101" t="s">
        <v>103</v>
      </c>
      <c r="D82" s="219">
        <v>19.2</v>
      </c>
      <c r="E82" s="118">
        <v>2</v>
      </c>
      <c r="F82" s="169"/>
      <c r="G82" s="101"/>
      <c r="H82" s="162"/>
      <c r="I82" s="118"/>
      <c r="J82" s="151"/>
    </row>
    <row r="83" spans="2:17" ht="16.5" hidden="1" outlineLevel="1" thickBot="1" x14ac:dyDescent="0.3">
      <c r="B83" s="224" t="s">
        <v>561</v>
      </c>
      <c r="C83" s="101" t="s">
        <v>104</v>
      </c>
      <c r="D83" s="218">
        <v>12.2</v>
      </c>
      <c r="E83" s="117">
        <v>4</v>
      </c>
      <c r="F83" s="169"/>
      <c r="G83" s="101"/>
      <c r="H83" s="162"/>
      <c r="I83" s="117"/>
      <c r="J83" s="151"/>
    </row>
    <row r="84" spans="2:17" ht="16.5" hidden="1" outlineLevel="1" thickBot="1" x14ac:dyDescent="0.3">
      <c r="B84" s="224" t="s">
        <v>561</v>
      </c>
      <c r="C84" s="101" t="s">
        <v>105</v>
      </c>
      <c r="D84" s="219">
        <v>14.5</v>
      </c>
      <c r="E84" s="118">
        <v>7</v>
      </c>
      <c r="F84" s="169"/>
      <c r="G84" s="101"/>
      <c r="H84" s="161"/>
      <c r="I84" s="118"/>
      <c r="J84" s="151"/>
    </row>
    <row r="85" spans="2:17" ht="16.5" hidden="1" outlineLevel="1" thickBot="1" x14ac:dyDescent="0.3">
      <c r="B85" s="224" t="s">
        <v>561</v>
      </c>
      <c r="C85" s="101" t="s">
        <v>106</v>
      </c>
      <c r="D85" s="218">
        <v>8.6</v>
      </c>
      <c r="E85" s="117">
        <v>5</v>
      </c>
      <c r="F85" s="169"/>
      <c r="G85" s="101"/>
      <c r="H85" s="162"/>
      <c r="I85" s="117"/>
      <c r="J85" s="151"/>
    </row>
    <row r="86" spans="2:17" ht="16.5" hidden="1" outlineLevel="1" thickBot="1" x14ac:dyDescent="0.3">
      <c r="B86" s="224" t="s">
        <v>561</v>
      </c>
      <c r="C86" s="101"/>
      <c r="D86" s="150"/>
      <c r="E86" s="150"/>
      <c r="F86" s="169"/>
      <c r="G86" s="101"/>
      <c r="H86" s="161"/>
      <c r="I86" s="118"/>
      <c r="J86" s="151"/>
    </row>
    <row r="87" spans="2:17" ht="16.5" hidden="1" outlineLevel="1" thickBot="1" x14ac:dyDescent="0.3">
      <c r="B87" s="224" t="s">
        <v>561</v>
      </c>
      <c r="C87" s="101"/>
      <c r="D87" s="150"/>
      <c r="E87" s="150"/>
      <c r="F87" s="169"/>
      <c r="G87" s="101"/>
      <c r="H87" s="162"/>
      <c r="I87" s="117"/>
      <c r="J87" s="151"/>
    </row>
    <row r="88" spans="2:17" ht="16.5" hidden="1" outlineLevel="1" thickBot="1" x14ac:dyDescent="0.3">
      <c r="B88" s="229" t="s">
        <v>561</v>
      </c>
      <c r="C88" s="102"/>
      <c r="D88" s="150"/>
      <c r="E88" s="150"/>
      <c r="F88" s="169"/>
      <c r="G88" s="102"/>
      <c r="H88" s="161"/>
      <c r="I88" s="118"/>
      <c r="J88" s="151"/>
    </row>
    <row r="89" spans="2:17" ht="16.5" collapsed="1" thickBot="1" x14ac:dyDescent="0.3">
      <c r="B89" s="419" t="s">
        <v>2</v>
      </c>
      <c r="C89" s="420"/>
      <c r="G89" s="156"/>
      <c r="H89" s="162"/>
      <c r="I89" s="117"/>
      <c r="J89" s="151"/>
      <c r="Q89" t="e">
        <f>(LARGE(PER!H90:H107,1)+LARGE(PER!H90:H107,2))/2</f>
        <v>#NUM!</v>
      </c>
    </row>
    <row r="90" spans="2:17" ht="16.5" hidden="1" customHeight="1" outlineLevel="1" thickBot="1" x14ac:dyDescent="0.3">
      <c r="B90" s="228" t="s">
        <v>562</v>
      </c>
      <c r="C90" s="103" t="s">
        <v>107</v>
      </c>
      <c r="D90" s="218">
        <v>21.3</v>
      </c>
      <c r="E90" s="117">
        <v>67</v>
      </c>
      <c r="F90" s="169"/>
      <c r="G90" s="103" t="s">
        <v>107</v>
      </c>
      <c r="H90" s="161"/>
      <c r="I90" s="118"/>
      <c r="J90" s="151"/>
    </row>
    <row r="91" spans="2:17" ht="16.5" hidden="1" customHeight="1" outlineLevel="1" thickBot="1" x14ac:dyDescent="0.3">
      <c r="B91" s="224" t="s">
        <v>562</v>
      </c>
      <c r="C91" s="101" t="s">
        <v>108</v>
      </c>
      <c r="D91" s="219">
        <v>21.8</v>
      </c>
      <c r="E91" s="118">
        <v>72</v>
      </c>
      <c r="F91" s="169"/>
      <c r="G91" s="101" t="s">
        <v>550</v>
      </c>
      <c r="H91" s="159"/>
      <c r="I91" s="117"/>
      <c r="J91" s="151"/>
    </row>
    <row r="92" spans="2:17" ht="16.5" hidden="1" customHeight="1" outlineLevel="1" thickBot="1" x14ac:dyDescent="0.3">
      <c r="B92" s="224" t="s">
        <v>562</v>
      </c>
      <c r="C92" s="101" t="s">
        <v>109</v>
      </c>
      <c r="D92" s="218">
        <v>13.5</v>
      </c>
      <c r="E92" s="117">
        <v>66</v>
      </c>
      <c r="F92" s="169"/>
      <c r="G92" s="101" t="s">
        <v>551</v>
      </c>
      <c r="H92" s="160"/>
      <c r="I92" s="118"/>
      <c r="J92" s="151"/>
    </row>
    <row r="93" spans="2:17" ht="16.5" hidden="1" customHeight="1" outlineLevel="1" thickBot="1" x14ac:dyDescent="0.3">
      <c r="B93" s="224" t="s">
        <v>562</v>
      </c>
      <c r="C93" s="101" t="s">
        <v>110</v>
      </c>
      <c r="D93" s="219">
        <v>15.6</v>
      </c>
      <c r="E93" s="118">
        <v>38</v>
      </c>
      <c r="F93" s="169"/>
      <c r="G93" s="101" t="s">
        <v>110</v>
      </c>
      <c r="H93" s="159"/>
      <c r="I93" s="117"/>
      <c r="J93" s="151"/>
    </row>
    <row r="94" spans="2:17" ht="16.5" hidden="1" customHeight="1" outlineLevel="1" thickBot="1" x14ac:dyDescent="0.3">
      <c r="B94" s="224" t="s">
        <v>562</v>
      </c>
      <c r="C94" s="101" t="s">
        <v>111</v>
      </c>
      <c r="D94" s="218">
        <v>11</v>
      </c>
      <c r="E94" s="117">
        <v>4</v>
      </c>
      <c r="F94" s="169"/>
      <c r="G94" s="101" t="s">
        <v>111</v>
      </c>
      <c r="H94" s="161"/>
      <c r="I94" s="118"/>
      <c r="J94" s="151"/>
    </row>
    <row r="95" spans="2:17" ht="16.5" hidden="1" customHeight="1" outlineLevel="1" thickBot="1" x14ac:dyDescent="0.3">
      <c r="B95" s="224" t="s">
        <v>562</v>
      </c>
      <c r="C95" s="101" t="s">
        <v>112</v>
      </c>
      <c r="D95" s="219">
        <v>15.7</v>
      </c>
      <c r="E95" s="118">
        <v>55</v>
      </c>
      <c r="F95" s="169"/>
      <c r="G95" s="101" t="s">
        <v>112</v>
      </c>
      <c r="H95" s="162"/>
      <c r="I95" s="117"/>
      <c r="J95" s="151"/>
    </row>
    <row r="96" spans="2:17" ht="16.5" hidden="1" customHeight="1" outlineLevel="1" thickBot="1" x14ac:dyDescent="0.3">
      <c r="B96" s="224" t="s">
        <v>562</v>
      </c>
      <c r="C96" s="101" t="s">
        <v>113</v>
      </c>
      <c r="D96" s="218">
        <v>11.4</v>
      </c>
      <c r="E96" s="117">
        <v>22</v>
      </c>
      <c r="F96" s="169"/>
      <c r="G96" s="101" t="s">
        <v>191</v>
      </c>
      <c r="H96" s="161"/>
      <c r="I96" s="118"/>
      <c r="J96" s="151"/>
    </row>
    <row r="97" spans="2:17" ht="16.5" hidden="1" customHeight="1" outlineLevel="1" thickBot="1" x14ac:dyDescent="0.3">
      <c r="B97" s="224" t="s">
        <v>562</v>
      </c>
      <c r="C97" s="101" t="s">
        <v>114</v>
      </c>
      <c r="D97" s="219">
        <v>9.1</v>
      </c>
      <c r="E97" s="118">
        <v>30</v>
      </c>
      <c r="F97" s="169"/>
      <c r="G97" s="101" t="s">
        <v>552</v>
      </c>
      <c r="H97" s="162"/>
      <c r="I97" s="117"/>
      <c r="J97" s="151"/>
    </row>
    <row r="98" spans="2:17" ht="16.5" hidden="1" customHeight="1" outlineLevel="1" thickBot="1" x14ac:dyDescent="0.3">
      <c r="B98" s="224" t="s">
        <v>562</v>
      </c>
      <c r="C98" s="101" t="s">
        <v>115</v>
      </c>
      <c r="D98" s="218">
        <v>11.9</v>
      </c>
      <c r="E98" s="117">
        <v>0</v>
      </c>
      <c r="F98" s="169"/>
      <c r="G98" s="101" t="s">
        <v>553</v>
      </c>
      <c r="H98" s="161"/>
      <c r="I98" s="118"/>
      <c r="J98" s="151"/>
    </row>
    <row r="99" spans="2:17" ht="16.5" hidden="1" customHeight="1" outlineLevel="1" thickBot="1" x14ac:dyDescent="0.3">
      <c r="B99" s="224" t="s">
        <v>562</v>
      </c>
      <c r="C99" s="101" t="s">
        <v>116</v>
      </c>
      <c r="D99" s="219">
        <v>13.9</v>
      </c>
      <c r="E99" s="118">
        <v>4</v>
      </c>
      <c r="F99" s="169"/>
      <c r="G99" s="101" t="s">
        <v>116</v>
      </c>
      <c r="H99" s="162"/>
      <c r="I99" s="117"/>
      <c r="J99" s="151"/>
    </row>
    <row r="100" spans="2:17" ht="16.5" hidden="1" customHeight="1" outlineLevel="1" thickBot="1" x14ac:dyDescent="0.3">
      <c r="B100" s="224" t="s">
        <v>562</v>
      </c>
      <c r="C100" s="101" t="s">
        <v>70</v>
      </c>
      <c r="D100" s="218">
        <v>11.9</v>
      </c>
      <c r="E100" s="117">
        <v>4</v>
      </c>
      <c r="F100" s="169"/>
      <c r="G100" s="101" t="s">
        <v>496</v>
      </c>
      <c r="H100" s="161"/>
      <c r="I100" s="118"/>
      <c r="J100" s="151"/>
    </row>
    <row r="101" spans="2:17" ht="16.5" hidden="1" customHeight="1" outlineLevel="1" thickBot="1" x14ac:dyDescent="0.3">
      <c r="B101" s="224" t="s">
        <v>562</v>
      </c>
      <c r="C101" s="101" t="s">
        <v>117</v>
      </c>
      <c r="D101" s="219">
        <v>6.5</v>
      </c>
      <c r="E101" s="118">
        <v>33</v>
      </c>
      <c r="F101" s="169"/>
      <c r="G101" s="101" t="s">
        <v>117</v>
      </c>
      <c r="H101" s="162"/>
      <c r="I101" s="117"/>
      <c r="J101" s="151"/>
    </row>
    <row r="102" spans="2:17" ht="16.5" hidden="1" customHeight="1" outlineLevel="1" thickBot="1" x14ac:dyDescent="0.3">
      <c r="B102" s="224" t="s">
        <v>562</v>
      </c>
      <c r="C102" s="101" t="s">
        <v>118</v>
      </c>
      <c r="D102" s="218">
        <v>14.1</v>
      </c>
      <c r="E102" s="117">
        <v>2</v>
      </c>
      <c r="F102" s="169"/>
      <c r="G102" s="101" t="s">
        <v>228</v>
      </c>
      <c r="H102" s="161"/>
      <c r="I102" s="118"/>
      <c r="J102" s="151"/>
    </row>
    <row r="103" spans="2:17" ht="16.5" hidden="1" customHeight="1" outlineLevel="1" thickBot="1" x14ac:dyDescent="0.3">
      <c r="B103" s="224" t="s">
        <v>562</v>
      </c>
      <c r="C103" s="101" t="s">
        <v>73</v>
      </c>
      <c r="D103" s="219">
        <v>7.3</v>
      </c>
      <c r="E103" s="118">
        <v>7</v>
      </c>
      <c r="F103" s="169"/>
      <c r="G103" s="101" t="s">
        <v>233</v>
      </c>
      <c r="H103" s="162"/>
      <c r="I103" s="117"/>
      <c r="J103" s="151"/>
    </row>
    <row r="104" spans="2:17" ht="16.5" hidden="1" customHeight="1" outlineLevel="1" thickBot="1" x14ac:dyDescent="0.3">
      <c r="B104" s="224" t="s">
        <v>562</v>
      </c>
      <c r="C104" s="101" t="s">
        <v>119</v>
      </c>
      <c r="D104" s="218">
        <v>17.600000000000001</v>
      </c>
      <c r="E104" s="117">
        <v>4</v>
      </c>
      <c r="F104" s="169"/>
      <c r="G104" s="101" t="s">
        <v>119</v>
      </c>
      <c r="H104" s="161"/>
      <c r="I104" s="118"/>
      <c r="J104" s="151"/>
    </row>
    <row r="105" spans="2:17" ht="16.5" hidden="1" customHeight="1" outlineLevel="1" thickBot="1" x14ac:dyDescent="0.3">
      <c r="B105" s="224" t="s">
        <v>562</v>
      </c>
      <c r="C105" s="101" t="s">
        <v>120</v>
      </c>
      <c r="D105" s="219">
        <v>6.9</v>
      </c>
      <c r="E105" s="118">
        <v>2</v>
      </c>
      <c r="F105" s="169"/>
      <c r="G105" s="101" t="s">
        <v>554</v>
      </c>
      <c r="H105" s="162"/>
      <c r="I105" s="117"/>
      <c r="J105" s="151"/>
    </row>
    <row r="106" spans="2:17" ht="15.75" hidden="1" customHeight="1" outlineLevel="1" thickBot="1" x14ac:dyDescent="0.3">
      <c r="B106" s="224" t="s">
        <v>562</v>
      </c>
      <c r="C106" s="101"/>
      <c r="D106" s="150"/>
      <c r="E106" s="150"/>
      <c r="F106" s="169"/>
      <c r="G106" s="101" t="s">
        <v>259</v>
      </c>
      <c r="H106" s="161"/>
      <c r="I106" s="118"/>
      <c r="J106" s="151"/>
    </row>
    <row r="107" spans="2:17" ht="16.5" hidden="1" customHeight="1" outlineLevel="1" thickBot="1" x14ac:dyDescent="0.3">
      <c r="B107" s="229" t="s">
        <v>562</v>
      </c>
      <c r="C107" s="102"/>
      <c r="D107" s="150"/>
      <c r="E107" s="150"/>
      <c r="F107" s="169"/>
      <c r="G107" s="102" t="s">
        <v>555</v>
      </c>
      <c r="H107" s="159"/>
      <c r="I107" s="117"/>
      <c r="J107" s="151"/>
    </row>
    <row r="108" spans="2:17" ht="16.5" collapsed="1" thickBot="1" x14ac:dyDescent="0.3">
      <c r="B108" s="419" t="s">
        <v>3</v>
      </c>
      <c r="C108" s="420"/>
      <c r="E108" s="115"/>
      <c r="G108" s="156"/>
      <c r="H108" s="232"/>
      <c r="I108" s="170"/>
      <c r="J108" s="151"/>
      <c r="Q108">
        <f>(LARGE(PER!H109:H127,1)+LARGE(PER!H109:H127,2))/2</f>
        <v>35.35</v>
      </c>
    </row>
    <row r="109" spans="2:17" ht="16.5" hidden="1" customHeight="1" outlineLevel="1" thickBot="1" x14ac:dyDescent="0.3">
      <c r="B109" s="228" t="s">
        <v>563</v>
      </c>
      <c r="C109" s="103" t="s">
        <v>121</v>
      </c>
      <c r="D109" s="218">
        <v>20.9</v>
      </c>
      <c r="E109" s="117">
        <v>81</v>
      </c>
      <c r="F109" s="169"/>
      <c r="G109" s="103" t="str">
        <f>PER_WEB!DQ143</f>
        <v>Cody Zeller, PF</v>
      </c>
      <c r="H109" s="159">
        <f>(SUBSTITUTE(PER_WEB!EE143,".",","))*1</f>
        <v>42.9</v>
      </c>
      <c r="I109" s="117">
        <f>PER_WEB!DS143</f>
        <v>0</v>
      </c>
      <c r="J109" s="151"/>
    </row>
    <row r="110" spans="2:17" ht="16.5" hidden="1" customHeight="1" outlineLevel="1" thickBot="1" x14ac:dyDescent="0.3">
      <c r="B110" s="224" t="s">
        <v>563</v>
      </c>
      <c r="C110" s="101" t="s">
        <v>122</v>
      </c>
      <c r="D110" s="219">
        <v>15.7</v>
      </c>
      <c r="E110" s="118">
        <v>70</v>
      </c>
      <c r="F110" s="169"/>
      <c r="G110" s="103" t="str">
        <f>PER_WEB!DQ144</f>
        <v>Michael Kidd-Gilchrist, SF</v>
      </c>
      <c r="H110" s="159">
        <f>(SUBSTITUTE(PER_WEB!EE144,".",","))*1</f>
        <v>27.8</v>
      </c>
      <c r="I110" s="117">
        <f>PER_WEB!DS144</f>
        <v>1</v>
      </c>
      <c r="J110" s="151"/>
    </row>
    <row r="111" spans="2:17" ht="16.5" hidden="1" customHeight="1" outlineLevel="1" thickBot="1" x14ac:dyDescent="0.3">
      <c r="B111" s="224" t="s">
        <v>563</v>
      </c>
      <c r="C111" s="101" t="s">
        <v>123</v>
      </c>
      <c r="D111" s="218">
        <v>17</v>
      </c>
      <c r="E111" s="117">
        <v>7</v>
      </c>
      <c r="F111" s="169"/>
      <c r="G111" s="103" t="str">
        <f>PER_WEB!DQ145</f>
        <v>Roy Hibbert, C</v>
      </c>
      <c r="H111" s="159">
        <f>(SUBSTITUTE(PER_WEB!EE145,".",","))*1</f>
        <v>26.2</v>
      </c>
      <c r="I111" s="117">
        <f>PER_WEB!DS145</f>
        <v>1</v>
      </c>
      <c r="J111" s="151"/>
    </row>
    <row r="112" spans="2:17" ht="16.5" hidden="1" customHeight="1" outlineLevel="1" thickBot="1" x14ac:dyDescent="0.3">
      <c r="B112" s="224" t="s">
        <v>563</v>
      </c>
      <c r="C112" s="101" t="s">
        <v>124</v>
      </c>
      <c r="D112" s="219">
        <v>18.3</v>
      </c>
      <c r="E112" s="118">
        <v>18</v>
      </c>
      <c r="F112" s="169"/>
      <c r="G112" s="103" t="str">
        <f>PER_WEB!DQ146</f>
        <v>Kemba Walker, PG</v>
      </c>
      <c r="H112" s="159">
        <f>(SUBSTITUTE(PER_WEB!EE146,".",","))*1</f>
        <v>15.6</v>
      </c>
      <c r="I112" s="117">
        <f>PER_WEB!DS146</f>
        <v>1</v>
      </c>
      <c r="J112" s="151"/>
    </row>
    <row r="113" spans="2:18" ht="16.5" hidden="1" customHeight="1" outlineLevel="1" thickBot="1" x14ac:dyDescent="0.3">
      <c r="B113" s="224" t="s">
        <v>563</v>
      </c>
      <c r="C113" s="101" t="s">
        <v>125</v>
      </c>
      <c r="D113" s="218">
        <v>13.8</v>
      </c>
      <c r="E113" s="117">
        <v>13</v>
      </c>
      <c r="F113" s="169"/>
      <c r="G113" s="103" t="str">
        <f>PER_WEB!DQ147</f>
        <v>Marvin Williams, PF</v>
      </c>
      <c r="H113" s="159">
        <f>(SUBSTITUTE(PER_WEB!EE147,".",","))*1</f>
        <v>15.1</v>
      </c>
      <c r="I113" s="117">
        <f>PER_WEB!DS147</f>
        <v>1</v>
      </c>
      <c r="J113" s="151"/>
    </row>
    <row r="114" spans="2:18" ht="16.5" hidden="1" customHeight="1" outlineLevel="1" thickBot="1" x14ac:dyDescent="0.3">
      <c r="B114" s="224" t="s">
        <v>563</v>
      </c>
      <c r="C114" s="101" t="s">
        <v>126</v>
      </c>
      <c r="D114" s="219">
        <v>16.899999999999999</v>
      </c>
      <c r="E114" s="118">
        <v>81</v>
      </c>
      <c r="F114" s="169"/>
      <c r="G114" s="103" t="str">
        <f>PER_WEB!DQ148</f>
        <v>Nicolas Batum, SG</v>
      </c>
      <c r="H114" s="159">
        <f>(SUBSTITUTE(PER_WEB!EE148,".",","))*1</f>
        <v>12.2</v>
      </c>
      <c r="I114" s="117">
        <f>PER_WEB!DS148</f>
        <v>1</v>
      </c>
      <c r="J114" s="151"/>
    </row>
    <row r="115" spans="2:18" ht="16.5" hidden="1" customHeight="1" outlineLevel="1" thickBot="1" x14ac:dyDescent="0.3">
      <c r="B115" s="224" t="s">
        <v>563</v>
      </c>
      <c r="C115" s="101" t="s">
        <v>127</v>
      </c>
      <c r="D115" s="218">
        <v>11.2</v>
      </c>
      <c r="E115" s="117">
        <v>28</v>
      </c>
      <c r="F115" s="169"/>
      <c r="G115" s="103" t="str">
        <f>PER_WEB!DQ149</f>
        <v>Spencer Hawes, PF</v>
      </c>
      <c r="H115" s="159">
        <f>(SUBSTITUTE(PER_WEB!EE149,".",","))*1</f>
        <v>9.5</v>
      </c>
      <c r="I115" s="117">
        <f>PER_WEB!DS149</f>
        <v>0</v>
      </c>
      <c r="J115" s="151"/>
    </row>
    <row r="116" spans="2:18" ht="16.5" hidden="1" customHeight="1" outlineLevel="1" thickBot="1" x14ac:dyDescent="0.3">
      <c r="B116" s="224" t="s">
        <v>563</v>
      </c>
      <c r="C116" s="101" t="s">
        <v>128</v>
      </c>
      <c r="D116" s="219">
        <v>15.9</v>
      </c>
      <c r="E116" s="118">
        <v>0</v>
      </c>
      <c r="F116" s="169"/>
      <c r="G116" s="103" t="str">
        <f>PER_WEB!DQ150</f>
        <v>Marco Belinelli, SG</v>
      </c>
      <c r="H116" s="159">
        <f>(SUBSTITUTE(PER_WEB!EE150,".",","))*1</f>
        <v>5.9</v>
      </c>
      <c r="I116" s="117">
        <f>PER_WEB!DS150</f>
        <v>0</v>
      </c>
      <c r="J116" s="151"/>
    </row>
    <row r="117" spans="2:18" ht="16.5" hidden="1" customHeight="1" outlineLevel="1" thickBot="1" x14ac:dyDescent="0.3">
      <c r="B117" s="224" t="s">
        <v>563</v>
      </c>
      <c r="C117" s="101" t="s">
        <v>129</v>
      </c>
      <c r="D117" s="218">
        <v>16.2</v>
      </c>
      <c r="E117" s="117">
        <v>60</v>
      </c>
      <c r="F117" s="169"/>
      <c r="G117" s="103" t="str">
        <f>PER_WEB!DQ151</f>
        <v>Ramon Sessions, PG</v>
      </c>
      <c r="H117" s="159">
        <f>(SUBSTITUTE(PER_WEB!EE151,".",","))*1</f>
        <v>0.9</v>
      </c>
      <c r="I117" s="117">
        <f>PER_WEB!DS151</f>
        <v>0</v>
      </c>
      <c r="J117" s="151"/>
    </row>
    <row r="118" spans="2:18" ht="16.5" hidden="1" customHeight="1" outlineLevel="1" thickBot="1" x14ac:dyDescent="0.3">
      <c r="B118" s="224" t="s">
        <v>563</v>
      </c>
      <c r="C118" s="101" t="s">
        <v>130</v>
      </c>
      <c r="D118" s="219">
        <v>12.5</v>
      </c>
      <c r="E118" s="118">
        <v>3</v>
      </c>
      <c r="F118" s="169"/>
      <c r="G118" s="103" t="str">
        <f>PER_WEB!DQ152</f>
        <v>Jeremy Lamb, SG</v>
      </c>
      <c r="H118" s="159">
        <f>(SUBSTITUTE(PER_WEB!EE152,".",","))*1</f>
        <v>-10.6</v>
      </c>
      <c r="I118" s="117">
        <f>PER_WEB!DS152</f>
        <v>0</v>
      </c>
      <c r="J118" s="151"/>
    </row>
    <row r="119" spans="2:18" ht="16.5" hidden="1" customHeight="1" outlineLevel="1" thickBot="1" x14ac:dyDescent="0.3">
      <c r="B119" s="224" t="s">
        <v>563</v>
      </c>
      <c r="C119" s="101" t="s">
        <v>131</v>
      </c>
      <c r="D119" s="218">
        <v>12.4</v>
      </c>
      <c r="E119" s="117">
        <v>6</v>
      </c>
      <c r="F119" s="169"/>
      <c r="G119" s="101"/>
      <c r="H119" s="159"/>
      <c r="I119" s="117"/>
      <c r="J119" s="151"/>
    </row>
    <row r="120" spans="2:18" ht="16.5" hidden="1" customHeight="1" outlineLevel="1" thickBot="1" x14ac:dyDescent="0.3">
      <c r="B120" s="224" t="s">
        <v>563</v>
      </c>
      <c r="C120" s="101" t="s">
        <v>132</v>
      </c>
      <c r="D120" s="219">
        <v>7.4</v>
      </c>
      <c r="E120" s="118">
        <v>43</v>
      </c>
      <c r="F120" s="169"/>
      <c r="G120" s="101"/>
      <c r="H120" s="161"/>
      <c r="I120" s="118"/>
      <c r="J120" s="151"/>
    </row>
    <row r="121" spans="2:18" ht="16.5" hidden="1" customHeight="1" outlineLevel="1" thickBot="1" x14ac:dyDescent="0.3">
      <c r="B121" s="224" t="s">
        <v>563</v>
      </c>
      <c r="C121" s="101" t="s">
        <v>133</v>
      </c>
      <c r="D121" s="218">
        <v>15</v>
      </c>
      <c r="E121" s="117">
        <v>0</v>
      </c>
      <c r="F121" s="169"/>
      <c r="G121" s="101"/>
      <c r="H121" s="162"/>
      <c r="I121" s="117"/>
      <c r="J121" s="151"/>
    </row>
    <row r="122" spans="2:18" ht="16.5" hidden="1" customHeight="1" outlineLevel="1" thickBot="1" x14ac:dyDescent="0.3">
      <c r="B122" s="224" t="s">
        <v>563</v>
      </c>
      <c r="C122" s="101" t="s">
        <v>134</v>
      </c>
      <c r="D122" s="219">
        <v>14</v>
      </c>
      <c r="E122" s="118">
        <v>0</v>
      </c>
      <c r="F122" s="169"/>
      <c r="G122" s="101"/>
      <c r="H122" s="161"/>
      <c r="I122" s="118"/>
      <c r="J122" s="151"/>
    </row>
    <row r="123" spans="2:18" ht="16.5" hidden="1" customHeight="1" outlineLevel="1" thickBot="1" x14ac:dyDescent="0.3">
      <c r="B123" s="224" t="s">
        <v>563</v>
      </c>
      <c r="C123" s="101" t="s">
        <v>135</v>
      </c>
      <c r="D123" s="218">
        <v>12.5</v>
      </c>
      <c r="E123" s="117">
        <v>0</v>
      </c>
      <c r="F123" s="169"/>
      <c r="G123" s="101"/>
      <c r="H123" s="159"/>
      <c r="I123" s="117"/>
      <c r="J123" s="151"/>
    </row>
    <row r="124" spans="2:18" ht="16.5" hidden="1" customHeight="1" outlineLevel="1" thickBot="1" x14ac:dyDescent="0.3">
      <c r="B124" s="224" t="s">
        <v>563</v>
      </c>
      <c r="C124" s="101" t="s">
        <v>136</v>
      </c>
      <c r="D124" s="219">
        <v>19.2</v>
      </c>
      <c r="E124" s="118">
        <v>0</v>
      </c>
      <c r="F124" s="169"/>
      <c r="G124" s="101"/>
      <c r="H124" s="160"/>
      <c r="I124" s="118"/>
      <c r="J124" s="151"/>
    </row>
    <row r="125" spans="2:18" ht="16.5" hidden="1" customHeight="1" outlineLevel="1" thickBot="1" x14ac:dyDescent="0.3">
      <c r="B125" s="224" t="s">
        <v>563</v>
      </c>
      <c r="C125" s="101" t="s">
        <v>137</v>
      </c>
      <c r="D125" s="218">
        <v>4.3</v>
      </c>
      <c r="E125" s="117">
        <v>0</v>
      </c>
      <c r="F125" s="169"/>
      <c r="G125" s="101"/>
      <c r="H125" s="159"/>
      <c r="I125" s="117"/>
      <c r="J125" s="151"/>
    </row>
    <row r="126" spans="2:18" ht="15.75" hidden="1" customHeight="1" outlineLevel="1" thickBot="1" x14ac:dyDescent="0.3">
      <c r="B126" s="224" t="s">
        <v>563</v>
      </c>
      <c r="C126" s="101"/>
      <c r="D126" s="150"/>
      <c r="E126" s="150"/>
      <c r="F126" s="169"/>
      <c r="G126" s="101"/>
      <c r="H126" s="161"/>
      <c r="I126" s="118"/>
      <c r="J126" s="151"/>
    </row>
    <row r="127" spans="2:18" ht="16.5" hidden="1" customHeight="1" outlineLevel="1" thickBot="1" x14ac:dyDescent="0.3">
      <c r="B127" s="229" t="s">
        <v>563</v>
      </c>
      <c r="C127" s="102"/>
      <c r="D127" s="150"/>
      <c r="E127" s="150"/>
      <c r="F127" s="169"/>
      <c r="G127" s="102"/>
      <c r="H127" s="162"/>
      <c r="I127" s="117"/>
      <c r="J127" s="151"/>
    </row>
    <row r="128" spans="2:18" ht="16.5" collapsed="1" thickBot="1" x14ac:dyDescent="0.3">
      <c r="B128" s="419" t="s">
        <v>4</v>
      </c>
      <c r="C128" s="420"/>
      <c r="E128" s="115"/>
      <c r="G128" s="156"/>
      <c r="H128" s="225"/>
      <c r="I128" s="170"/>
      <c r="J128" s="151"/>
      <c r="K128" s="115"/>
      <c r="L128" s="115"/>
      <c r="M128" s="115"/>
      <c r="N128" s="115"/>
      <c r="O128" s="115"/>
      <c r="P128" s="115"/>
      <c r="Q128">
        <f>(LARGE(PER!H129:H147,1)+LARGE(PER!H129:H147,2))/2</f>
        <v>30.95</v>
      </c>
      <c r="R128" s="115"/>
    </row>
    <row r="129" spans="2:10" ht="16.5" hidden="1" customHeight="1" outlineLevel="1" thickBot="1" x14ac:dyDescent="0.3">
      <c r="B129" s="228" t="s">
        <v>564</v>
      </c>
      <c r="C129" s="103" t="s">
        <v>138</v>
      </c>
      <c r="D129" s="218">
        <v>27.6</v>
      </c>
      <c r="E129" s="117">
        <v>76</v>
      </c>
      <c r="F129" s="169"/>
      <c r="G129" s="103" t="str">
        <f>PER_WEB!A143</f>
        <v>Kyrie Irving, PG</v>
      </c>
      <c r="H129" s="162">
        <f>(SUBSTITUTE(PER_WEB!O143,".",","))*1</f>
        <v>32</v>
      </c>
      <c r="I129" s="117">
        <f>PER_WEB!C143</f>
        <v>1</v>
      </c>
      <c r="J129" s="151"/>
    </row>
    <row r="130" spans="2:10" ht="16.5" hidden="1" customHeight="1" outlineLevel="1" thickBot="1" x14ac:dyDescent="0.3">
      <c r="B130" s="224" t="s">
        <v>564</v>
      </c>
      <c r="C130" s="101" t="s">
        <v>139</v>
      </c>
      <c r="D130" s="219">
        <v>20</v>
      </c>
      <c r="E130" s="118">
        <v>53</v>
      </c>
      <c r="F130" s="169"/>
      <c r="G130" s="103" t="str">
        <f>PER_WEB!A144</f>
        <v>Kevin Love, PF</v>
      </c>
      <c r="H130" s="162">
        <f>(SUBSTITUTE(PER_WEB!O144,".",","))*1</f>
        <v>29.9</v>
      </c>
      <c r="I130" s="117">
        <f>PER_WEB!C144</f>
        <v>1</v>
      </c>
      <c r="J130" s="151"/>
    </row>
    <row r="131" spans="2:10" ht="16.5" hidden="1" customHeight="1" outlineLevel="1" thickBot="1" x14ac:dyDescent="0.3">
      <c r="B131" s="224" t="s">
        <v>564</v>
      </c>
      <c r="C131" s="101" t="s">
        <v>140</v>
      </c>
      <c r="D131" s="218">
        <v>19.100000000000001</v>
      </c>
      <c r="E131" s="117">
        <v>77</v>
      </c>
      <c r="F131" s="169"/>
      <c r="G131" s="103" t="str">
        <f>PER_WEB!A145</f>
        <v>LeBron James, SF</v>
      </c>
      <c r="H131" s="162">
        <f>(SUBSTITUTE(PER_WEB!O145,".",","))*1</f>
        <v>28.1</v>
      </c>
      <c r="I131" s="117">
        <f>PER_WEB!C145</f>
        <v>1</v>
      </c>
      <c r="J131" s="151"/>
    </row>
    <row r="132" spans="2:10" ht="16.5" hidden="1" customHeight="1" outlineLevel="1" thickBot="1" x14ac:dyDescent="0.3">
      <c r="B132" s="224" t="s">
        <v>564</v>
      </c>
      <c r="C132" s="101" t="s">
        <v>141</v>
      </c>
      <c r="D132" s="219"/>
      <c r="E132" s="118">
        <v>0</v>
      </c>
      <c r="F132" s="169"/>
      <c r="G132" s="103" t="str">
        <f>PER_WEB!A146</f>
        <v>James Jones, SG</v>
      </c>
      <c r="H132" s="162">
        <f>(SUBSTITUTE(PER_WEB!O146,".",","))*1</f>
        <v>23.7</v>
      </c>
      <c r="I132" s="117">
        <f>PER_WEB!C146</f>
        <v>0</v>
      </c>
      <c r="J132" s="151"/>
    </row>
    <row r="133" spans="2:10" ht="16.5" hidden="1" customHeight="1" outlineLevel="1" thickBot="1" x14ac:dyDescent="0.3">
      <c r="B133" s="224" t="s">
        <v>564</v>
      </c>
      <c r="C133" s="101" t="s">
        <v>142</v>
      </c>
      <c r="D133" s="218">
        <v>12.4</v>
      </c>
      <c r="E133" s="117">
        <v>77</v>
      </c>
      <c r="F133" s="169"/>
      <c r="G133" s="103" t="str">
        <f>PER_WEB!A147</f>
        <v>Chris Andersen, PF</v>
      </c>
      <c r="H133" s="162">
        <f>(SUBSTITUTE(PER_WEB!O147,".",","))*1</f>
        <v>17.8</v>
      </c>
      <c r="I133" s="117">
        <f>PER_WEB!C147</f>
        <v>0</v>
      </c>
      <c r="J133" s="151"/>
    </row>
    <row r="134" spans="2:10" ht="16.5" hidden="1" customHeight="1" outlineLevel="1" thickBot="1" x14ac:dyDescent="0.3">
      <c r="B134" s="224" t="s">
        <v>564</v>
      </c>
      <c r="C134" s="101" t="s">
        <v>143</v>
      </c>
      <c r="D134" s="219">
        <v>12.5</v>
      </c>
      <c r="E134" s="118">
        <v>14</v>
      </c>
      <c r="F134" s="169"/>
      <c r="G134" s="103" t="str">
        <f>PER_WEB!A148</f>
        <v>Richard Jefferson, SF</v>
      </c>
      <c r="H134" s="162">
        <f>(SUBSTITUTE(PER_WEB!O148,".",","))*1</f>
        <v>17.600000000000001</v>
      </c>
      <c r="I134" s="117">
        <f>PER_WEB!C148</f>
        <v>0</v>
      </c>
      <c r="J134" s="151"/>
    </row>
    <row r="135" spans="2:10" ht="16.5" hidden="1" customHeight="1" outlineLevel="1" thickBot="1" x14ac:dyDescent="0.3">
      <c r="B135" s="224" t="s">
        <v>564</v>
      </c>
      <c r="C135" s="101" t="s">
        <v>144</v>
      </c>
      <c r="D135" s="218">
        <v>15.9</v>
      </c>
      <c r="E135" s="117">
        <v>34</v>
      </c>
      <c r="F135" s="169"/>
      <c r="G135" s="103" t="str">
        <f>PER_WEB!A149</f>
        <v>DeAndre Liggins, SG</v>
      </c>
      <c r="H135" s="162">
        <f>(SUBSTITUTE(PER_WEB!O149,".",","))*1</f>
        <v>17</v>
      </c>
      <c r="I135" s="117">
        <f>PER_WEB!C149</f>
        <v>0</v>
      </c>
      <c r="J135" s="151"/>
    </row>
    <row r="136" spans="2:10" ht="16.5" hidden="1" customHeight="1" outlineLevel="1" thickBot="1" x14ac:dyDescent="0.3">
      <c r="B136" s="224" t="s">
        <v>564</v>
      </c>
      <c r="C136" s="101" t="s">
        <v>145</v>
      </c>
      <c r="D136" s="219">
        <v>14.9</v>
      </c>
      <c r="E136" s="118">
        <v>3</v>
      </c>
      <c r="F136" s="169"/>
      <c r="G136" s="103" t="str">
        <f>PER_WEB!A150</f>
        <v>Mike Dunleavy, SG</v>
      </c>
      <c r="H136" s="162">
        <f>(SUBSTITUTE(PER_WEB!O150,".",","))*1</f>
        <v>15.7</v>
      </c>
      <c r="I136" s="117">
        <f>PER_WEB!C150</f>
        <v>0</v>
      </c>
      <c r="J136" s="151"/>
    </row>
    <row r="137" spans="2:10" ht="16.5" hidden="1" customHeight="1" outlineLevel="1" thickBot="1" x14ac:dyDescent="0.3">
      <c r="B137" s="224" t="s">
        <v>564</v>
      </c>
      <c r="C137" s="101" t="s">
        <v>146</v>
      </c>
      <c r="D137" s="218">
        <v>11.3</v>
      </c>
      <c r="E137" s="117">
        <v>14</v>
      </c>
      <c r="F137" s="169"/>
      <c r="G137" s="103" t="str">
        <f>PER_WEB!A151</f>
        <v>Channing Frye, PF</v>
      </c>
      <c r="H137" s="162">
        <f>(SUBSTITUTE(PER_WEB!O151,".",","))*1</f>
        <v>10.9</v>
      </c>
      <c r="I137" s="117">
        <f>PER_WEB!C151</f>
        <v>0</v>
      </c>
      <c r="J137" s="151"/>
    </row>
    <row r="138" spans="2:10" ht="16.5" hidden="1" customHeight="1" outlineLevel="1" thickBot="1" x14ac:dyDescent="0.3">
      <c r="B138" s="224" t="s">
        <v>564</v>
      </c>
      <c r="C138" s="101" t="s">
        <v>147</v>
      </c>
      <c r="D138" s="219">
        <v>14.6</v>
      </c>
      <c r="E138" s="118">
        <v>48</v>
      </c>
      <c r="F138" s="169"/>
      <c r="G138" s="103" t="str">
        <f>PER_WEB!A152</f>
        <v>Iman Shumpert, SG</v>
      </c>
      <c r="H138" s="162">
        <f>(SUBSTITUTE(PER_WEB!O152,".",","))*1</f>
        <v>3</v>
      </c>
      <c r="I138" s="117">
        <f>PER_WEB!C152</f>
        <v>0</v>
      </c>
      <c r="J138" s="151"/>
    </row>
    <row r="139" spans="2:10" ht="16.5" hidden="1" customHeight="1" outlineLevel="1" thickBot="1" x14ac:dyDescent="0.3">
      <c r="B139" s="224" t="s">
        <v>564</v>
      </c>
      <c r="C139" s="101" t="s">
        <v>148</v>
      </c>
      <c r="D139" s="218">
        <v>8.5</v>
      </c>
      <c r="E139" s="117">
        <v>5</v>
      </c>
      <c r="F139" s="169"/>
      <c r="G139" s="103" t="str">
        <f>PER_WEB!A153</f>
        <v>J.R. Smith, SG</v>
      </c>
      <c r="H139" s="162">
        <f>(SUBSTITUTE(PER_WEB!O153,".",","))*1</f>
        <v>2.9</v>
      </c>
      <c r="I139" s="117">
        <f>PER_WEB!C153</f>
        <v>1</v>
      </c>
      <c r="J139" s="151"/>
    </row>
    <row r="140" spans="2:10" ht="16.5" hidden="1" customHeight="1" outlineLevel="1" thickBot="1" x14ac:dyDescent="0.3">
      <c r="B140" s="224" t="s">
        <v>564</v>
      </c>
      <c r="C140" s="101" t="s">
        <v>149</v>
      </c>
      <c r="D140" s="219">
        <v>9.6999999999999993</v>
      </c>
      <c r="E140" s="118">
        <v>5</v>
      </c>
      <c r="F140" s="169"/>
      <c r="G140" s="103" t="str">
        <f>PER_WEB!A154</f>
        <v>Tristan Thompson, C</v>
      </c>
      <c r="H140" s="162">
        <f>(SUBSTITUTE(PER_WEB!O154,".",","))*1</f>
        <v>-3.6</v>
      </c>
      <c r="I140" s="117">
        <f>PER_WEB!C154</f>
        <v>1</v>
      </c>
      <c r="J140" s="151"/>
    </row>
    <row r="141" spans="2:10" ht="16.5" hidden="1" customHeight="1" outlineLevel="1" thickBot="1" x14ac:dyDescent="0.3">
      <c r="B141" s="224" t="s">
        <v>564</v>
      </c>
      <c r="C141" s="101" t="s">
        <v>150</v>
      </c>
      <c r="D141" s="218">
        <v>14.3</v>
      </c>
      <c r="E141" s="117">
        <v>1</v>
      </c>
      <c r="F141" s="169"/>
      <c r="G141" s="103" t="str">
        <f>PER_WEB!A155</f>
        <v>Jordan McRae, SG</v>
      </c>
      <c r="H141" s="162">
        <f>(SUBSTITUTE(PER_WEB!O155,".",","))*1</f>
        <v>-8.9</v>
      </c>
      <c r="I141" s="117">
        <f>PER_WEB!C155</f>
        <v>0</v>
      </c>
      <c r="J141" s="151"/>
    </row>
    <row r="142" spans="2:10" ht="16.5" hidden="1" customHeight="1" outlineLevel="1" thickBot="1" x14ac:dyDescent="0.3">
      <c r="B142" s="224" t="s">
        <v>564</v>
      </c>
      <c r="C142" s="101" t="s">
        <v>151</v>
      </c>
      <c r="D142" s="219">
        <v>11.6</v>
      </c>
      <c r="E142" s="118">
        <v>0</v>
      </c>
      <c r="F142" s="169"/>
      <c r="G142" s="103"/>
      <c r="H142" s="161"/>
      <c r="I142" s="118"/>
      <c r="J142" s="151"/>
    </row>
    <row r="143" spans="2:10" ht="16.5" hidden="1" customHeight="1" outlineLevel="1" thickBot="1" x14ac:dyDescent="0.3">
      <c r="B143" s="224" t="s">
        <v>564</v>
      </c>
      <c r="C143" s="101" t="s">
        <v>152</v>
      </c>
      <c r="D143" s="218">
        <v>6</v>
      </c>
      <c r="E143" s="117">
        <v>3</v>
      </c>
      <c r="F143" s="169"/>
      <c r="G143" s="103"/>
      <c r="H143" s="162"/>
      <c r="I143" s="117"/>
      <c r="J143" s="151"/>
    </row>
    <row r="144" spans="2:10" ht="16.5" hidden="1" customHeight="1" outlineLevel="1" thickBot="1" x14ac:dyDescent="0.3">
      <c r="B144" s="224" t="s">
        <v>564</v>
      </c>
      <c r="C144" s="101" t="s">
        <v>153</v>
      </c>
      <c r="D144" s="219">
        <v>11.2</v>
      </c>
      <c r="E144" s="118">
        <v>0</v>
      </c>
      <c r="F144" s="169"/>
      <c r="G144" s="103"/>
      <c r="H144" s="161"/>
      <c r="I144" s="118"/>
      <c r="J144" s="151"/>
    </row>
    <row r="145" spans="2:18" ht="16.5" hidden="1" customHeight="1" outlineLevel="1" thickBot="1" x14ac:dyDescent="0.3">
      <c r="B145" s="224" t="s">
        <v>564</v>
      </c>
      <c r="C145" s="101" t="s">
        <v>154</v>
      </c>
      <c r="D145" s="218">
        <v>12.6</v>
      </c>
      <c r="E145" s="117">
        <v>0</v>
      </c>
      <c r="F145" s="169"/>
      <c r="G145" s="103"/>
      <c r="H145" s="162"/>
      <c r="I145" s="117"/>
      <c r="J145" s="151"/>
    </row>
    <row r="146" spans="2:18" ht="16.5" hidden="1" customHeight="1" outlineLevel="1" thickBot="1" x14ac:dyDescent="0.3">
      <c r="B146" s="224" t="s">
        <v>564</v>
      </c>
      <c r="C146" s="101" t="s">
        <v>155</v>
      </c>
      <c r="D146" s="219">
        <v>3.4</v>
      </c>
      <c r="E146" s="118">
        <v>0</v>
      </c>
      <c r="F146" s="169"/>
      <c r="G146" s="103"/>
      <c r="H146" s="161"/>
      <c r="I146" s="118"/>
      <c r="J146" s="151"/>
    </row>
    <row r="147" spans="2:18" ht="16.5" hidden="1" customHeight="1" outlineLevel="1" thickBot="1" x14ac:dyDescent="0.3">
      <c r="B147" s="229" t="s">
        <v>564</v>
      </c>
      <c r="C147" s="102"/>
      <c r="D147" s="150"/>
      <c r="E147" s="150"/>
      <c r="F147" s="169"/>
      <c r="G147" s="103"/>
      <c r="H147" s="162"/>
      <c r="I147" s="117"/>
      <c r="J147" s="151"/>
    </row>
    <row r="148" spans="2:18" ht="16.5" collapsed="1" thickBot="1" x14ac:dyDescent="0.3">
      <c r="B148" s="419" t="s">
        <v>5</v>
      </c>
      <c r="C148" s="420"/>
      <c r="E148" s="115"/>
      <c r="G148" s="156"/>
      <c r="H148" s="225"/>
      <c r="I148" s="170"/>
      <c r="J148" s="151"/>
      <c r="K148" s="115"/>
      <c r="L148" s="115"/>
      <c r="M148" s="115"/>
      <c r="N148" s="115"/>
      <c r="O148" s="115"/>
      <c r="P148" s="115"/>
      <c r="Q148">
        <f>(LARGE(PER!H149:H166,1)+LARGE(PER!H149:H166,2))/2</f>
        <v>22.6</v>
      </c>
      <c r="R148" s="115"/>
    </row>
    <row r="149" spans="2:18" ht="16.5" hidden="1" customHeight="1" outlineLevel="1" thickBot="1" x14ac:dyDescent="0.3">
      <c r="B149" s="228" t="s">
        <v>565</v>
      </c>
      <c r="C149" s="103" t="s">
        <v>156</v>
      </c>
      <c r="D149" s="218">
        <v>19.600000000000001</v>
      </c>
      <c r="E149" s="117">
        <v>79</v>
      </c>
      <c r="F149" s="169"/>
      <c r="G149" s="103" t="str">
        <f>PER_WEB!FJ143</f>
        <v>Michael Gbinije, SG</v>
      </c>
      <c r="H149" s="162">
        <f>(SUBSTITUTE(PER_WEB!FX143,".",","))*1</f>
        <v>25.9</v>
      </c>
      <c r="I149" s="117">
        <f>PER_WEB!FL143</f>
        <v>0</v>
      </c>
      <c r="J149" s="151"/>
    </row>
    <row r="150" spans="2:18" ht="16.5" hidden="1" customHeight="1" outlineLevel="1" thickBot="1" x14ac:dyDescent="0.3">
      <c r="B150" s="224" t="s">
        <v>565</v>
      </c>
      <c r="C150" s="101" t="s">
        <v>157</v>
      </c>
      <c r="D150" s="219">
        <v>18.3</v>
      </c>
      <c r="E150" s="118">
        <v>25</v>
      </c>
      <c r="F150" s="169"/>
      <c r="G150" s="103" t="str">
        <f>PER_WEB!FJ144</f>
        <v>Aron Baynes, PF</v>
      </c>
      <c r="H150" s="162">
        <f>(SUBSTITUTE(PER_WEB!FX144,".",","))*1</f>
        <v>19.3</v>
      </c>
      <c r="I150" s="117">
        <f>PER_WEB!FL144</f>
        <v>0</v>
      </c>
      <c r="J150" s="151"/>
    </row>
    <row r="151" spans="2:18" ht="16.5" hidden="1" customHeight="1" outlineLevel="1" thickBot="1" x14ac:dyDescent="0.3">
      <c r="B151" s="224" t="s">
        <v>565</v>
      </c>
      <c r="C151" s="101" t="s">
        <v>158</v>
      </c>
      <c r="D151" s="218">
        <v>21.3</v>
      </c>
      <c r="E151" s="117">
        <v>81</v>
      </c>
      <c r="F151" s="169"/>
      <c r="G151" s="103" t="str">
        <f>PER_WEB!FJ145</f>
        <v>Marcus Morris, PF</v>
      </c>
      <c r="H151" s="162">
        <f>(SUBSTITUTE(PER_WEB!FX145,".",","))*1</f>
        <v>18.2</v>
      </c>
      <c r="I151" s="117">
        <f>PER_WEB!FL145</f>
        <v>1</v>
      </c>
      <c r="J151" s="151"/>
    </row>
    <row r="152" spans="2:18" ht="16.5" hidden="1" customHeight="1" outlineLevel="1" thickBot="1" x14ac:dyDescent="0.3">
      <c r="B152" s="224" t="s">
        <v>565</v>
      </c>
      <c r="C152" s="101" t="s">
        <v>159</v>
      </c>
      <c r="D152" s="219">
        <v>12.4</v>
      </c>
      <c r="E152" s="118">
        <v>76</v>
      </c>
      <c r="F152" s="169"/>
      <c r="G152" s="103" t="str">
        <f>PER_WEB!FJ146</f>
        <v>Tobias Harris, SF</v>
      </c>
      <c r="H152" s="162">
        <f>(SUBSTITUTE(PER_WEB!FX146,".",","))*1</f>
        <v>16.7</v>
      </c>
      <c r="I152" s="117">
        <f>PER_WEB!FL146</f>
        <v>1</v>
      </c>
      <c r="J152" s="151"/>
    </row>
    <row r="153" spans="2:18" ht="16.5" hidden="1" customHeight="1" outlineLevel="1" thickBot="1" x14ac:dyDescent="0.3">
      <c r="B153" s="224" t="s">
        <v>565</v>
      </c>
      <c r="C153" s="101" t="s">
        <v>160</v>
      </c>
      <c r="D153" s="218">
        <v>12.8</v>
      </c>
      <c r="E153" s="117">
        <v>80</v>
      </c>
      <c r="F153" s="169"/>
      <c r="G153" s="103" t="str">
        <f>PER_WEB!FJ147</f>
        <v>Andre Drummond, C</v>
      </c>
      <c r="H153" s="162">
        <f>(SUBSTITUTE(PER_WEB!FX147,".",","))*1</f>
        <v>13.1</v>
      </c>
      <c r="I153" s="117">
        <f>PER_WEB!FL147</f>
        <v>1</v>
      </c>
      <c r="J153" s="151"/>
    </row>
    <row r="154" spans="2:18" ht="16.5" hidden="1" customHeight="1" outlineLevel="1" thickBot="1" x14ac:dyDescent="0.3">
      <c r="B154" s="224" t="s">
        <v>565</v>
      </c>
      <c r="C154" s="101" t="s">
        <v>161</v>
      </c>
      <c r="D154" s="219">
        <v>14.1</v>
      </c>
      <c r="E154" s="118">
        <v>52</v>
      </c>
      <c r="F154" s="169"/>
      <c r="G154" s="103" t="str">
        <f>PER_WEB!FJ148</f>
        <v>Jon Leuer, PF</v>
      </c>
      <c r="H154" s="162">
        <f>(SUBSTITUTE(PER_WEB!FX148,".",","))*1</f>
        <v>12.7</v>
      </c>
      <c r="I154" s="117">
        <f>PER_WEB!FL148</f>
        <v>0</v>
      </c>
      <c r="J154" s="151"/>
    </row>
    <row r="155" spans="2:18" ht="16.5" hidden="1" customHeight="1" outlineLevel="1" thickBot="1" x14ac:dyDescent="0.3">
      <c r="B155" s="224" t="s">
        <v>565</v>
      </c>
      <c r="C155" s="101" t="s">
        <v>162</v>
      </c>
      <c r="D155" s="218">
        <v>8.6999999999999993</v>
      </c>
      <c r="E155" s="117">
        <v>6</v>
      </c>
      <c r="F155" s="169"/>
      <c r="G155" s="103" t="str">
        <f>PER_WEB!FJ149</f>
        <v>Ish Smith, PG</v>
      </c>
      <c r="H155" s="162">
        <f>(SUBSTITUTE(PER_WEB!FX149,".",","))*1</f>
        <v>8.4</v>
      </c>
      <c r="I155" s="117">
        <f>PER_WEB!FL149</f>
        <v>1</v>
      </c>
      <c r="J155" s="151"/>
    </row>
    <row r="156" spans="2:18" ht="16.5" hidden="1" customHeight="1" outlineLevel="1" thickBot="1" x14ac:dyDescent="0.3">
      <c r="B156" s="224" t="s">
        <v>565</v>
      </c>
      <c r="C156" s="101" t="s">
        <v>163</v>
      </c>
      <c r="D156" s="219">
        <v>13.6</v>
      </c>
      <c r="E156" s="118">
        <v>0</v>
      </c>
      <c r="F156" s="169"/>
      <c r="G156" s="103" t="str">
        <f>PER_WEB!FJ150</f>
        <v>Beno Udrih, PG</v>
      </c>
      <c r="H156" s="162">
        <f>(SUBSTITUTE(PER_WEB!FX150,".",","))*1</f>
        <v>7.1</v>
      </c>
      <c r="I156" s="117">
        <f>PER_WEB!FL150</f>
        <v>0</v>
      </c>
      <c r="J156" s="151"/>
    </row>
    <row r="157" spans="2:18" ht="16.5" hidden="1" customHeight="1" outlineLevel="1" thickBot="1" x14ac:dyDescent="0.3">
      <c r="B157" s="224" t="s">
        <v>565</v>
      </c>
      <c r="C157" s="101" t="s">
        <v>164</v>
      </c>
      <c r="D157" s="218">
        <v>13.1</v>
      </c>
      <c r="E157" s="117">
        <v>1</v>
      </c>
      <c r="F157" s="169"/>
      <c r="G157" s="103" t="str">
        <f>PER_WEB!FJ151</f>
        <v>Henry Ellenson, PF</v>
      </c>
      <c r="H157" s="162">
        <f>(SUBSTITUTE(PER_WEB!FX151,".",","))*1</f>
        <v>6.4</v>
      </c>
      <c r="I157" s="117">
        <f>PER_WEB!FL151</f>
        <v>0</v>
      </c>
      <c r="J157" s="151"/>
    </row>
    <row r="158" spans="2:18" ht="16.5" hidden="1" customHeight="1" outlineLevel="1" thickBot="1" x14ac:dyDescent="0.3">
      <c r="B158" s="224" t="s">
        <v>565</v>
      </c>
      <c r="C158" s="101" t="s">
        <v>165</v>
      </c>
      <c r="D158" s="219">
        <v>17.8</v>
      </c>
      <c r="E158" s="118">
        <v>1</v>
      </c>
      <c r="F158" s="169"/>
      <c r="G158" s="103" t="str">
        <f>PER_WEB!FJ152</f>
        <v>Stanley Johnson, SF</v>
      </c>
      <c r="H158" s="162">
        <f>(SUBSTITUTE(PER_WEB!FX152,".",","))*1</f>
        <v>1.5</v>
      </c>
      <c r="I158" s="117">
        <f>PER_WEB!FL152</f>
        <v>0</v>
      </c>
      <c r="J158" s="151"/>
    </row>
    <row r="159" spans="2:18" ht="16.5" hidden="1" customHeight="1" outlineLevel="1" thickBot="1" x14ac:dyDescent="0.3">
      <c r="B159" s="224" t="s">
        <v>565</v>
      </c>
      <c r="C159" s="101" t="s">
        <v>166</v>
      </c>
      <c r="D159" s="218">
        <v>10.3</v>
      </c>
      <c r="E159" s="117">
        <v>5</v>
      </c>
      <c r="F159" s="169"/>
      <c r="G159" s="103" t="str">
        <f>PER_WEB!FJ153</f>
        <v>Kentavious Caldwell-Pope, SG</v>
      </c>
      <c r="H159" s="162">
        <f>(SUBSTITUTE(PER_WEB!FX153,".",","))*1</f>
        <v>0.3</v>
      </c>
      <c r="I159" s="117">
        <f>PER_WEB!FL153</f>
        <v>1</v>
      </c>
      <c r="J159" s="151"/>
    </row>
    <row r="160" spans="2:18" ht="16.5" hidden="1" customHeight="1" outlineLevel="1" thickBot="1" x14ac:dyDescent="0.3">
      <c r="B160" s="224" t="s">
        <v>565</v>
      </c>
      <c r="C160" s="101" t="s">
        <v>167</v>
      </c>
      <c r="D160" s="219">
        <v>8.9</v>
      </c>
      <c r="E160" s="118">
        <v>0</v>
      </c>
      <c r="F160" s="169"/>
      <c r="G160" s="103" t="str">
        <f>PER_WEB!FJ154</f>
        <v>Boban Marjanovic, C</v>
      </c>
      <c r="H160" s="162">
        <f>(SUBSTITUTE(PER_WEB!FX154,".",","))*1</f>
        <v>-1.6</v>
      </c>
      <c r="I160" s="117">
        <f>PER_WEB!FL154</f>
        <v>0</v>
      </c>
      <c r="J160" s="151"/>
    </row>
    <row r="161" spans="2:17" ht="16.5" hidden="1" customHeight="1" outlineLevel="1" thickBot="1" x14ac:dyDescent="0.3">
      <c r="B161" s="224" t="s">
        <v>565</v>
      </c>
      <c r="C161" s="101" t="s">
        <v>168</v>
      </c>
      <c r="D161" s="218">
        <v>9.8000000000000007</v>
      </c>
      <c r="E161" s="117">
        <v>2</v>
      </c>
      <c r="F161" s="169"/>
      <c r="G161" s="101"/>
      <c r="H161" s="162"/>
      <c r="I161" s="117"/>
      <c r="J161" s="151"/>
    </row>
    <row r="162" spans="2:17" ht="16.5" hidden="1" customHeight="1" outlineLevel="1" thickBot="1" x14ac:dyDescent="0.3">
      <c r="B162" s="224" t="s">
        <v>565</v>
      </c>
      <c r="C162" s="101" t="s">
        <v>169</v>
      </c>
      <c r="D162" s="219">
        <v>10.7</v>
      </c>
      <c r="E162" s="118">
        <v>2</v>
      </c>
      <c r="F162" s="169"/>
      <c r="G162" s="101"/>
      <c r="H162" s="162"/>
      <c r="I162" s="118"/>
      <c r="J162" s="151"/>
    </row>
    <row r="163" spans="2:17" ht="16.5" hidden="1" customHeight="1" outlineLevel="1" thickBot="1" x14ac:dyDescent="0.3">
      <c r="B163" s="224" t="s">
        <v>565</v>
      </c>
      <c r="C163" s="101" t="s">
        <v>170</v>
      </c>
      <c r="D163" s="218">
        <v>12</v>
      </c>
      <c r="E163" s="117">
        <v>0</v>
      </c>
      <c r="F163" s="169"/>
      <c r="G163" s="101"/>
      <c r="H163" s="162"/>
      <c r="I163" s="117"/>
      <c r="J163" s="151"/>
    </row>
    <row r="164" spans="2:17" ht="16.5" hidden="1" customHeight="1" outlineLevel="1" thickBot="1" x14ac:dyDescent="0.3">
      <c r="B164" s="224" t="s">
        <v>565</v>
      </c>
      <c r="C164" s="101" t="s">
        <v>171</v>
      </c>
      <c r="D164" s="219">
        <v>7</v>
      </c>
      <c r="E164" s="118">
        <v>0</v>
      </c>
      <c r="F164" s="169"/>
      <c r="G164" s="101"/>
      <c r="H164" s="161"/>
      <c r="I164" s="118"/>
      <c r="J164" s="151"/>
    </row>
    <row r="165" spans="2:17" ht="16.5" hidden="1" customHeight="1" outlineLevel="1" thickBot="1" x14ac:dyDescent="0.3">
      <c r="B165" s="224" t="s">
        <v>565</v>
      </c>
      <c r="C165" s="101" t="s">
        <v>172</v>
      </c>
      <c r="D165" s="218">
        <v>14.1</v>
      </c>
      <c r="E165" s="117">
        <v>0</v>
      </c>
      <c r="F165" s="169"/>
      <c r="G165" s="101"/>
      <c r="H165" s="162"/>
      <c r="I165" s="117"/>
      <c r="J165" s="151"/>
    </row>
    <row r="166" spans="2:17" ht="16.5" hidden="1" customHeight="1" outlineLevel="1" thickBot="1" x14ac:dyDescent="0.3">
      <c r="B166" s="229" t="s">
        <v>565</v>
      </c>
      <c r="C166" s="102"/>
      <c r="D166" s="150"/>
      <c r="E166" s="150"/>
      <c r="F166" s="169"/>
      <c r="G166" s="102"/>
      <c r="H166" s="161"/>
      <c r="I166" s="118"/>
      <c r="J166" s="151"/>
    </row>
    <row r="167" spans="2:17" ht="16.5" collapsed="1" thickBot="1" x14ac:dyDescent="0.3">
      <c r="B167" s="419" t="s">
        <v>173</v>
      </c>
      <c r="C167" s="420"/>
      <c r="G167" s="156"/>
      <c r="H167" s="162"/>
      <c r="I167" s="117"/>
      <c r="J167" s="151"/>
      <c r="Q167">
        <f>(LARGE(PER!H168:H186,1)+LARGE(PER!H168:H186,2))/2</f>
        <v>30.6</v>
      </c>
    </row>
    <row r="168" spans="2:17" ht="16.5" hidden="1" customHeight="1" outlineLevel="1" thickBot="1" x14ac:dyDescent="0.3">
      <c r="B168" s="228" t="s">
        <v>566</v>
      </c>
      <c r="C168" s="103" t="s">
        <v>174</v>
      </c>
      <c r="D168" s="218">
        <v>21</v>
      </c>
      <c r="E168" s="117">
        <v>81</v>
      </c>
      <c r="F168" s="169"/>
      <c r="G168" s="103" t="str">
        <f>PER_WEB!GN143</f>
        <v>Myles Turner, PF</v>
      </c>
      <c r="H168" s="161">
        <f>(SUBSTITUTE(PER_WEB!HB143,".",","))*1</f>
        <v>36.5</v>
      </c>
      <c r="I168" s="118">
        <f>PER_WEB!GP143</f>
        <v>1</v>
      </c>
      <c r="J168" s="151"/>
    </row>
    <row r="169" spans="2:17" ht="16.5" hidden="1" customHeight="1" outlineLevel="1" thickBot="1" x14ac:dyDescent="0.3">
      <c r="B169" s="224" t="s">
        <v>566</v>
      </c>
      <c r="C169" s="101" t="s">
        <v>175</v>
      </c>
      <c r="D169" s="219">
        <v>13.8</v>
      </c>
      <c r="E169" s="118">
        <v>81</v>
      </c>
      <c r="F169" s="169"/>
      <c r="G169" s="103" t="str">
        <f>PER_WEB!GN144</f>
        <v>C.J. Miles, SF</v>
      </c>
      <c r="H169" s="161">
        <f>(SUBSTITUTE(PER_WEB!HB144,".",","))*1</f>
        <v>24.7</v>
      </c>
      <c r="I169" s="118">
        <f>PER_WEB!GP144</f>
        <v>0</v>
      </c>
      <c r="J169" s="151"/>
    </row>
    <row r="170" spans="2:17" ht="16.5" hidden="1" customHeight="1" outlineLevel="1" thickBot="1" x14ac:dyDescent="0.3">
      <c r="B170" s="224" t="s">
        <v>566</v>
      </c>
      <c r="C170" s="101" t="s">
        <v>176</v>
      </c>
      <c r="D170" s="218">
        <v>13.2</v>
      </c>
      <c r="E170" s="117">
        <v>73</v>
      </c>
      <c r="F170" s="169"/>
      <c r="G170" s="103" t="str">
        <f>PER_WEB!GN145</f>
        <v>Al Jefferson, C</v>
      </c>
      <c r="H170" s="161">
        <f>(SUBSTITUTE(PER_WEB!HB145,".",","))*1</f>
        <v>20.5</v>
      </c>
      <c r="I170" s="118">
        <f>PER_WEB!GP145</f>
        <v>0</v>
      </c>
      <c r="J170" s="151"/>
    </row>
    <row r="171" spans="2:17" ht="16.5" hidden="1" customHeight="1" outlineLevel="1" thickBot="1" x14ac:dyDescent="0.3">
      <c r="B171" s="224" t="s">
        <v>566</v>
      </c>
      <c r="C171" s="101" t="s">
        <v>177</v>
      </c>
      <c r="D171" s="219">
        <v>14.1</v>
      </c>
      <c r="E171" s="118">
        <v>24</v>
      </c>
      <c r="F171" s="169"/>
      <c r="G171" s="103" t="str">
        <f>PER_WEB!GN146</f>
        <v>Paul George, SF</v>
      </c>
      <c r="H171" s="161">
        <f>(SUBSTITUTE(PER_WEB!HB146,".",","))*1</f>
        <v>20.399999999999999</v>
      </c>
      <c r="I171" s="118">
        <f>PER_WEB!GP146</f>
        <v>1</v>
      </c>
      <c r="J171" s="151"/>
    </row>
    <row r="172" spans="2:17" ht="16.5" hidden="1" customHeight="1" outlineLevel="1" thickBot="1" x14ac:dyDescent="0.3">
      <c r="B172" s="224" t="s">
        <v>566</v>
      </c>
      <c r="C172" s="101" t="s">
        <v>178</v>
      </c>
      <c r="D172" s="218">
        <v>15.5</v>
      </c>
      <c r="E172" s="117">
        <v>30</v>
      </c>
      <c r="F172" s="169"/>
      <c r="G172" s="103" t="str">
        <f>PER_WEB!GN147</f>
        <v>Monta Ellis, SG</v>
      </c>
      <c r="H172" s="161">
        <f>(SUBSTITUTE(PER_WEB!HB147,".",","))*1</f>
        <v>19.2</v>
      </c>
      <c r="I172" s="118">
        <f>PER_WEB!GP147</f>
        <v>1</v>
      </c>
      <c r="J172" s="151"/>
    </row>
    <row r="173" spans="2:17" ht="16.5" hidden="1" customHeight="1" outlineLevel="1" thickBot="1" x14ac:dyDescent="0.3">
      <c r="B173" s="224" t="s">
        <v>566</v>
      </c>
      <c r="C173" s="101" t="s">
        <v>179</v>
      </c>
      <c r="D173" s="219">
        <v>16.7</v>
      </c>
      <c r="E173" s="118">
        <v>71</v>
      </c>
      <c r="F173" s="169"/>
      <c r="G173" s="103" t="str">
        <f>PER_WEB!GN148</f>
        <v>Jeff Teague, PG</v>
      </c>
      <c r="H173" s="161">
        <f>(SUBSTITUTE(PER_WEB!HB148,".",","))*1</f>
        <v>15.6</v>
      </c>
      <c r="I173" s="118">
        <f>PER_WEB!GP148</f>
        <v>1</v>
      </c>
      <c r="J173" s="151"/>
    </row>
    <row r="174" spans="2:17" ht="16.5" hidden="1" customHeight="1" outlineLevel="1" thickBot="1" x14ac:dyDescent="0.3">
      <c r="B174" s="224" t="s">
        <v>566</v>
      </c>
      <c r="C174" s="101" t="s">
        <v>180</v>
      </c>
      <c r="D174" s="218">
        <v>12.7</v>
      </c>
      <c r="E174" s="117">
        <v>1</v>
      </c>
      <c r="F174" s="169"/>
      <c r="G174" s="103" t="str">
        <f>PER_WEB!GN149</f>
        <v>Lavoy Allen, PF</v>
      </c>
      <c r="H174" s="161">
        <f>(SUBSTITUTE(PER_WEB!HB149,".",","))*1</f>
        <v>15.4</v>
      </c>
      <c r="I174" s="118">
        <f>PER_WEB!GP149</f>
        <v>0</v>
      </c>
      <c r="J174" s="151"/>
    </row>
    <row r="175" spans="2:17" ht="16.5" hidden="1" customHeight="1" outlineLevel="1" thickBot="1" x14ac:dyDescent="0.3">
      <c r="B175" s="224" t="s">
        <v>566</v>
      </c>
      <c r="C175" s="101" t="s">
        <v>181</v>
      </c>
      <c r="D175" s="219">
        <v>16.399999999999999</v>
      </c>
      <c r="E175" s="118">
        <v>11</v>
      </c>
      <c r="F175" s="169"/>
      <c r="G175" s="103" t="str">
        <f>PER_WEB!GN150</f>
        <v>Thaddeus Young, PF</v>
      </c>
      <c r="H175" s="161">
        <f>(SUBSTITUTE(PER_WEB!HB150,".",","))*1</f>
        <v>8.1999999999999993</v>
      </c>
      <c r="I175" s="118">
        <f>PER_WEB!GP150</f>
        <v>1</v>
      </c>
      <c r="J175" s="151"/>
    </row>
    <row r="176" spans="2:17" ht="16.5" hidden="1" customHeight="1" outlineLevel="1" thickBot="1" x14ac:dyDescent="0.3">
      <c r="B176" s="224" t="s">
        <v>566</v>
      </c>
      <c r="C176" s="101" t="s">
        <v>182</v>
      </c>
      <c r="D176" s="218">
        <v>12.4</v>
      </c>
      <c r="E176" s="117">
        <v>28</v>
      </c>
      <c r="F176" s="169"/>
      <c r="G176" s="103" t="str">
        <f>PER_WEB!GN151</f>
        <v>Rodney Stuckey, PG</v>
      </c>
      <c r="H176" s="161">
        <f>(SUBSTITUTE(PER_WEB!HB151,".",","))*1</f>
        <v>6.1</v>
      </c>
      <c r="I176" s="118">
        <f>PER_WEB!GP151</f>
        <v>0</v>
      </c>
      <c r="J176" s="151"/>
    </row>
    <row r="177" spans="2:17" ht="16.5" hidden="1" customHeight="1" outlineLevel="1" thickBot="1" x14ac:dyDescent="0.3">
      <c r="B177" s="224" t="s">
        <v>566</v>
      </c>
      <c r="C177" s="101" t="s">
        <v>183</v>
      </c>
      <c r="D177" s="219">
        <v>13.7</v>
      </c>
      <c r="E177" s="118">
        <v>1</v>
      </c>
      <c r="F177" s="169"/>
      <c r="G177" s="103" t="str">
        <f>PER_WEB!GN152</f>
        <v>Joe Young, PG</v>
      </c>
      <c r="H177" s="161">
        <f>(SUBSTITUTE(PER_WEB!HB152,".",","))*1</f>
        <v>-5.2</v>
      </c>
      <c r="I177" s="118">
        <f>PER_WEB!GP152</f>
        <v>0</v>
      </c>
      <c r="J177" s="151"/>
    </row>
    <row r="178" spans="2:17" ht="16.5" hidden="1" customHeight="1" outlineLevel="1" thickBot="1" x14ac:dyDescent="0.3">
      <c r="B178" s="224" t="s">
        <v>566</v>
      </c>
      <c r="C178" s="101" t="s">
        <v>184</v>
      </c>
      <c r="D178" s="218">
        <v>11.1</v>
      </c>
      <c r="E178" s="117">
        <v>2</v>
      </c>
      <c r="F178" s="169"/>
      <c r="G178" s="103" t="str">
        <f>PER_WEB!GN153</f>
        <v>Glenn Robinson III, SG</v>
      </c>
      <c r="H178" s="161">
        <f>(SUBSTITUTE(PER_WEB!HB153,".",","))*1</f>
        <v>-16</v>
      </c>
      <c r="I178" s="118">
        <f>PER_WEB!GP153</f>
        <v>0</v>
      </c>
      <c r="J178" s="151"/>
    </row>
    <row r="179" spans="2:17" ht="16.5" hidden="1" customHeight="1" outlineLevel="1" thickBot="1" x14ac:dyDescent="0.3">
      <c r="B179" s="224" t="s">
        <v>566</v>
      </c>
      <c r="C179" s="101" t="s">
        <v>185</v>
      </c>
      <c r="D179" s="219">
        <v>12.2</v>
      </c>
      <c r="E179" s="118">
        <v>3</v>
      </c>
      <c r="F179" s="169"/>
      <c r="G179" s="101"/>
      <c r="H179" s="161"/>
      <c r="I179" s="117"/>
      <c r="J179" s="151"/>
    </row>
    <row r="180" spans="2:17" ht="16.5" hidden="1" customHeight="1" outlineLevel="1" thickBot="1" x14ac:dyDescent="0.3">
      <c r="B180" s="224" t="s">
        <v>566</v>
      </c>
      <c r="C180" s="101" t="s">
        <v>186</v>
      </c>
      <c r="D180" s="218"/>
      <c r="E180" s="117">
        <v>0</v>
      </c>
      <c r="F180" s="169"/>
      <c r="G180" s="101"/>
      <c r="H180" s="161"/>
      <c r="I180" s="118"/>
      <c r="J180" s="151"/>
    </row>
    <row r="181" spans="2:17" ht="16.5" hidden="1" customHeight="1" outlineLevel="1" thickBot="1" x14ac:dyDescent="0.3">
      <c r="B181" s="224" t="s">
        <v>566</v>
      </c>
      <c r="C181" s="101" t="s">
        <v>187</v>
      </c>
      <c r="D181" s="219">
        <v>11.4</v>
      </c>
      <c r="E181" s="118">
        <v>4</v>
      </c>
      <c r="F181" s="169"/>
      <c r="G181" s="101"/>
      <c r="H181" s="162"/>
      <c r="I181" s="117"/>
      <c r="J181" s="151"/>
    </row>
    <row r="182" spans="2:17" ht="16.5" hidden="1" customHeight="1" outlineLevel="1" thickBot="1" x14ac:dyDescent="0.3">
      <c r="B182" s="224" t="s">
        <v>566</v>
      </c>
      <c r="C182" s="101" t="s">
        <v>188</v>
      </c>
      <c r="D182" s="218">
        <v>9.9</v>
      </c>
      <c r="E182" s="117">
        <v>0</v>
      </c>
      <c r="F182" s="169"/>
      <c r="G182" s="101"/>
      <c r="H182" s="161"/>
      <c r="I182" s="118"/>
      <c r="J182" s="151"/>
    </row>
    <row r="183" spans="2:17" ht="16.5" hidden="1" customHeight="1" outlineLevel="1" thickBot="1" x14ac:dyDescent="0.3">
      <c r="B183" s="224" t="s">
        <v>566</v>
      </c>
      <c r="C183" s="101" t="s">
        <v>189</v>
      </c>
      <c r="D183" s="219">
        <v>7.5</v>
      </c>
      <c r="E183" s="118">
        <v>0</v>
      </c>
      <c r="F183" s="169"/>
      <c r="G183" s="101"/>
      <c r="H183" s="162"/>
      <c r="I183" s="117"/>
      <c r="J183" s="151"/>
    </row>
    <row r="184" spans="2:17" ht="16.5" hidden="1" customHeight="1" outlineLevel="1" thickBot="1" x14ac:dyDescent="0.3">
      <c r="B184" s="224" t="s">
        <v>566</v>
      </c>
      <c r="C184" s="101"/>
      <c r="D184" s="150"/>
      <c r="E184" s="150"/>
      <c r="F184" s="169"/>
      <c r="G184" s="101"/>
      <c r="H184" s="161"/>
      <c r="I184" s="118"/>
      <c r="J184" s="151"/>
    </row>
    <row r="185" spans="2:17" ht="16.5" hidden="1" customHeight="1" outlineLevel="1" thickBot="1" x14ac:dyDescent="0.3">
      <c r="B185" s="224" t="s">
        <v>566</v>
      </c>
      <c r="C185" s="101"/>
      <c r="D185" s="150"/>
      <c r="E185" s="150"/>
      <c r="F185" s="169"/>
      <c r="G185" s="101"/>
      <c r="H185" s="162"/>
      <c r="I185" s="117"/>
      <c r="J185" s="151"/>
    </row>
    <row r="186" spans="2:17" ht="16.5" hidden="1" customHeight="1" outlineLevel="1" thickBot="1" x14ac:dyDescent="0.3">
      <c r="B186" s="229" t="s">
        <v>566</v>
      </c>
      <c r="C186" s="102"/>
      <c r="D186" s="150"/>
      <c r="E186" s="150"/>
      <c r="F186" s="169"/>
      <c r="G186" s="102"/>
      <c r="H186" s="161"/>
      <c r="I186" s="118"/>
      <c r="J186" s="151"/>
    </row>
    <row r="187" spans="2:17" ht="16.5" collapsed="1" thickBot="1" x14ac:dyDescent="0.3">
      <c r="B187" s="419" t="s">
        <v>6</v>
      </c>
      <c r="C187" s="420"/>
      <c r="G187" s="156"/>
      <c r="H187" s="162"/>
      <c r="I187" s="117"/>
      <c r="J187" s="151"/>
      <c r="Q187">
        <f>(LARGE(PER!H188:H209,1)+LARGE(PER!H188:H209,2))/2</f>
        <v>29.45</v>
      </c>
    </row>
    <row r="188" spans="2:17" ht="16.5" hidden="1" customHeight="1" outlineLevel="1" thickBot="1" x14ac:dyDescent="0.3">
      <c r="B188" s="228" t="s">
        <v>567</v>
      </c>
      <c r="C188" s="103" t="s">
        <v>190</v>
      </c>
      <c r="D188" s="218">
        <v>20.3</v>
      </c>
      <c r="E188" s="117">
        <v>53</v>
      </c>
      <c r="F188" s="169"/>
      <c r="G188" s="103" t="str">
        <f>PER_WEB!IG143</f>
        <v>Willie Reed, PF</v>
      </c>
      <c r="H188" s="161">
        <f>(SUBSTITUTE(PER_WEB!IU143,".",","))*1</f>
        <v>34.4</v>
      </c>
      <c r="I188" s="118">
        <f>PER_WEB!II143</f>
        <v>0</v>
      </c>
      <c r="J188" s="151"/>
    </row>
    <row r="189" spans="2:17" ht="16.5" hidden="1" customHeight="1" outlineLevel="1" thickBot="1" x14ac:dyDescent="0.3">
      <c r="B189" s="224" t="s">
        <v>567</v>
      </c>
      <c r="C189" s="101" t="s">
        <v>191</v>
      </c>
      <c r="D189" s="219">
        <v>20.399999999999999</v>
      </c>
      <c r="E189" s="118">
        <v>73</v>
      </c>
      <c r="F189" s="169"/>
      <c r="G189" s="103" t="str">
        <f>PER_WEB!IG144</f>
        <v>Hassan Whiteside, C</v>
      </c>
      <c r="H189" s="161">
        <f>(SUBSTITUTE(PER_WEB!IU144,".",","))*1</f>
        <v>24.5</v>
      </c>
      <c r="I189" s="118">
        <f>PER_WEB!II144</f>
        <v>1</v>
      </c>
      <c r="J189" s="151"/>
    </row>
    <row r="190" spans="2:17" ht="16.5" hidden="1" customHeight="1" outlineLevel="1" thickBot="1" x14ac:dyDescent="0.3">
      <c r="B190" s="224" t="s">
        <v>567</v>
      </c>
      <c r="C190" s="101" t="s">
        <v>192</v>
      </c>
      <c r="D190" s="218">
        <v>25.7</v>
      </c>
      <c r="E190" s="117">
        <v>43</v>
      </c>
      <c r="F190" s="169"/>
      <c r="G190" s="103" t="str">
        <f>PER_WEB!IG145</f>
        <v>Tyler Johnson, SG</v>
      </c>
      <c r="H190" s="161">
        <f>(SUBSTITUTE(PER_WEB!IU145,".",","))*1</f>
        <v>24.5</v>
      </c>
      <c r="I190" s="118">
        <f>PER_WEB!II145</f>
        <v>0</v>
      </c>
      <c r="J190" s="151"/>
    </row>
    <row r="191" spans="2:17" ht="16.5" hidden="1" customHeight="1" outlineLevel="1" thickBot="1" x14ac:dyDescent="0.3">
      <c r="B191" s="224" t="s">
        <v>567</v>
      </c>
      <c r="C191" s="101" t="s">
        <v>193</v>
      </c>
      <c r="D191" s="219">
        <v>15.6</v>
      </c>
      <c r="E191" s="118">
        <v>72</v>
      </c>
      <c r="F191" s="169"/>
      <c r="G191" s="103" t="str">
        <f>PER_WEB!IG146</f>
        <v>James Johnson, PF</v>
      </c>
      <c r="H191" s="161">
        <f>(SUBSTITUTE(PER_WEB!IU146,".",","))*1</f>
        <v>18.8</v>
      </c>
      <c r="I191" s="118">
        <f>PER_WEB!II146</f>
        <v>0</v>
      </c>
      <c r="J191" s="151"/>
    </row>
    <row r="192" spans="2:17" ht="16.5" hidden="1" customHeight="1" outlineLevel="1" thickBot="1" x14ac:dyDescent="0.3">
      <c r="B192" s="224" t="s">
        <v>567</v>
      </c>
      <c r="C192" s="101" t="s">
        <v>94</v>
      </c>
      <c r="D192" s="218">
        <v>15.2</v>
      </c>
      <c r="E192" s="117">
        <v>24</v>
      </c>
      <c r="F192" s="169"/>
      <c r="G192" s="103" t="str">
        <f>PER_WEB!IG147</f>
        <v>Justise Winslow, SF</v>
      </c>
      <c r="H192" s="161">
        <f>(SUBSTITUTE(PER_WEB!IU147,".",","))*1</f>
        <v>17.100000000000001</v>
      </c>
      <c r="I192" s="118">
        <f>PER_WEB!II147</f>
        <v>1</v>
      </c>
      <c r="J192" s="151"/>
    </row>
    <row r="193" spans="2:10" ht="16.5" hidden="1" customHeight="1" outlineLevel="1" thickBot="1" x14ac:dyDescent="0.3">
      <c r="B193" s="224" t="s">
        <v>567</v>
      </c>
      <c r="C193" s="101" t="s">
        <v>194</v>
      </c>
      <c r="D193" s="219">
        <v>15</v>
      </c>
      <c r="E193" s="118">
        <v>73</v>
      </c>
      <c r="F193" s="169"/>
      <c r="G193" s="103" t="str">
        <f>PER_WEB!IG148</f>
        <v>Goran Dragic, PG</v>
      </c>
      <c r="H193" s="161">
        <f>(SUBSTITUTE(PER_WEB!IU148,".",","))*1</f>
        <v>16.7</v>
      </c>
      <c r="I193" s="118">
        <f>PER_WEB!II148</f>
        <v>1</v>
      </c>
      <c r="J193" s="151"/>
    </row>
    <row r="194" spans="2:10" ht="16.5" hidden="1" customHeight="1" outlineLevel="1" thickBot="1" x14ac:dyDescent="0.3">
      <c r="B194" s="224" t="s">
        <v>567</v>
      </c>
      <c r="C194" s="101" t="s">
        <v>195</v>
      </c>
      <c r="D194" s="218">
        <v>10.199999999999999</v>
      </c>
      <c r="E194" s="117">
        <v>14</v>
      </c>
      <c r="F194" s="169"/>
      <c r="G194" s="103" t="str">
        <f>PER_WEB!IG149</f>
        <v>Rodney McGruder, SG</v>
      </c>
      <c r="H194" s="161">
        <f>(SUBSTITUTE(PER_WEB!IU149,".",","))*1</f>
        <v>8.9</v>
      </c>
      <c r="I194" s="118">
        <f>PER_WEB!II149</f>
        <v>0</v>
      </c>
      <c r="J194" s="151"/>
    </row>
    <row r="195" spans="2:10" ht="16.5" hidden="1" customHeight="1" outlineLevel="1" thickBot="1" x14ac:dyDescent="0.3">
      <c r="B195" s="224" t="s">
        <v>567</v>
      </c>
      <c r="C195" s="101" t="s">
        <v>196</v>
      </c>
      <c r="D195" s="219">
        <v>13.8</v>
      </c>
      <c r="E195" s="118">
        <v>5</v>
      </c>
      <c r="F195" s="169"/>
      <c r="G195" s="103" t="str">
        <f>PER_WEB!IG150</f>
        <v>Luke Babbitt, SF</v>
      </c>
      <c r="H195" s="161">
        <f>(SUBSTITUTE(PER_WEB!IU150,".",","))*1</f>
        <v>7</v>
      </c>
      <c r="I195" s="118">
        <f>PER_WEB!II150</f>
        <v>1</v>
      </c>
      <c r="J195" s="151"/>
    </row>
    <row r="196" spans="2:10" ht="16.5" hidden="1" customHeight="1" outlineLevel="1" thickBot="1" x14ac:dyDescent="0.3">
      <c r="B196" s="224" t="s">
        <v>567</v>
      </c>
      <c r="C196" s="101" t="s">
        <v>197</v>
      </c>
      <c r="D196" s="218">
        <v>11.5</v>
      </c>
      <c r="E196" s="117">
        <v>2</v>
      </c>
      <c r="F196" s="169"/>
      <c r="G196" s="103" t="str">
        <f>PER_WEB!IG151</f>
        <v>Dion Waiters, SG</v>
      </c>
      <c r="H196" s="161">
        <f>(SUBSTITUTE(PER_WEB!IU151,".",","))*1</f>
        <v>4.4000000000000004</v>
      </c>
      <c r="I196" s="118">
        <f>PER_WEB!II151</f>
        <v>1</v>
      </c>
      <c r="J196" s="151"/>
    </row>
    <row r="197" spans="2:10" ht="16.5" hidden="1" customHeight="1" outlineLevel="1" thickBot="1" x14ac:dyDescent="0.3">
      <c r="B197" s="224" t="s">
        <v>567</v>
      </c>
      <c r="C197" s="101" t="s">
        <v>198</v>
      </c>
      <c r="D197" s="219">
        <v>8.4</v>
      </c>
      <c r="E197" s="118">
        <v>8</v>
      </c>
      <c r="F197" s="169"/>
      <c r="G197" s="101"/>
      <c r="H197" s="161"/>
      <c r="I197" s="117"/>
      <c r="J197" s="151"/>
    </row>
    <row r="198" spans="2:10" ht="16.5" hidden="1" customHeight="1" outlineLevel="1" thickBot="1" x14ac:dyDescent="0.3">
      <c r="B198" s="224" t="s">
        <v>567</v>
      </c>
      <c r="C198" s="101" t="s">
        <v>199</v>
      </c>
      <c r="D198" s="218">
        <v>17.3</v>
      </c>
      <c r="E198" s="117">
        <v>36</v>
      </c>
      <c r="F198" s="169"/>
      <c r="G198" s="101"/>
      <c r="H198" s="161"/>
      <c r="I198" s="118"/>
      <c r="J198" s="151"/>
    </row>
    <row r="199" spans="2:10" ht="16.5" hidden="1" customHeight="1" outlineLevel="1" thickBot="1" x14ac:dyDescent="0.3">
      <c r="B199" s="224" t="s">
        <v>567</v>
      </c>
      <c r="C199" s="101" t="s">
        <v>200</v>
      </c>
      <c r="D199" s="219">
        <v>9.5</v>
      </c>
      <c r="E199" s="118">
        <v>0</v>
      </c>
      <c r="F199" s="169"/>
      <c r="G199" s="101"/>
      <c r="H199" s="161"/>
      <c r="I199" s="117"/>
      <c r="J199" s="151"/>
    </row>
    <row r="200" spans="2:10" ht="16.5" hidden="1" customHeight="1" outlineLevel="1" thickBot="1" x14ac:dyDescent="0.3">
      <c r="B200" s="224" t="s">
        <v>567</v>
      </c>
      <c r="C200" s="101" t="s">
        <v>201</v>
      </c>
      <c r="D200" s="218">
        <v>8.9</v>
      </c>
      <c r="E200" s="117">
        <v>5</v>
      </c>
      <c r="F200" s="169"/>
      <c r="G200" s="101"/>
      <c r="H200" s="161"/>
      <c r="I200" s="118"/>
      <c r="J200" s="151"/>
    </row>
    <row r="201" spans="2:10" ht="16.5" hidden="1" customHeight="1" outlineLevel="1" thickBot="1" x14ac:dyDescent="0.3">
      <c r="B201" s="224" t="s">
        <v>567</v>
      </c>
      <c r="C201" s="101" t="s">
        <v>202</v>
      </c>
      <c r="D201" s="219">
        <v>10</v>
      </c>
      <c r="E201" s="118">
        <v>1</v>
      </c>
      <c r="F201" s="169"/>
      <c r="G201" s="101"/>
      <c r="H201" s="162"/>
      <c r="I201" s="117"/>
      <c r="J201" s="151"/>
    </row>
    <row r="202" spans="2:10" ht="16.5" hidden="1" customHeight="1" outlineLevel="1" thickBot="1" x14ac:dyDescent="0.3">
      <c r="B202" s="224" t="s">
        <v>567</v>
      </c>
      <c r="C202" s="101" t="s">
        <v>203</v>
      </c>
      <c r="D202" s="218"/>
      <c r="E202" s="117">
        <v>0</v>
      </c>
      <c r="F202" s="169"/>
      <c r="G202" s="101"/>
      <c r="H202" s="161"/>
      <c r="I202" s="118"/>
      <c r="J202" s="151"/>
    </row>
    <row r="203" spans="2:10" ht="16.5" hidden="1" customHeight="1" outlineLevel="1" thickBot="1" x14ac:dyDescent="0.3">
      <c r="B203" s="224" t="s">
        <v>567</v>
      </c>
      <c r="C203" s="101" t="s">
        <v>204</v>
      </c>
      <c r="D203" s="219">
        <v>17.7</v>
      </c>
      <c r="E203" s="118">
        <v>1</v>
      </c>
      <c r="F203" s="169"/>
      <c r="G203" s="101"/>
      <c r="H203" s="162"/>
      <c r="I203" s="117"/>
      <c r="J203" s="151"/>
    </row>
    <row r="204" spans="2:10" ht="16.5" hidden="1" customHeight="1" outlineLevel="1" thickBot="1" x14ac:dyDescent="0.3">
      <c r="B204" s="224" t="s">
        <v>567</v>
      </c>
      <c r="C204" s="101" t="s">
        <v>205</v>
      </c>
      <c r="D204" s="218">
        <v>9.1</v>
      </c>
      <c r="E204" s="117">
        <v>0</v>
      </c>
      <c r="F204" s="169"/>
      <c r="G204" s="101"/>
      <c r="H204" s="161"/>
      <c r="I204" s="118"/>
      <c r="J204" s="151"/>
    </row>
    <row r="205" spans="2:10" ht="16.5" hidden="1" customHeight="1" outlineLevel="1" thickBot="1" x14ac:dyDescent="0.3">
      <c r="B205" s="224" t="s">
        <v>567</v>
      </c>
      <c r="C205" s="101" t="s">
        <v>206</v>
      </c>
      <c r="D205" s="219">
        <v>21.9</v>
      </c>
      <c r="E205" s="118">
        <v>0</v>
      </c>
      <c r="F205" s="169"/>
      <c r="G205" s="101"/>
      <c r="H205" s="162"/>
      <c r="I205" s="117"/>
      <c r="J205" s="151"/>
    </row>
    <row r="206" spans="2:10" ht="16.5" hidden="1" customHeight="1" outlineLevel="1" thickBot="1" x14ac:dyDescent="0.3">
      <c r="B206" s="224" t="s">
        <v>567</v>
      </c>
      <c r="C206" s="101" t="s">
        <v>207</v>
      </c>
      <c r="D206" s="218">
        <v>2.4</v>
      </c>
      <c r="E206" s="117">
        <v>0</v>
      </c>
      <c r="F206" s="169"/>
      <c r="G206" s="101"/>
      <c r="H206" s="161"/>
      <c r="I206" s="118"/>
      <c r="J206" s="151"/>
    </row>
    <row r="207" spans="2:10" ht="16.5" hidden="1" customHeight="1" outlineLevel="1" thickBot="1" x14ac:dyDescent="0.3">
      <c r="B207" s="224" t="s">
        <v>567</v>
      </c>
      <c r="C207" s="101"/>
      <c r="D207" s="150"/>
      <c r="E207" s="150"/>
      <c r="F207" s="169"/>
      <c r="G207" s="101"/>
      <c r="H207" s="162"/>
      <c r="I207" s="117"/>
      <c r="J207" s="151"/>
    </row>
    <row r="208" spans="2:10" ht="16.5" hidden="1" customHeight="1" outlineLevel="1" thickBot="1" x14ac:dyDescent="0.3">
      <c r="B208" s="224" t="s">
        <v>567</v>
      </c>
      <c r="C208" s="101"/>
      <c r="D208" s="150"/>
      <c r="E208" s="150"/>
      <c r="F208" s="169"/>
      <c r="G208" s="101"/>
      <c r="H208" s="161"/>
      <c r="I208" s="118"/>
      <c r="J208" s="151"/>
    </row>
    <row r="209" spans="2:18" ht="16.5" hidden="1" customHeight="1" outlineLevel="1" thickBot="1" x14ac:dyDescent="0.3">
      <c r="B209" s="229" t="s">
        <v>567</v>
      </c>
      <c r="C209" s="102"/>
      <c r="D209" s="150"/>
      <c r="E209" s="150"/>
      <c r="F209" s="169"/>
      <c r="G209" s="102"/>
      <c r="H209" s="162"/>
      <c r="I209" s="117"/>
      <c r="J209" s="151"/>
    </row>
    <row r="210" spans="2:18" ht="16.5" collapsed="1" thickBot="1" x14ac:dyDescent="0.3">
      <c r="B210" s="419" t="s">
        <v>8</v>
      </c>
      <c r="C210" s="420"/>
      <c r="E210" s="115"/>
      <c r="G210" s="156"/>
      <c r="H210" s="225"/>
      <c r="I210" s="170"/>
      <c r="J210" s="151"/>
      <c r="K210" s="115"/>
      <c r="L210" s="115"/>
      <c r="M210" s="115"/>
      <c r="N210" s="115"/>
      <c r="O210" s="115"/>
      <c r="P210" s="115"/>
      <c r="Q210">
        <f>(LARGE(PER!H211:H227,1)+LARGE(PER!H211:H227,2))/2</f>
        <v>26.65</v>
      </c>
      <c r="R210" s="115"/>
    </row>
    <row r="211" spans="2:18" ht="16.5" hidden="1" customHeight="1" outlineLevel="1" thickBot="1" x14ac:dyDescent="0.3">
      <c r="B211" s="228" t="s">
        <v>568</v>
      </c>
      <c r="C211" s="103" t="s">
        <v>208</v>
      </c>
      <c r="D211" s="218">
        <v>16.8</v>
      </c>
      <c r="E211" s="117">
        <v>79</v>
      </c>
      <c r="F211" s="169"/>
      <c r="G211" s="103" t="str">
        <f>PER_WEB!IV143</f>
        <v>Giannis Antetokounmpo, SF</v>
      </c>
      <c r="H211" s="162">
        <f>(SUBSTITUTE(PER_WEB!JJ143,".",","))*1</f>
        <v>30.8</v>
      </c>
      <c r="I211" s="117">
        <f>PER_WEB!IX143</f>
        <v>1</v>
      </c>
      <c r="J211" s="151"/>
    </row>
    <row r="212" spans="2:18" ht="16.5" hidden="1" customHeight="1" outlineLevel="1" thickBot="1" x14ac:dyDescent="0.3">
      <c r="B212" s="224" t="s">
        <v>568</v>
      </c>
      <c r="C212" s="101" t="s">
        <v>209</v>
      </c>
      <c r="D212" s="219">
        <v>18.899999999999999</v>
      </c>
      <c r="E212" s="118">
        <v>79</v>
      </c>
      <c r="F212" s="169"/>
      <c r="G212" s="103" t="str">
        <f>PER_WEB!IV144</f>
        <v>Greg Monroe, C</v>
      </c>
      <c r="H212" s="162">
        <f>(SUBSTITUTE(PER_WEB!JJ144,".",","))*1</f>
        <v>22.5</v>
      </c>
      <c r="I212" s="117">
        <f>PER_WEB!IX144</f>
        <v>0</v>
      </c>
      <c r="J212" s="151"/>
    </row>
    <row r="213" spans="2:18" ht="16.5" hidden="1" customHeight="1" outlineLevel="1" thickBot="1" x14ac:dyDescent="0.3">
      <c r="B213" s="224" t="s">
        <v>568</v>
      </c>
      <c r="C213" s="101" t="s">
        <v>210</v>
      </c>
      <c r="D213" s="218">
        <v>21.9</v>
      </c>
      <c r="E213" s="117">
        <v>67</v>
      </c>
      <c r="F213" s="169"/>
      <c r="G213" s="103" t="str">
        <f>PER_WEB!IV145</f>
        <v>Malcolm Brogdon, SG</v>
      </c>
      <c r="H213" s="162">
        <f>(SUBSTITUTE(PER_WEB!JJ145,".",","))*1</f>
        <v>15.9</v>
      </c>
      <c r="I213" s="117">
        <f>PER_WEB!IX145</f>
        <v>0</v>
      </c>
      <c r="J213" s="151"/>
    </row>
    <row r="214" spans="2:18" ht="16.5" hidden="1" customHeight="1" outlineLevel="1" thickBot="1" x14ac:dyDescent="0.3">
      <c r="B214" s="224" t="s">
        <v>568</v>
      </c>
      <c r="C214" s="101" t="s">
        <v>211</v>
      </c>
      <c r="D214" s="219">
        <v>14.8</v>
      </c>
      <c r="E214" s="118">
        <v>72</v>
      </c>
      <c r="F214" s="169"/>
      <c r="G214" s="103" t="str">
        <f>PER_WEB!IV146</f>
        <v>John Henson, PF</v>
      </c>
      <c r="H214" s="162">
        <f>(SUBSTITUTE(PER_WEB!JJ146,".",","))*1</f>
        <v>13</v>
      </c>
      <c r="I214" s="117">
        <f>PER_WEB!IX146</f>
        <v>0</v>
      </c>
      <c r="J214" s="151"/>
    </row>
    <row r="215" spans="2:18" ht="16.5" hidden="1" customHeight="1" outlineLevel="1" thickBot="1" x14ac:dyDescent="0.3">
      <c r="B215" s="224" t="s">
        <v>568</v>
      </c>
      <c r="C215" s="101" t="s">
        <v>212</v>
      </c>
      <c r="D215" s="218">
        <v>14</v>
      </c>
      <c r="E215" s="117">
        <v>37</v>
      </c>
      <c r="F215" s="169"/>
      <c r="G215" s="103" t="str">
        <f>PER_WEB!IV147</f>
        <v>Jabari Parker, PF</v>
      </c>
      <c r="H215" s="162">
        <f>(SUBSTITUTE(PER_WEB!JJ147,".",","))*1</f>
        <v>12.7</v>
      </c>
      <c r="I215" s="117">
        <f>PER_WEB!IX147</f>
        <v>1</v>
      </c>
      <c r="J215" s="151"/>
    </row>
    <row r="216" spans="2:18" ht="16.5" hidden="1" customHeight="1" outlineLevel="1" thickBot="1" x14ac:dyDescent="0.3">
      <c r="B216" s="224" t="s">
        <v>568</v>
      </c>
      <c r="C216" s="101" t="s">
        <v>213</v>
      </c>
      <c r="D216" s="219">
        <v>12.4</v>
      </c>
      <c r="E216" s="118">
        <v>18</v>
      </c>
      <c r="F216" s="169"/>
      <c r="G216" s="103" t="str">
        <f>PER_WEB!IV148</f>
        <v>Matthew Dellavedova, PG</v>
      </c>
      <c r="H216" s="162">
        <f>(SUBSTITUTE(PER_WEB!JJ148,".",","))*1</f>
        <v>8.5</v>
      </c>
      <c r="I216" s="117">
        <f>PER_WEB!IX148</f>
        <v>1</v>
      </c>
      <c r="J216" s="151"/>
    </row>
    <row r="217" spans="2:18" ht="16.5" hidden="1" customHeight="1" outlineLevel="1" thickBot="1" x14ac:dyDescent="0.3">
      <c r="B217" s="224" t="s">
        <v>568</v>
      </c>
      <c r="C217" s="101" t="s">
        <v>214</v>
      </c>
      <c r="D217" s="218">
        <v>7.7</v>
      </c>
      <c r="E217" s="117">
        <v>24</v>
      </c>
      <c r="F217" s="169"/>
      <c r="G217" s="103" t="str">
        <f>PER_WEB!IV149</f>
        <v>Jason Terry, SG</v>
      </c>
      <c r="H217" s="162">
        <f>(SUBSTITUTE(PER_WEB!JJ149,".",","))*1</f>
        <v>7.7</v>
      </c>
      <c r="I217" s="117">
        <f>PER_WEB!IX149</f>
        <v>0</v>
      </c>
      <c r="J217" s="151"/>
    </row>
    <row r="218" spans="2:18" ht="16.5" hidden="1" customHeight="1" outlineLevel="1" thickBot="1" x14ac:dyDescent="0.3">
      <c r="B218" s="224" t="s">
        <v>568</v>
      </c>
      <c r="C218" s="101" t="s">
        <v>215</v>
      </c>
      <c r="D218" s="219">
        <v>18.600000000000001</v>
      </c>
      <c r="E218" s="118">
        <v>1</v>
      </c>
      <c r="F218" s="169"/>
      <c r="G218" s="103" t="str">
        <f>PER_WEB!IV150</f>
        <v>Miles Plumlee, C</v>
      </c>
      <c r="H218" s="162">
        <f>(SUBSTITUTE(PER_WEB!JJ150,".",","))*1</f>
        <v>7.3</v>
      </c>
      <c r="I218" s="117">
        <f>PER_WEB!IX150</f>
        <v>1</v>
      </c>
      <c r="J218" s="151"/>
    </row>
    <row r="219" spans="2:18" ht="16.5" hidden="1" customHeight="1" outlineLevel="1" thickBot="1" x14ac:dyDescent="0.3">
      <c r="B219" s="224" t="s">
        <v>568</v>
      </c>
      <c r="C219" s="101" t="s">
        <v>216</v>
      </c>
      <c r="D219" s="218">
        <v>7.5</v>
      </c>
      <c r="E219" s="117">
        <v>0</v>
      </c>
      <c r="F219" s="169"/>
      <c r="G219" s="103" t="str">
        <f>PER_WEB!IV151</f>
        <v>Michael Beasley, SF</v>
      </c>
      <c r="H219" s="162">
        <f>(SUBSTITUTE(PER_WEB!JJ151,".",","))*1</f>
        <v>2.4</v>
      </c>
      <c r="I219" s="117">
        <f>PER_WEB!IX151</f>
        <v>0</v>
      </c>
      <c r="J219" s="151"/>
    </row>
    <row r="220" spans="2:18" ht="16.5" hidden="1" customHeight="1" outlineLevel="1" thickBot="1" x14ac:dyDescent="0.3">
      <c r="B220" s="224" t="s">
        <v>568</v>
      </c>
      <c r="C220" s="101" t="s">
        <v>217</v>
      </c>
      <c r="D220" s="219">
        <v>17.399999999999999</v>
      </c>
      <c r="E220" s="118">
        <v>14</v>
      </c>
      <c r="F220" s="169"/>
      <c r="G220" s="103" t="str">
        <f>PER_WEB!IV152</f>
        <v>Rashad Vaughn, SG</v>
      </c>
      <c r="H220" s="162">
        <f>(SUBSTITUTE(PER_WEB!JJ152,".",","))*1</f>
        <v>-2.2000000000000002</v>
      </c>
      <c r="I220" s="117">
        <f>PER_WEB!IX152</f>
        <v>0</v>
      </c>
      <c r="J220" s="151"/>
    </row>
    <row r="221" spans="2:18" ht="16.5" hidden="1" customHeight="1" outlineLevel="1" thickBot="1" x14ac:dyDescent="0.3">
      <c r="B221" s="224" t="s">
        <v>568</v>
      </c>
      <c r="C221" s="101" t="s">
        <v>218</v>
      </c>
      <c r="D221" s="218">
        <v>10.7</v>
      </c>
      <c r="E221" s="117">
        <v>7</v>
      </c>
      <c r="F221" s="169"/>
      <c r="G221" s="103" t="str">
        <f>PER_WEB!IV153</f>
        <v>Mirza Teletovic, PF</v>
      </c>
      <c r="H221" s="162">
        <f>(SUBSTITUTE(PER_WEB!JJ153,".",","))*1</f>
        <v>-4</v>
      </c>
      <c r="I221" s="117">
        <f>PER_WEB!IX153</f>
        <v>1</v>
      </c>
      <c r="J221" s="151"/>
    </row>
    <row r="222" spans="2:18" ht="16.5" hidden="1" customHeight="1" outlineLevel="1" thickBot="1" x14ac:dyDescent="0.3">
      <c r="B222" s="224" t="s">
        <v>568</v>
      </c>
      <c r="C222" s="101" t="s">
        <v>152</v>
      </c>
      <c r="D222" s="219">
        <v>5.8</v>
      </c>
      <c r="E222" s="118">
        <v>0</v>
      </c>
      <c r="F222" s="169"/>
      <c r="G222" s="101"/>
      <c r="H222" s="162"/>
      <c r="I222" s="118"/>
      <c r="J222" s="151"/>
    </row>
    <row r="223" spans="2:18" ht="16.5" hidden="1" customHeight="1" outlineLevel="1" thickBot="1" x14ac:dyDescent="0.3">
      <c r="B223" s="224" t="s">
        <v>568</v>
      </c>
      <c r="C223" s="101" t="s">
        <v>219</v>
      </c>
      <c r="D223" s="218">
        <v>4.3</v>
      </c>
      <c r="E223" s="117">
        <v>6</v>
      </c>
      <c r="F223" s="169"/>
      <c r="G223" s="101"/>
      <c r="H223" s="162"/>
      <c r="I223" s="117"/>
      <c r="J223" s="151"/>
    </row>
    <row r="224" spans="2:18" ht="16.5" hidden="1" customHeight="1" outlineLevel="1" thickBot="1" x14ac:dyDescent="0.3">
      <c r="B224" s="224" t="s">
        <v>568</v>
      </c>
      <c r="C224" s="101" t="s">
        <v>220</v>
      </c>
      <c r="D224" s="219">
        <v>7.5</v>
      </c>
      <c r="E224" s="118">
        <v>4</v>
      </c>
      <c r="F224" s="169"/>
      <c r="G224" s="101"/>
      <c r="H224" s="161"/>
      <c r="I224" s="118"/>
      <c r="J224" s="151"/>
    </row>
    <row r="225" spans="2:17" ht="16.5" hidden="1" customHeight="1" outlineLevel="1" thickBot="1" x14ac:dyDescent="0.3">
      <c r="B225" s="224" t="s">
        <v>568</v>
      </c>
      <c r="C225" s="101" t="s">
        <v>221</v>
      </c>
      <c r="D225" s="218">
        <v>6.7</v>
      </c>
      <c r="E225" s="117">
        <v>0</v>
      </c>
      <c r="F225" s="169"/>
      <c r="G225" s="101"/>
      <c r="H225" s="162"/>
      <c r="I225" s="117"/>
      <c r="J225" s="151"/>
    </row>
    <row r="226" spans="2:17" ht="16.5" hidden="1" customHeight="1" outlineLevel="1" thickBot="1" x14ac:dyDescent="0.3">
      <c r="B226" s="224" t="s">
        <v>568</v>
      </c>
      <c r="C226" s="101" t="s">
        <v>222</v>
      </c>
      <c r="D226" s="219">
        <v>5.5</v>
      </c>
      <c r="E226" s="118">
        <v>1</v>
      </c>
      <c r="F226" s="169"/>
      <c r="G226" s="101"/>
      <c r="H226" s="161"/>
      <c r="I226" s="118"/>
      <c r="J226" s="151"/>
    </row>
    <row r="227" spans="2:17" ht="16.5" hidden="1" customHeight="1" outlineLevel="1" thickBot="1" x14ac:dyDescent="0.3">
      <c r="B227" s="229" t="s">
        <v>568</v>
      </c>
      <c r="C227" s="102" t="s">
        <v>223</v>
      </c>
      <c r="D227" s="218">
        <v>6.7</v>
      </c>
      <c r="E227" s="117">
        <v>1</v>
      </c>
      <c r="F227" s="169"/>
      <c r="G227" s="102"/>
      <c r="H227" s="162"/>
      <c r="I227" s="117"/>
      <c r="J227" s="151"/>
    </row>
    <row r="228" spans="2:17" ht="16.5" collapsed="1" thickBot="1" x14ac:dyDescent="0.3">
      <c r="B228" s="419" t="s">
        <v>9</v>
      </c>
      <c r="C228" s="420"/>
      <c r="G228" s="156"/>
      <c r="H228" s="225"/>
      <c r="I228" s="170"/>
      <c r="J228" s="151"/>
      <c r="Q228">
        <f>(LARGE(PER!H229:H248,1)+LARGE(PER!H229:H248,2))/2</f>
        <v>24.05</v>
      </c>
    </row>
    <row r="229" spans="2:17" ht="16.5" hidden="1" customHeight="1" outlineLevel="1" thickBot="1" x14ac:dyDescent="0.3">
      <c r="B229" s="228" t="s">
        <v>569</v>
      </c>
      <c r="C229" s="103" t="s">
        <v>225</v>
      </c>
      <c r="D229" s="218">
        <v>20.399999999999999</v>
      </c>
      <c r="E229" s="117">
        <v>72</v>
      </c>
      <c r="F229" s="169"/>
      <c r="G229" s="103" t="str">
        <f>PER_WEB!AE143</f>
        <v>Ron Baker, SG</v>
      </c>
      <c r="H229" s="218">
        <f>(SUBSTITUTE(PER_WEB!AS143,".",","))*1</f>
        <v>24.6</v>
      </c>
      <c r="I229" s="117">
        <f>PER_WEB!AG143</f>
        <v>0</v>
      </c>
      <c r="J229" s="151"/>
    </row>
    <row r="230" spans="2:17" ht="16.5" hidden="1" customHeight="1" outlineLevel="1" thickBot="1" x14ac:dyDescent="0.3">
      <c r="B230" s="224" t="s">
        <v>569</v>
      </c>
      <c r="C230" s="101" t="s">
        <v>226</v>
      </c>
      <c r="D230" s="219">
        <v>17.8</v>
      </c>
      <c r="E230" s="118">
        <v>72</v>
      </c>
      <c r="F230" s="169"/>
      <c r="G230" s="103" t="str">
        <f>PER_WEB!AE144</f>
        <v>Mindaugas Kuzminskas, SF</v>
      </c>
      <c r="H230" s="218">
        <f>(SUBSTITUTE(PER_WEB!AS144,".",","))*1</f>
        <v>23.5</v>
      </c>
      <c r="I230" s="117">
        <f>PER_WEB!AG144</f>
        <v>0</v>
      </c>
      <c r="J230" s="151"/>
    </row>
    <row r="231" spans="2:17" ht="16.5" hidden="1" customHeight="1" outlineLevel="1" thickBot="1" x14ac:dyDescent="0.3">
      <c r="B231" s="224" t="s">
        <v>569</v>
      </c>
      <c r="C231" s="101" t="s">
        <v>227</v>
      </c>
      <c r="D231" s="218">
        <v>11</v>
      </c>
      <c r="E231" s="117">
        <v>57</v>
      </c>
      <c r="F231" s="169"/>
      <c r="G231" s="103" t="str">
        <f>PER_WEB!AE145</f>
        <v>Justin Holiday, SG</v>
      </c>
      <c r="H231" s="218">
        <f>(SUBSTITUTE(PER_WEB!AS145,".",","))*1</f>
        <v>13.4</v>
      </c>
      <c r="I231" s="117">
        <f>PER_WEB!AG145</f>
        <v>0</v>
      </c>
      <c r="J231" s="151"/>
    </row>
    <row r="232" spans="2:17" ht="16.5" hidden="1" customHeight="1" outlineLevel="1" thickBot="1" x14ac:dyDescent="0.3">
      <c r="B232" s="224" t="s">
        <v>569</v>
      </c>
      <c r="C232" s="101" t="s">
        <v>228</v>
      </c>
      <c r="D232" s="219">
        <v>17.7</v>
      </c>
      <c r="E232" s="118">
        <v>82</v>
      </c>
      <c r="F232" s="169"/>
      <c r="G232" s="103" t="str">
        <f>PER_WEB!AE146</f>
        <v>Kristaps Porzingis, PF</v>
      </c>
      <c r="H232" s="218">
        <f>(SUBSTITUTE(PER_WEB!AS146,".",","))*1</f>
        <v>12.4</v>
      </c>
      <c r="I232" s="117">
        <f>PER_WEB!AG146</f>
        <v>1</v>
      </c>
      <c r="J232" s="151"/>
    </row>
    <row r="233" spans="2:17" ht="16.5" hidden="1" customHeight="1" outlineLevel="1" thickBot="1" x14ac:dyDescent="0.3">
      <c r="B233" s="224" t="s">
        <v>569</v>
      </c>
      <c r="C233" s="101" t="s">
        <v>229</v>
      </c>
      <c r="D233" s="218">
        <v>17.3</v>
      </c>
      <c r="E233" s="117">
        <v>9</v>
      </c>
      <c r="F233" s="169"/>
      <c r="G233" s="103" t="str">
        <f>PER_WEB!AE147</f>
        <v>Carmelo Anthony, SF</v>
      </c>
      <c r="H233" s="218">
        <f>(SUBSTITUTE(PER_WEB!AS147,".",","))*1</f>
        <v>10.5</v>
      </c>
      <c r="I233" s="117">
        <f>PER_WEB!AG147</f>
        <v>1</v>
      </c>
      <c r="J233" s="151"/>
    </row>
    <row r="234" spans="2:17" ht="16.5" hidden="1" customHeight="1" outlineLevel="1" thickBot="1" x14ac:dyDescent="0.3">
      <c r="B234" s="224" t="s">
        <v>569</v>
      </c>
      <c r="C234" s="101" t="s">
        <v>230</v>
      </c>
      <c r="D234" s="219">
        <v>10.5</v>
      </c>
      <c r="E234" s="118">
        <v>5</v>
      </c>
      <c r="F234" s="169"/>
      <c r="G234" s="103" t="str">
        <f>PER_WEB!AE148</f>
        <v>Willy Hernangomez, C</v>
      </c>
      <c r="H234" s="218">
        <f>(SUBSTITUTE(PER_WEB!AS148,".",","))*1</f>
        <v>9.5</v>
      </c>
      <c r="I234" s="117">
        <f>PER_WEB!AG148</f>
        <v>0</v>
      </c>
      <c r="J234" s="151"/>
    </row>
    <row r="235" spans="2:17" ht="16.5" hidden="1" customHeight="1" outlineLevel="1" thickBot="1" x14ac:dyDescent="0.3">
      <c r="B235" s="224" t="s">
        <v>569</v>
      </c>
      <c r="C235" s="101" t="s">
        <v>231</v>
      </c>
      <c r="D235" s="218">
        <v>11.7</v>
      </c>
      <c r="E235" s="117">
        <v>7</v>
      </c>
      <c r="F235" s="169"/>
      <c r="G235" s="103" t="str">
        <f>PER_WEB!AE149</f>
        <v>Brandon Jennings, PG</v>
      </c>
      <c r="H235" s="218">
        <f>(SUBSTITUTE(PER_WEB!AS149,".",","))*1</f>
        <v>8.1999999999999993</v>
      </c>
      <c r="I235" s="117">
        <f>PER_WEB!AG149</f>
        <v>0</v>
      </c>
      <c r="J235" s="151"/>
    </row>
    <row r="236" spans="2:17" ht="16.5" hidden="1" customHeight="1" outlineLevel="1" thickBot="1" x14ac:dyDescent="0.3">
      <c r="B236" s="224" t="s">
        <v>569</v>
      </c>
      <c r="C236" s="101" t="s">
        <v>232</v>
      </c>
      <c r="D236" s="219">
        <v>12.3</v>
      </c>
      <c r="E236" s="118">
        <v>72</v>
      </c>
      <c r="F236" s="169"/>
      <c r="G236" s="103" t="str">
        <f>PER_WEB!AE150</f>
        <v>Derrick Rose, PG</v>
      </c>
      <c r="H236" s="218">
        <f>(SUBSTITUTE(PER_WEB!AS150,".",","))*1</f>
        <v>7.8</v>
      </c>
      <c r="I236" s="117">
        <f>PER_WEB!AG150</f>
        <v>1</v>
      </c>
      <c r="J236" s="151"/>
    </row>
    <row r="237" spans="2:17" ht="16.5" hidden="1" customHeight="1" outlineLevel="1" thickBot="1" x14ac:dyDescent="0.3">
      <c r="B237" s="224" t="s">
        <v>569</v>
      </c>
      <c r="C237" s="101" t="s">
        <v>233</v>
      </c>
      <c r="D237" s="218">
        <v>11.2</v>
      </c>
      <c r="E237" s="117">
        <v>6</v>
      </c>
      <c r="F237" s="169"/>
      <c r="G237" s="103" t="str">
        <f>PER_WEB!AE151</f>
        <v>Joakim Noah, C</v>
      </c>
      <c r="H237" s="218">
        <f>(SUBSTITUTE(PER_WEB!AS151,".",","))*1</f>
        <v>6.7</v>
      </c>
      <c r="I237" s="117">
        <f>PER_WEB!AG151</f>
        <v>1</v>
      </c>
      <c r="J237" s="151"/>
    </row>
    <row r="238" spans="2:17" ht="16.5" hidden="1" customHeight="1" outlineLevel="1" thickBot="1" x14ac:dyDescent="0.3">
      <c r="B238" s="224" t="s">
        <v>569</v>
      </c>
      <c r="C238" s="101" t="s">
        <v>234</v>
      </c>
      <c r="D238" s="219">
        <v>11.1</v>
      </c>
      <c r="E238" s="118">
        <v>25</v>
      </c>
      <c r="F238" s="169"/>
      <c r="G238" s="103" t="str">
        <f>PER_WEB!AE152</f>
        <v>Kyle O'Quinn, PF</v>
      </c>
      <c r="H238" s="218">
        <f>(SUBSTITUTE(PER_WEB!AS152,".",","))*1</f>
        <v>6.1</v>
      </c>
      <c r="I238" s="117">
        <f>PER_WEB!AG152</f>
        <v>0</v>
      </c>
      <c r="J238" s="151"/>
    </row>
    <row r="239" spans="2:17" ht="16.5" hidden="1" customHeight="1" outlineLevel="1" thickBot="1" x14ac:dyDescent="0.3">
      <c r="B239" s="224" t="s">
        <v>569</v>
      </c>
      <c r="C239" s="101" t="s">
        <v>235</v>
      </c>
      <c r="D239" s="218">
        <v>17.5</v>
      </c>
      <c r="E239" s="117">
        <v>1</v>
      </c>
      <c r="F239" s="169"/>
      <c r="G239" s="103" t="str">
        <f>PER_WEB!AE153</f>
        <v>Lance Thomas, SF</v>
      </c>
      <c r="H239" s="218">
        <f>(SUBSTITUTE(PER_WEB!AS153,".",","))*1</f>
        <v>1.4</v>
      </c>
      <c r="I239" s="117">
        <f>PER_WEB!AG153</f>
        <v>0</v>
      </c>
      <c r="J239" s="151"/>
    </row>
    <row r="240" spans="2:17" ht="16.5" hidden="1" customHeight="1" outlineLevel="1" thickBot="1" x14ac:dyDescent="0.3">
      <c r="B240" s="224" t="s">
        <v>569</v>
      </c>
      <c r="C240" s="101" t="s">
        <v>236</v>
      </c>
      <c r="D240" s="219">
        <v>10.8</v>
      </c>
      <c r="E240" s="118">
        <v>0</v>
      </c>
      <c r="F240" s="169"/>
      <c r="G240" s="103" t="str">
        <f>PER_WEB!AE154</f>
        <v>Courtney Lee, SG</v>
      </c>
      <c r="H240" s="218">
        <f>(SUBSTITUTE(PER_WEB!AS154,".",","))*1</f>
        <v>-9.8000000000000007</v>
      </c>
      <c r="I240" s="117">
        <f>PER_WEB!AG154</f>
        <v>1</v>
      </c>
      <c r="J240" s="151"/>
    </row>
    <row r="241" spans="2:17" ht="16.5" hidden="1" customHeight="1" outlineLevel="1" thickBot="1" x14ac:dyDescent="0.3">
      <c r="B241" s="224" t="s">
        <v>569</v>
      </c>
      <c r="C241" s="101" t="s">
        <v>237</v>
      </c>
      <c r="D241" s="218"/>
      <c r="E241" s="117">
        <v>0</v>
      </c>
      <c r="F241" s="169"/>
      <c r="G241" s="103" t="str">
        <f>PER_WEB!AE155</f>
        <v>Sasha Vujacic, SG</v>
      </c>
      <c r="H241" s="218">
        <f>(SUBSTITUTE(PER_WEB!AS155,".",","))*1</f>
        <v>-16.3</v>
      </c>
      <c r="I241" s="117">
        <f>PER_WEB!AG155</f>
        <v>0</v>
      </c>
      <c r="J241" s="151"/>
    </row>
    <row r="242" spans="2:17" ht="16.5" hidden="1" customHeight="1" outlineLevel="1" thickBot="1" x14ac:dyDescent="0.3">
      <c r="B242" s="224" t="s">
        <v>569</v>
      </c>
      <c r="C242" s="101" t="s">
        <v>238</v>
      </c>
      <c r="D242" s="219"/>
      <c r="E242" s="118">
        <v>0</v>
      </c>
      <c r="F242" s="169"/>
      <c r="G242" s="103"/>
      <c r="H242" s="219"/>
      <c r="I242" s="118"/>
      <c r="J242" s="151"/>
    </row>
    <row r="243" spans="2:17" ht="16.5" hidden="1" customHeight="1" outlineLevel="1" thickBot="1" x14ac:dyDescent="0.3">
      <c r="B243" s="224" t="s">
        <v>569</v>
      </c>
      <c r="C243" s="101" t="s">
        <v>239</v>
      </c>
      <c r="D243" s="218">
        <v>2.2000000000000002</v>
      </c>
      <c r="E243" s="117">
        <v>2</v>
      </c>
      <c r="F243" s="169"/>
      <c r="G243" s="101"/>
      <c r="H243" s="218"/>
      <c r="I243" s="117"/>
      <c r="J243" s="151"/>
    </row>
    <row r="244" spans="2:17" ht="16.5" hidden="1" customHeight="1" outlineLevel="1" thickBot="1" x14ac:dyDescent="0.3">
      <c r="B244" s="224" t="s">
        <v>569</v>
      </c>
      <c r="C244" s="101" t="s">
        <v>240</v>
      </c>
      <c r="D244" s="219">
        <v>6.7</v>
      </c>
      <c r="E244" s="118">
        <v>0</v>
      </c>
      <c r="F244" s="169"/>
      <c r="G244" s="101"/>
      <c r="H244" s="219"/>
      <c r="I244" s="118"/>
      <c r="J244" s="151"/>
    </row>
    <row r="245" spans="2:17" ht="16.5" hidden="1" customHeight="1" outlineLevel="1" thickBot="1" x14ac:dyDescent="0.3">
      <c r="B245" s="224" t="s">
        <v>569</v>
      </c>
      <c r="C245" s="101"/>
      <c r="D245" s="150"/>
      <c r="E245" s="150"/>
      <c r="F245" s="169"/>
      <c r="G245" s="101"/>
      <c r="H245" s="159"/>
      <c r="I245" s="117"/>
      <c r="J245" s="151"/>
    </row>
    <row r="246" spans="2:17" ht="16.5" hidden="1" customHeight="1" outlineLevel="1" thickBot="1" x14ac:dyDescent="0.3">
      <c r="B246" s="224" t="s">
        <v>569</v>
      </c>
      <c r="C246" s="101"/>
      <c r="D246" s="150"/>
      <c r="E246" s="150"/>
      <c r="F246" s="169"/>
      <c r="G246" s="101"/>
      <c r="H246" s="160"/>
      <c r="I246" s="118"/>
      <c r="J246" s="151"/>
    </row>
    <row r="247" spans="2:17" ht="16.5" hidden="1" customHeight="1" outlineLevel="1" thickBot="1" x14ac:dyDescent="0.3">
      <c r="B247" s="224" t="s">
        <v>569</v>
      </c>
      <c r="C247" s="101"/>
      <c r="D247" s="150"/>
      <c r="E247" s="150"/>
      <c r="F247" s="169"/>
      <c r="G247" s="101"/>
      <c r="H247" s="159"/>
      <c r="I247" s="117"/>
      <c r="J247" s="151"/>
    </row>
    <row r="248" spans="2:17" ht="16.5" hidden="1" customHeight="1" outlineLevel="1" thickBot="1" x14ac:dyDescent="0.3">
      <c r="B248" s="229" t="s">
        <v>569</v>
      </c>
      <c r="C248" s="102"/>
      <c r="D248" s="150"/>
      <c r="E248" s="150"/>
      <c r="F248" s="169"/>
      <c r="G248" s="102"/>
      <c r="H248" s="161"/>
      <c r="I248" s="118"/>
      <c r="J248" s="151"/>
    </row>
    <row r="249" spans="2:17" ht="16.5" collapsed="1" thickBot="1" x14ac:dyDescent="0.3">
      <c r="B249" s="419" t="s">
        <v>10</v>
      </c>
      <c r="C249" s="420"/>
      <c r="G249" s="156"/>
      <c r="H249" s="162"/>
      <c r="I249" s="117"/>
      <c r="J249" s="151"/>
      <c r="Q249">
        <f>(LARGE(PER!H250:H268,1)+LARGE(PER!H250:H268,2))/2</f>
        <v>18.299999999999997</v>
      </c>
    </row>
    <row r="250" spans="2:17" ht="16.5" hidden="1" customHeight="1" outlineLevel="1" thickBot="1" x14ac:dyDescent="0.3">
      <c r="B250" s="228" t="s">
        <v>570</v>
      </c>
      <c r="C250" s="103" t="s">
        <v>241</v>
      </c>
      <c r="D250" s="218">
        <v>21.2</v>
      </c>
      <c r="E250" s="117">
        <v>60</v>
      </c>
      <c r="F250" s="169"/>
      <c r="G250" s="103" t="str">
        <f>PER_WEB!LD143</f>
        <v>Nikola Vucevic, C</v>
      </c>
      <c r="H250" s="161">
        <f>(SUBSTITUTE(PER_WEB!LR143,".",","))*1</f>
        <v>22.9</v>
      </c>
      <c r="I250" s="118">
        <f>PER_WEB!LF143</f>
        <v>1</v>
      </c>
      <c r="J250" s="151"/>
    </row>
    <row r="251" spans="2:17" ht="16.5" hidden="1" customHeight="1" outlineLevel="1" thickBot="1" x14ac:dyDescent="0.3">
      <c r="B251" s="224" t="s">
        <v>570</v>
      </c>
      <c r="C251" s="101" t="s">
        <v>242</v>
      </c>
      <c r="D251" s="219">
        <v>16.8</v>
      </c>
      <c r="E251" s="118">
        <v>52</v>
      </c>
      <c r="F251" s="169"/>
      <c r="G251" s="103" t="str">
        <f>PER_WEB!LD144</f>
        <v>Aaron Gordon, PF</v>
      </c>
      <c r="H251" s="161">
        <f>(SUBSTITUTE(PER_WEB!LR144,".",","))*1</f>
        <v>13.7</v>
      </c>
      <c r="I251" s="118">
        <f>PER_WEB!LF144</f>
        <v>1</v>
      </c>
      <c r="J251" s="151"/>
    </row>
    <row r="252" spans="2:17" ht="16.5" hidden="1" customHeight="1" outlineLevel="1" thickBot="1" x14ac:dyDescent="0.3">
      <c r="B252" s="224" t="s">
        <v>570</v>
      </c>
      <c r="C252" s="101" t="s">
        <v>243</v>
      </c>
      <c r="D252" s="218">
        <v>14.7</v>
      </c>
      <c r="E252" s="117">
        <v>71</v>
      </c>
      <c r="F252" s="169"/>
      <c r="G252" s="103" t="str">
        <f>PER_WEB!LD145</f>
        <v>Evan Fournier, SG</v>
      </c>
      <c r="H252" s="161">
        <f>(SUBSTITUTE(PER_WEB!LR145,".",","))*1</f>
        <v>13.6</v>
      </c>
      <c r="I252" s="118">
        <f>PER_WEB!LF145</f>
        <v>1</v>
      </c>
      <c r="J252" s="151"/>
    </row>
    <row r="253" spans="2:17" ht="16.5" hidden="1" customHeight="1" outlineLevel="1" thickBot="1" x14ac:dyDescent="0.3">
      <c r="B253" s="224" t="s">
        <v>570</v>
      </c>
      <c r="C253" s="101" t="s">
        <v>157</v>
      </c>
      <c r="D253" s="219">
        <v>15.1</v>
      </c>
      <c r="E253" s="118">
        <v>49</v>
      </c>
      <c r="F253" s="169"/>
      <c r="G253" s="103" t="str">
        <f>PER_WEB!LD146</f>
        <v>Elfrid Payton, PG</v>
      </c>
      <c r="H253" s="161">
        <f>(SUBSTITUTE(PER_WEB!LR146,".",","))*1</f>
        <v>13</v>
      </c>
      <c r="I253" s="118">
        <f>PER_WEB!LF146</f>
        <v>1</v>
      </c>
      <c r="J253" s="151"/>
    </row>
    <row r="254" spans="2:17" ht="16.5" hidden="1" customHeight="1" outlineLevel="1" thickBot="1" x14ac:dyDescent="0.3">
      <c r="B254" s="224" t="s">
        <v>570</v>
      </c>
      <c r="C254" s="101" t="s">
        <v>244</v>
      </c>
      <c r="D254" s="218">
        <v>14</v>
      </c>
      <c r="E254" s="117">
        <v>69</v>
      </c>
      <c r="F254" s="169"/>
      <c r="G254" s="103" t="str">
        <f>PER_WEB!LD147</f>
        <v>D.J. Augustin, PG</v>
      </c>
      <c r="H254" s="161">
        <f>(SUBSTITUTE(PER_WEB!LR147,".",","))*1</f>
        <v>12.9</v>
      </c>
      <c r="I254" s="118">
        <f>PER_WEB!LF147</f>
        <v>0</v>
      </c>
      <c r="J254" s="151"/>
    </row>
    <row r="255" spans="2:17" ht="16.5" hidden="1" customHeight="1" outlineLevel="1" thickBot="1" x14ac:dyDescent="0.3">
      <c r="B255" s="224" t="s">
        <v>570</v>
      </c>
      <c r="C255" s="101" t="s">
        <v>245</v>
      </c>
      <c r="D255" s="219">
        <v>17.100000000000001</v>
      </c>
      <c r="E255" s="118">
        <v>37</v>
      </c>
      <c r="F255" s="169"/>
      <c r="G255" s="103" t="str">
        <f>PER_WEB!LD148</f>
        <v>Serge Ibaka, PF</v>
      </c>
      <c r="H255" s="161">
        <f>(SUBSTITUTE(PER_WEB!LR148,".",","))*1</f>
        <v>7.3</v>
      </c>
      <c r="I255" s="118">
        <f>PER_WEB!LF148</f>
        <v>1</v>
      </c>
      <c r="J255" s="151"/>
    </row>
    <row r="256" spans="2:17" ht="16.5" hidden="1" customHeight="1" outlineLevel="1" thickBot="1" x14ac:dyDescent="0.3">
      <c r="B256" s="224" t="s">
        <v>570</v>
      </c>
      <c r="C256" s="101" t="s">
        <v>161</v>
      </c>
      <c r="D256" s="218">
        <v>14.7</v>
      </c>
      <c r="E256" s="117">
        <v>4</v>
      </c>
      <c r="F256" s="169"/>
      <c r="G256" s="103" t="str">
        <f>PER_WEB!LD149</f>
        <v>Mario Hezonja, SG</v>
      </c>
      <c r="H256" s="161">
        <f>(SUBSTITUTE(PER_WEB!LR149,".",","))*1</f>
        <v>6.4</v>
      </c>
      <c r="I256" s="118">
        <f>PER_WEB!LF149</f>
        <v>0</v>
      </c>
      <c r="J256" s="151"/>
    </row>
    <row r="257" spans="2:17" ht="16.5" hidden="1" customHeight="1" outlineLevel="1" thickBot="1" x14ac:dyDescent="0.3">
      <c r="B257" s="224" t="s">
        <v>570</v>
      </c>
      <c r="C257" s="101" t="s">
        <v>246</v>
      </c>
      <c r="D257" s="219">
        <v>14.7</v>
      </c>
      <c r="E257" s="118">
        <v>2</v>
      </c>
      <c r="F257" s="169"/>
      <c r="G257" s="103" t="str">
        <f>PER_WEB!LD150</f>
        <v>Jeff Green, SF</v>
      </c>
      <c r="H257" s="161">
        <f>(SUBSTITUTE(PER_WEB!LR150,".",","))*1</f>
        <v>4.4000000000000004</v>
      </c>
      <c r="I257" s="118">
        <f>PER_WEB!LF150</f>
        <v>0</v>
      </c>
      <c r="J257" s="151"/>
    </row>
    <row r="258" spans="2:17" ht="16.5" hidden="1" customHeight="1" outlineLevel="1" thickBot="1" x14ac:dyDescent="0.3">
      <c r="B258" s="224" t="s">
        <v>570</v>
      </c>
      <c r="C258" s="101" t="s">
        <v>164</v>
      </c>
      <c r="D258" s="218">
        <v>14.3</v>
      </c>
      <c r="E258" s="117">
        <v>6</v>
      </c>
      <c r="F258" s="169"/>
      <c r="G258" s="101"/>
      <c r="H258" s="161"/>
      <c r="I258" s="118"/>
      <c r="J258" s="151"/>
    </row>
    <row r="259" spans="2:17" ht="16.5" hidden="1" customHeight="1" outlineLevel="1" thickBot="1" x14ac:dyDescent="0.3">
      <c r="B259" s="224" t="s">
        <v>570</v>
      </c>
      <c r="C259" s="101" t="s">
        <v>247</v>
      </c>
      <c r="D259" s="219">
        <v>14.8</v>
      </c>
      <c r="E259" s="118">
        <v>0</v>
      </c>
      <c r="F259" s="169"/>
      <c r="G259" s="101"/>
      <c r="H259" s="161"/>
      <c r="I259" s="117"/>
      <c r="J259" s="151"/>
    </row>
    <row r="260" spans="2:17" ht="16.5" hidden="1" customHeight="1" outlineLevel="1" thickBot="1" x14ac:dyDescent="0.3">
      <c r="B260" s="224" t="s">
        <v>570</v>
      </c>
      <c r="C260" s="101" t="s">
        <v>248</v>
      </c>
      <c r="D260" s="218">
        <v>9.5</v>
      </c>
      <c r="E260" s="117">
        <v>9</v>
      </c>
      <c r="F260" s="169"/>
      <c r="G260" s="101"/>
      <c r="H260" s="161"/>
      <c r="I260" s="118"/>
      <c r="J260" s="151"/>
    </row>
    <row r="261" spans="2:17" ht="16.5" hidden="1" customHeight="1" outlineLevel="1" thickBot="1" x14ac:dyDescent="0.3">
      <c r="B261" s="224" t="s">
        <v>570</v>
      </c>
      <c r="C261" s="101" t="s">
        <v>145</v>
      </c>
      <c r="D261" s="219">
        <v>11.8</v>
      </c>
      <c r="E261" s="118">
        <v>29</v>
      </c>
      <c r="F261" s="169"/>
      <c r="G261" s="101"/>
      <c r="H261" s="161"/>
      <c r="I261" s="117"/>
      <c r="J261" s="151"/>
    </row>
    <row r="262" spans="2:17" ht="16.5" hidden="1" customHeight="1" outlineLevel="1" thickBot="1" x14ac:dyDescent="0.3">
      <c r="B262" s="224" t="s">
        <v>570</v>
      </c>
      <c r="C262" s="101" t="s">
        <v>249</v>
      </c>
      <c r="D262" s="218">
        <v>17.100000000000001</v>
      </c>
      <c r="E262" s="117">
        <v>20</v>
      </c>
      <c r="F262" s="169"/>
      <c r="G262" s="101"/>
      <c r="H262" s="161"/>
      <c r="I262" s="118"/>
      <c r="J262" s="151"/>
    </row>
    <row r="263" spans="2:17" ht="16.5" hidden="1" customHeight="1" outlineLevel="1" thickBot="1" x14ac:dyDescent="0.3">
      <c r="B263" s="224" t="s">
        <v>570</v>
      </c>
      <c r="C263" s="101" t="s">
        <v>250</v>
      </c>
      <c r="D263" s="219">
        <v>8.6</v>
      </c>
      <c r="E263" s="118">
        <v>2</v>
      </c>
      <c r="F263" s="169"/>
      <c r="G263" s="101"/>
      <c r="H263" s="159"/>
      <c r="I263" s="117"/>
      <c r="J263" s="151"/>
    </row>
    <row r="264" spans="2:17" ht="16.5" hidden="1" customHeight="1" outlineLevel="1" thickBot="1" x14ac:dyDescent="0.3">
      <c r="B264" s="224" t="s">
        <v>570</v>
      </c>
      <c r="C264" s="101" t="s">
        <v>251</v>
      </c>
      <c r="D264" s="218">
        <v>9.6</v>
      </c>
      <c r="E264" s="117">
        <v>0</v>
      </c>
      <c r="F264" s="169"/>
      <c r="G264" s="101"/>
      <c r="H264" s="161"/>
      <c r="I264" s="118"/>
      <c r="J264" s="151"/>
    </row>
    <row r="265" spans="2:17" ht="16.5" hidden="1" customHeight="1" outlineLevel="1" thickBot="1" x14ac:dyDescent="0.3">
      <c r="B265" s="224" t="s">
        <v>570</v>
      </c>
      <c r="C265" s="101" t="s">
        <v>252</v>
      </c>
      <c r="D265" s="219">
        <v>5.3</v>
      </c>
      <c r="E265" s="118">
        <v>0</v>
      </c>
      <c r="F265" s="169"/>
      <c r="G265" s="101"/>
      <c r="H265" s="162"/>
      <c r="I265" s="117"/>
      <c r="J265" s="151"/>
    </row>
    <row r="266" spans="2:17" ht="16.5" hidden="1" customHeight="1" outlineLevel="1" thickBot="1" x14ac:dyDescent="0.3">
      <c r="B266" s="224" t="s">
        <v>570</v>
      </c>
      <c r="C266" s="101" t="s">
        <v>253</v>
      </c>
      <c r="D266" s="218">
        <v>-4.8</v>
      </c>
      <c r="E266" s="117">
        <v>0</v>
      </c>
      <c r="F266" s="169"/>
      <c r="G266" s="101"/>
      <c r="H266" s="161"/>
      <c r="I266" s="118"/>
      <c r="J266" s="151"/>
    </row>
    <row r="267" spans="2:17" ht="16.5" hidden="1" customHeight="1" outlineLevel="1" thickBot="1" x14ac:dyDescent="0.3">
      <c r="B267" s="224" t="s">
        <v>570</v>
      </c>
      <c r="C267" s="101"/>
      <c r="D267" s="150"/>
      <c r="E267" s="150"/>
      <c r="F267" s="169"/>
      <c r="G267" s="101"/>
      <c r="H267" s="162"/>
      <c r="I267" s="117"/>
      <c r="J267" s="151"/>
    </row>
    <row r="268" spans="2:17" ht="16.5" hidden="1" customHeight="1" outlineLevel="1" thickBot="1" x14ac:dyDescent="0.3">
      <c r="B268" s="229" t="s">
        <v>570</v>
      </c>
      <c r="C268" s="102"/>
      <c r="D268" s="150"/>
      <c r="E268" s="150"/>
      <c r="F268" s="169"/>
      <c r="G268" s="102"/>
      <c r="H268" s="161"/>
      <c r="I268" s="118"/>
      <c r="J268" s="151"/>
    </row>
    <row r="269" spans="2:17" ht="16.5" collapsed="1" thickBot="1" x14ac:dyDescent="0.3">
      <c r="B269" s="419" t="s">
        <v>254</v>
      </c>
      <c r="C269" s="420"/>
      <c r="E269" s="115"/>
      <c r="G269" s="156"/>
      <c r="H269" s="162"/>
      <c r="I269" s="117"/>
      <c r="J269" s="151"/>
      <c r="K269" s="115"/>
      <c r="L269" s="115"/>
      <c r="M269" s="115"/>
      <c r="N269" s="115"/>
      <c r="O269" s="115"/>
      <c r="P269" s="115"/>
      <c r="Q269">
        <f>(LARGE(PER!H270:H291,1)+LARGE(PER!H270:H291,2))/2</f>
        <v>25.6</v>
      </c>
    </row>
    <row r="270" spans="2:17" ht="16.5" hidden="1" customHeight="1" outlineLevel="1" thickBot="1" x14ac:dyDescent="0.3">
      <c r="B270" s="228" t="s">
        <v>586</v>
      </c>
      <c r="C270" s="103" t="s">
        <v>255</v>
      </c>
      <c r="D270" s="220">
        <v>17.100000000000001</v>
      </c>
      <c r="E270" s="117">
        <v>48</v>
      </c>
      <c r="F270" s="169"/>
      <c r="G270" s="103" t="str">
        <f>PER_WEB!LS143</f>
        <v>Richaun Holmes, PF</v>
      </c>
      <c r="H270" s="161">
        <f>(SUBSTITUTE(PER_WEB!MG143,".",","))*1</f>
        <v>26.7</v>
      </c>
      <c r="I270" s="118">
        <f>PER_WEB!LU143</f>
        <v>0</v>
      </c>
      <c r="J270" s="151"/>
    </row>
    <row r="271" spans="2:17" ht="16.5" hidden="1" customHeight="1" outlineLevel="1" thickBot="1" x14ac:dyDescent="0.3">
      <c r="B271" s="224" t="s">
        <v>586</v>
      </c>
      <c r="C271" s="101" t="s">
        <v>256</v>
      </c>
      <c r="D271" s="221">
        <v>14.4</v>
      </c>
      <c r="E271" s="118">
        <v>50</v>
      </c>
      <c r="F271" s="169"/>
      <c r="G271" s="103" t="str">
        <f>PER_WEB!LS144</f>
        <v>Nik Stauskas, SG</v>
      </c>
      <c r="H271" s="161">
        <f>(SUBSTITUTE(PER_WEB!MG144,".",","))*1</f>
        <v>24.5</v>
      </c>
      <c r="I271" s="118">
        <f>PER_WEB!LU144</f>
        <v>0</v>
      </c>
      <c r="J271" s="151"/>
    </row>
    <row r="272" spans="2:17" ht="16.5" hidden="1" customHeight="1" outlineLevel="1" thickBot="1" x14ac:dyDescent="0.3">
      <c r="B272" s="224" t="s">
        <v>586</v>
      </c>
      <c r="C272" s="101" t="s">
        <v>257</v>
      </c>
      <c r="D272" s="220">
        <v>13.2</v>
      </c>
      <c r="E272" s="117">
        <v>49</v>
      </c>
      <c r="F272" s="169"/>
      <c r="G272" s="103" t="str">
        <f>PER_WEB!LS145</f>
        <v>Sergio Rodriguez, PG</v>
      </c>
      <c r="H272" s="161">
        <f>(SUBSTITUTE(PER_WEB!MG145,".",","))*1</f>
        <v>18.100000000000001</v>
      </c>
      <c r="I272" s="118">
        <f>PER_WEB!LU145</f>
        <v>1</v>
      </c>
      <c r="J272" s="151"/>
    </row>
    <row r="273" spans="2:10" ht="16.5" hidden="1" customHeight="1" outlineLevel="1" thickBot="1" x14ac:dyDescent="0.3">
      <c r="B273" s="224" t="s">
        <v>586</v>
      </c>
      <c r="C273" s="101" t="s">
        <v>258</v>
      </c>
      <c r="D273" s="221">
        <v>16.3</v>
      </c>
      <c r="E273" s="118">
        <v>62</v>
      </c>
      <c r="F273" s="169"/>
      <c r="G273" s="103" t="str">
        <f>PER_WEB!LS146</f>
        <v>Robert Covington, SF</v>
      </c>
      <c r="H273" s="161">
        <f>(SUBSTITUTE(PER_WEB!MG146,".",","))*1</f>
        <v>17.899999999999999</v>
      </c>
      <c r="I273" s="118">
        <f>PER_WEB!LU146</f>
        <v>1</v>
      </c>
      <c r="J273" s="151"/>
    </row>
    <row r="274" spans="2:10" ht="16.5" hidden="1" customHeight="1" outlineLevel="1" thickBot="1" x14ac:dyDescent="0.3">
      <c r="B274" s="224" t="s">
        <v>586</v>
      </c>
      <c r="C274" s="101" t="s">
        <v>259</v>
      </c>
      <c r="D274" s="220">
        <v>11.1</v>
      </c>
      <c r="E274" s="117">
        <v>39</v>
      </c>
      <c r="F274" s="169"/>
      <c r="G274" s="103" t="str">
        <f>PER_WEB!LS147</f>
        <v>T.J. McConnell, PG</v>
      </c>
      <c r="H274" s="161">
        <f>(SUBSTITUTE(PER_WEB!MG147,".",","))*1</f>
        <v>15.5</v>
      </c>
      <c r="I274" s="118">
        <f>PER_WEB!LU147</f>
        <v>0</v>
      </c>
      <c r="J274" s="151"/>
    </row>
    <row r="275" spans="2:10" ht="16.5" hidden="1" customHeight="1" outlineLevel="1" thickBot="1" x14ac:dyDescent="0.3">
      <c r="B275" s="224" t="s">
        <v>586</v>
      </c>
      <c r="C275" s="101" t="s">
        <v>260</v>
      </c>
      <c r="D275" s="221">
        <v>9.1999999999999993</v>
      </c>
      <c r="E275" s="118">
        <v>17</v>
      </c>
      <c r="F275" s="169"/>
      <c r="G275" s="103" t="str">
        <f>PER_WEB!LS148</f>
        <v>Joel Embiid, C</v>
      </c>
      <c r="H275" s="161">
        <f>(SUBSTITUTE(PER_WEB!MG148,".",","))*1</f>
        <v>14.5</v>
      </c>
      <c r="I275" s="118">
        <f>PER_WEB!LU148</f>
        <v>1</v>
      </c>
      <c r="J275" s="151"/>
    </row>
    <row r="276" spans="2:10" ht="16.5" hidden="1" customHeight="1" outlineLevel="1" thickBot="1" x14ac:dyDescent="0.3">
      <c r="B276" s="224" t="s">
        <v>586</v>
      </c>
      <c r="C276" s="101" t="s">
        <v>261</v>
      </c>
      <c r="D276" s="220">
        <v>22.5</v>
      </c>
      <c r="E276" s="117">
        <v>12</v>
      </c>
      <c r="F276" s="169"/>
      <c r="G276" s="103" t="str">
        <f>PER_WEB!LS149</f>
        <v>Hollis Thompson, SG</v>
      </c>
      <c r="H276" s="161">
        <f>(SUBSTITUTE(PER_WEB!MG149,".",","))*1</f>
        <v>9.8000000000000007</v>
      </c>
      <c r="I276" s="118">
        <f>PER_WEB!LU149</f>
        <v>0</v>
      </c>
      <c r="J276" s="151"/>
    </row>
    <row r="277" spans="2:10" ht="16.5" hidden="1" customHeight="1" outlineLevel="1" thickBot="1" x14ac:dyDescent="0.3">
      <c r="B277" s="224" t="s">
        <v>586</v>
      </c>
      <c r="C277" s="101" t="s">
        <v>262</v>
      </c>
      <c r="D277" s="221">
        <v>12.7</v>
      </c>
      <c r="E277" s="118">
        <v>52</v>
      </c>
      <c r="F277" s="169"/>
      <c r="G277" s="103" t="str">
        <f>PER_WEB!LS150</f>
        <v>Gerald Henderson, SG</v>
      </c>
      <c r="H277" s="161">
        <f>(SUBSTITUTE(PER_WEB!MG150,".",","))*1</f>
        <v>9.3000000000000007</v>
      </c>
      <c r="I277" s="118">
        <f>PER_WEB!LU150</f>
        <v>1</v>
      </c>
      <c r="J277" s="151"/>
    </row>
    <row r="278" spans="2:10" ht="16.5" hidden="1" customHeight="1" outlineLevel="1" thickBot="1" x14ac:dyDescent="0.3">
      <c r="B278" s="224" t="s">
        <v>586</v>
      </c>
      <c r="C278" s="101" t="s">
        <v>263</v>
      </c>
      <c r="D278" s="220">
        <v>9.1999999999999993</v>
      </c>
      <c r="E278" s="117">
        <v>35</v>
      </c>
      <c r="F278" s="169"/>
      <c r="G278" s="103" t="str">
        <f>PER_WEB!LS151</f>
        <v>Jerami Grant, SF</v>
      </c>
      <c r="H278" s="161">
        <f>(SUBSTITUTE(PER_WEB!MG151,".",","))*1</f>
        <v>5.8</v>
      </c>
      <c r="I278" s="118">
        <f>PER_WEB!LU151</f>
        <v>0</v>
      </c>
      <c r="J278" s="151"/>
    </row>
    <row r="279" spans="2:10" ht="16.5" hidden="1" customHeight="1" outlineLevel="1" thickBot="1" x14ac:dyDescent="0.3">
      <c r="B279" s="224" t="s">
        <v>586</v>
      </c>
      <c r="C279" s="101" t="s">
        <v>264</v>
      </c>
      <c r="D279" s="221">
        <v>1.9</v>
      </c>
      <c r="E279" s="118">
        <v>3</v>
      </c>
      <c r="F279" s="169"/>
      <c r="G279" s="103" t="str">
        <f>PER_WEB!LS152</f>
        <v>Jahlil Okafor, C</v>
      </c>
      <c r="H279" s="161">
        <f>(SUBSTITUTE(PER_WEB!MG152,".",","))*1</f>
        <v>0.4</v>
      </c>
      <c r="I279" s="118">
        <f>PER_WEB!LU152</f>
        <v>0</v>
      </c>
      <c r="J279" s="151"/>
    </row>
    <row r="280" spans="2:10" ht="16.5" hidden="1" customHeight="1" outlineLevel="1" thickBot="1" x14ac:dyDescent="0.3">
      <c r="B280" s="224" t="s">
        <v>586</v>
      </c>
      <c r="C280" s="101" t="s">
        <v>265</v>
      </c>
      <c r="D280" s="220">
        <v>14.5</v>
      </c>
      <c r="E280" s="117">
        <v>17</v>
      </c>
      <c r="F280" s="169"/>
      <c r="G280" s="103" t="str">
        <f>PER_WEB!LS153</f>
        <v>Dario Saric, SF</v>
      </c>
      <c r="H280" s="161">
        <f>(SUBSTITUTE(PER_WEB!MG153,".",","))*1</f>
        <v>-6.3</v>
      </c>
      <c r="I280" s="118">
        <f>PER_WEB!LU153</f>
        <v>1</v>
      </c>
      <c r="J280" s="151"/>
    </row>
    <row r="281" spans="2:10" ht="16.5" hidden="1" customHeight="1" outlineLevel="1" thickBot="1" x14ac:dyDescent="0.3">
      <c r="B281" s="224" t="s">
        <v>586</v>
      </c>
      <c r="C281" s="101" t="s">
        <v>266</v>
      </c>
      <c r="D281" s="221">
        <v>15.9</v>
      </c>
      <c r="E281" s="118">
        <v>1</v>
      </c>
      <c r="F281" s="169"/>
      <c r="G281" s="101"/>
      <c r="H281" s="161"/>
      <c r="I281" s="117"/>
      <c r="J281" s="151"/>
    </row>
    <row r="282" spans="2:10" ht="16.5" hidden="1" customHeight="1" outlineLevel="1" thickBot="1" x14ac:dyDescent="0.3">
      <c r="B282" s="224" t="s">
        <v>586</v>
      </c>
      <c r="C282" s="101" t="s">
        <v>267</v>
      </c>
      <c r="D282" s="220">
        <v>7.7</v>
      </c>
      <c r="E282" s="117">
        <v>18</v>
      </c>
      <c r="F282" s="169"/>
      <c r="G282" s="101"/>
      <c r="H282" s="161"/>
      <c r="I282" s="118"/>
      <c r="J282" s="151"/>
    </row>
    <row r="283" spans="2:10" ht="16.5" hidden="1" customHeight="1" outlineLevel="1" thickBot="1" x14ac:dyDescent="0.3">
      <c r="B283" s="224" t="s">
        <v>586</v>
      </c>
      <c r="C283" s="101" t="s">
        <v>268</v>
      </c>
      <c r="D283" s="221">
        <v>11.4</v>
      </c>
      <c r="E283" s="118">
        <v>1</v>
      </c>
      <c r="F283" s="169"/>
      <c r="G283" s="101"/>
      <c r="H283" s="161"/>
      <c r="I283" s="117"/>
      <c r="J283" s="151"/>
    </row>
    <row r="284" spans="2:10" ht="16.5" hidden="1" customHeight="1" outlineLevel="1" thickBot="1" x14ac:dyDescent="0.3">
      <c r="B284" s="224" t="s">
        <v>586</v>
      </c>
      <c r="C284" s="101" t="s">
        <v>269</v>
      </c>
      <c r="D284" s="220">
        <v>11.9</v>
      </c>
      <c r="E284" s="117">
        <v>0</v>
      </c>
      <c r="F284" s="169"/>
      <c r="G284" s="101"/>
      <c r="H284" s="161"/>
      <c r="I284" s="118"/>
      <c r="J284" s="151"/>
    </row>
    <row r="285" spans="2:10" ht="16.5" hidden="1" customHeight="1" outlineLevel="1" thickBot="1" x14ac:dyDescent="0.3">
      <c r="B285" s="224" t="s">
        <v>586</v>
      </c>
      <c r="C285" s="101" t="s">
        <v>270</v>
      </c>
      <c r="D285" s="221">
        <v>6.8</v>
      </c>
      <c r="E285" s="118">
        <v>6</v>
      </c>
      <c r="F285" s="169"/>
      <c r="G285" s="101"/>
      <c r="H285" s="162"/>
      <c r="I285" s="117"/>
      <c r="J285" s="151"/>
    </row>
    <row r="286" spans="2:10" ht="16.5" hidden="1" customHeight="1" outlineLevel="1" thickBot="1" x14ac:dyDescent="0.3">
      <c r="B286" s="224" t="s">
        <v>586</v>
      </c>
      <c r="C286" s="101" t="s">
        <v>271</v>
      </c>
      <c r="D286" s="220">
        <v>16.5</v>
      </c>
      <c r="E286" s="117">
        <v>0</v>
      </c>
      <c r="F286" s="169"/>
      <c r="G286" s="231"/>
      <c r="H286" s="161"/>
      <c r="I286" s="118"/>
      <c r="J286" s="151"/>
    </row>
    <row r="287" spans="2:10" ht="16.5" hidden="1" customHeight="1" outlineLevel="1" thickBot="1" x14ac:dyDescent="0.3">
      <c r="B287" s="224" t="s">
        <v>586</v>
      </c>
      <c r="C287" s="101" t="s">
        <v>272</v>
      </c>
      <c r="D287" s="221">
        <v>0.8</v>
      </c>
      <c r="E287" s="118">
        <v>0</v>
      </c>
      <c r="F287" s="169"/>
      <c r="G287" s="101"/>
      <c r="H287" s="162"/>
      <c r="I287" s="117"/>
      <c r="J287" s="151"/>
    </row>
    <row r="288" spans="2:10" ht="16.5" hidden="1" customHeight="1" outlineLevel="1" thickBot="1" x14ac:dyDescent="0.3">
      <c r="B288" s="224" t="s">
        <v>586</v>
      </c>
      <c r="C288" s="101"/>
      <c r="D288" s="150"/>
      <c r="E288" s="150"/>
      <c r="F288" s="169"/>
      <c r="G288" s="101"/>
      <c r="H288" s="161"/>
      <c r="I288" s="118"/>
      <c r="J288" s="151"/>
    </row>
    <row r="289" spans="2:17" ht="16.5" hidden="1" customHeight="1" outlineLevel="1" thickBot="1" x14ac:dyDescent="0.3">
      <c r="B289" s="224" t="s">
        <v>586</v>
      </c>
      <c r="C289" s="101"/>
      <c r="D289" s="150"/>
      <c r="E289" s="150"/>
      <c r="F289" s="169"/>
      <c r="G289" s="101"/>
      <c r="H289" s="162"/>
      <c r="I289" s="117"/>
      <c r="J289" s="151"/>
    </row>
    <row r="290" spans="2:17" ht="16.5" hidden="1" customHeight="1" outlineLevel="1" thickBot="1" x14ac:dyDescent="0.3">
      <c r="B290" s="224" t="s">
        <v>586</v>
      </c>
      <c r="C290" s="101"/>
      <c r="D290" s="150"/>
      <c r="E290" s="150"/>
      <c r="F290" s="169"/>
      <c r="G290" s="231"/>
      <c r="H290" s="161"/>
      <c r="I290" s="118"/>
      <c r="J290" s="151"/>
    </row>
    <row r="291" spans="2:17" ht="16.5" hidden="1" customHeight="1" outlineLevel="1" thickBot="1" x14ac:dyDescent="0.3">
      <c r="B291" s="229" t="s">
        <v>586</v>
      </c>
      <c r="C291" s="102"/>
      <c r="D291" s="150"/>
      <c r="E291" s="150"/>
      <c r="F291" s="169"/>
      <c r="G291" s="102"/>
      <c r="H291" s="162"/>
      <c r="I291" s="117"/>
      <c r="J291" s="151"/>
    </row>
    <row r="292" spans="2:17" ht="16.5" collapsed="1" thickBot="1" x14ac:dyDescent="0.3">
      <c r="B292" s="419" t="s">
        <v>12</v>
      </c>
      <c r="C292" s="420"/>
      <c r="G292" s="156"/>
      <c r="H292" s="225"/>
      <c r="I292" s="170"/>
      <c r="J292" s="151"/>
      <c r="Q292">
        <f>(LARGE(PER!H293:H312,1)+LARGE(PER!H293:H312,2))/2</f>
        <v>37.799999999999997</v>
      </c>
    </row>
    <row r="293" spans="2:17" ht="16.5" hidden="1" customHeight="1" outlineLevel="1" thickBot="1" x14ac:dyDescent="0.3">
      <c r="B293" s="228" t="s">
        <v>571</v>
      </c>
      <c r="C293" s="103" t="s">
        <v>273</v>
      </c>
      <c r="D293" s="220">
        <v>21.6</v>
      </c>
      <c r="E293" s="117">
        <v>78</v>
      </c>
      <c r="F293" s="169"/>
      <c r="G293" s="103" t="str">
        <f>PER_WEB!NL143</f>
        <v>Jonas Valanciunas, C</v>
      </c>
      <c r="H293" s="159">
        <f>(SUBSTITUTE(PER_WEB!NZ143,".",","))*1</f>
        <v>40.299999999999997</v>
      </c>
      <c r="I293" s="117">
        <f>PER_WEB!NN143</f>
        <v>1</v>
      </c>
      <c r="J293" s="151"/>
    </row>
    <row r="294" spans="2:17" ht="16.5" hidden="1" customHeight="1" outlineLevel="1" thickBot="1" x14ac:dyDescent="0.3">
      <c r="B294" s="224" t="s">
        <v>571</v>
      </c>
      <c r="C294" s="101" t="s">
        <v>274</v>
      </c>
      <c r="D294" s="221">
        <v>22.2</v>
      </c>
      <c r="E294" s="118">
        <v>77</v>
      </c>
      <c r="F294" s="169"/>
      <c r="G294" s="103" t="str">
        <f>PER_WEB!NL144</f>
        <v>DeMar DeRozan, SG</v>
      </c>
      <c r="H294" s="159">
        <f>(SUBSTITUTE(PER_WEB!NZ144,".",","))*1</f>
        <v>35.299999999999997</v>
      </c>
      <c r="I294" s="117">
        <f>PER_WEB!NN144</f>
        <v>1</v>
      </c>
      <c r="J294" s="151"/>
    </row>
    <row r="295" spans="2:17" ht="16.5" hidden="1" customHeight="1" outlineLevel="1" thickBot="1" x14ac:dyDescent="0.3">
      <c r="B295" s="224" t="s">
        <v>571</v>
      </c>
      <c r="C295" s="101" t="s">
        <v>275</v>
      </c>
      <c r="D295" s="220">
        <v>22.6</v>
      </c>
      <c r="E295" s="117">
        <v>59</v>
      </c>
      <c r="F295" s="169"/>
      <c r="G295" s="103" t="str">
        <f>PER_WEB!NL145</f>
        <v>Pascal Siakam, SF</v>
      </c>
      <c r="H295" s="159">
        <f>(SUBSTITUTE(PER_WEB!NZ145,".",","))*1</f>
        <v>16.5</v>
      </c>
      <c r="I295" s="117">
        <f>PER_WEB!NN145</f>
        <v>1</v>
      </c>
      <c r="J295" s="151"/>
    </row>
    <row r="296" spans="2:17" ht="16.5" hidden="1" customHeight="1" outlineLevel="1" thickBot="1" x14ac:dyDescent="0.3">
      <c r="B296" s="224" t="s">
        <v>571</v>
      </c>
      <c r="C296" s="101" t="s">
        <v>276</v>
      </c>
      <c r="D296" s="221">
        <v>11.9</v>
      </c>
      <c r="E296" s="118">
        <v>22</v>
      </c>
      <c r="F296" s="169"/>
      <c r="G296" s="103" t="str">
        <f>PER_WEB!NL146</f>
        <v>Terrence Ross, SF</v>
      </c>
      <c r="H296" s="159">
        <f>(SUBSTITUTE(PER_WEB!NZ146,".",","))*1</f>
        <v>14</v>
      </c>
      <c r="I296" s="117">
        <f>PER_WEB!NN146</f>
        <v>0</v>
      </c>
      <c r="J296" s="151"/>
    </row>
    <row r="297" spans="2:17" ht="16.5" hidden="1" customHeight="1" outlineLevel="1" thickBot="1" x14ac:dyDescent="0.3">
      <c r="B297" s="224" t="s">
        <v>571</v>
      </c>
      <c r="C297" s="101" t="s">
        <v>277</v>
      </c>
      <c r="D297" s="220">
        <v>12.9</v>
      </c>
      <c r="E297" s="117">
        <v>7</v>
      </c>
      <c r="F297" s="169"/>
      <c r="G297" s="103" t="str">
        <f>PER_WEB!NL147</f>
        <v>Cory Joseph, PG</v>
      </c>
      <c r="H297" s="159">
        <f>(SUBSTITUTE(PER_WEB!NZ147,".",","))*1</f>
        <v>13.6</v>
      </c>
      <c r="I297" s="117">
        <f>PER_WEB!NN147</f>
        <v>0</v>
      </c>
      <c r="J297" s="151"/>
    </row>
    <row r="298" spans="2:17" ht="16.5" hidden="1" customHeight="1" outlineLevel="1" thickBot="1" x14ac:dyDescent="0.3">
      <c r="B298" s="224" t="s">
        <v>571</v>
      </c>
      <c r="C298" s="101" t="s">
        <v>278</v>
      </c>
      <c r="D298" s="221">
        <v>13.7</v>
      </c>
      <c r="E298" s="118">
        <v>76</v>
      </c>
      <c r="F298" s="169"/>
      <c r="G298" s="103" t="str">
        <f>PER_WEB!NL148</f>
        <v>Kyle Lowry, PG</v>
      </c>
      <c r="H298" s="159">
        <f>(SUBSTITUTE(PER_WEB!NZ148,".",","))*1</f>
        <v>8.6</v>
      </c>
      <c r="I298" s="117">
        <f>PER_WEB!NN148</f>
        <v>1</v>
      </c>
      <c r="J298" s="151"/>
    </row>
    <row r="299" spans="2:17" ht="16.5" hidden="1" customHeight="1" outlineLevel="1" thickBot="1" x14ac:dyDescent="0.3">
      <c r="B299" s="224" t="s">
        <v>571</v>
      </c>
      <c r="C299" s="101" t="s">
        <v>279</v>
      </c>
      <c r="D299" s="220">
        <v>12.4</v>
      </c>
      <c r="E299" s="117">
        <v>4</v>
      </c>
      <c r="F299" s="169"/>
      <c r="G299" s="103" t="str">
        <f>PER_WEB!NL149</f>
        <v>DeMarre Carroll, SF</v>
      </c>
      <c r="H299" s="159">
        <f>(SUBSTITUTE(PER_WEB!NZ149,".",","))*1</f>
        <v>7.4</v>
      </c>
      <c r="I299" s="117">
        <f>PER_WEB!NN149</f>
        <v>1</v>
      </c>
      <c r="J299" s="151"/>
    </row>
    <row r="300" spans="2:17" ht="16.5" hidden="1" customHeight="1" outlineLevel="1" thickBot="1" x14ac:dyDescent="0.3">
      <c r="B300" s="224" t="s">
        <v>571</v>
      </c>
      <c r="C300" s="101" t="s">
        <v>280</v>
      </c>
      <c r="D300" s="221">
        <v>10.6</v>
      </c>
      <c r="E300" s="118">
        <v>0</v>
      </c>
      <c r="F300" s="169"/>
      <c r="G300" s="103" t="str">
        <f>PER_WEB!NL150</f>
        <v>Patrick Patterson, PF</v>
      </c>
      <c r="H300" s="159">
        <f>(SUBSTITUTE(PER_WEB!NZ150,".",","))*1</f>
        <v>2.2999999999999998</v>
      </c>
      <c r="I300" s="117">
        <f>PER_WEB!NN150</f>
        <v>0</v>
      </c>
      <c r="J300" s="151"/>
    </row>
    <row r="301" spans="2:17" ht="16.5" hidden="1" customHeight="1" outlineLevel="1" thickBot="1" x14ac:dyDescent="0.3">
      <c r="B301" s="224" t="s">
        <v>571</v>
      </c>
      <c r="C301" s="101" t="s">
        <v>281</v>
      </c>
      <c r="D301" s="220">
        <v>13.4</v>
      </c>
      <c r="E301" s="117">
        <v>24</v>
      </c>
      <c r="F301" s="169"/>
      <c r="G301" s="103" t="str">
        <f>PER_WEB!NL151</f>
        <v>Jakob Poeltl, C</v>
      </c>
      <c r="H301" s="159">
        <f>(SUBSTITUTE(PER_WEB!NZ151,".",","))*1</f>
        <v>-2.7</v>
      </c>
      <c r="I301" s="117">
        <f>PER_WEB!NN151</f>
        <v>0</v>
      </c>
      <c r="J301" s="151"/>
    </row>
    <row r="302" spans="2:17" ht="16.5" hidden="1" customHeight="1" outlineLevel="1" thickBot="1" x14ac:dyDescent="0.3">
      <c r="B302" s="224" t="s">
        <v>571</v>
      </c>
      <c r="C302" s="101" t="s">
        <v>282</v>
      </c>
      <c r="D302" s="221">
        <v>14.9</v>
      </c>
      <c r="E302" s="118">
        <v>22</v>
      </c>
      <c r="F302" s="169"/>
      <c r="G302" s="103" t="str">
        <f>PER_WEB!NL152</f>
        <v>Norman Powell, SG</v>
      </c>
      <c r="H302" s="159">
        <f>(SUBSTITUTE(PER_WEB!NZ152,".",","))*1</f>
        <v>-33.200000000000003</v>
      </c>
      <c r="I302" s="117">
        <f>PER_WEB!NN152</f>
        <v>0</v>
      </c>
      <c r="J302" s="151"/>
    </row>
    <row r="303" spans="2:17" ht="16.5" hidden="1" customHeight="1" outlineLevel="1" thickBot="1" x14ac:dyDescent="0.3">
      <c r="B303" s="224" t="s">
        <v>571</v>
      </c>
      <c r="C303" s="101" t="s">
        <v>283</v>
      </c>
      <c r="D303" s="220">
        <v>11.4</v>
      </c>
      <c r="E303" s="117">
        <v>32</v>
      </c>
      <c r="F303" s="169"/>
      <c r="G303" s="101"/>
      <c r="H303" s="159"/>
      <c r="I303" s="117"/>
      <c r="J303" s="151"/>
    </row>
    <row r="304" spans="2:17" ht="16.5" hidden="1" customHeight="1" outlineLevel="1" thickBot="1" x14ac:dyDescent="0.3">
      <c r="B304" s="224" t="s">
        <v>571</v>
      </c>
      <c r="C304" s="101" t="s">
        <v>284</v>
      </c>
      <c r="D304" s="221">
        <v>14.7</v>
      </c>
      <c r="E304" s="118">
        <v>6</v>
      </c>
      <c r="F304" s="169"/>
      <c r="G304" s="101"/>
      <c r="H304" s="159"/>
      <c r="I304" s="118"/>
      <c r="J304" s="151"/>
    </row>
    <row r="305" spans="2:17" ht="16.5" hidden="1" customHeight="1" outlineLevel="1" thickBot="1" x14ac:dyDescent="0.3">
      <c r="B305" s="224" t="s">
        <v>571</v>
      </c>
      <c r="C305" s="101" t="s">
        <v>285</v>
      </c>
      <c r="D305" s="220">
        <v>17.8</v>
      </c>
      <c r="E305" s="117">
        <v>1</v>
      </c>
      <c r="F305" s="169"/>
      <c r="G305" s="101"/>
      <c r="H305" s="162"/>
      <c r="I305" s="117"/>
      <c r="J305" s="151"/>
    </row>
    <row r="306" spans="2:17" ht="16.5" hidden="1" customHeight="1" outlineLevel="1" thickBot="1" x14ac:dyDescent="0.3">
      <c r="B306" s="224" t="s">
        <v>571</v>
      </c>
      <c r="C306" s="101" t="s">
        <v>286</v>
      </c>
      <c r="D306" s="221">
        <v>15.7</v>
      </c>
      <c r="E306" s="118">
        <v>1</v>
      </c>
      <c r="F306" s="169"/>
      <c r="G306" s="101"/>
      <c r="H306" s="161"/>
      <c r="I306" s="118"/>
      <c r="J306" s="151"/>
    </row>
    <row r="307" spans="2:17" ht="16.5" hidden="1" customHeight="1" outlineLevel="1" thickBot="1" x14ac:dyDescent="0.3">
      <c r="B307" s="224" t="s">
        <v>571</v>
      </c>
      <c r="C307" s="101" t="s">
        <v>287</v>
      </c>
      <c r="D307" s="220">
        <v>10.4</v>
      </c>
      <c r="E307" s="117">
        <v>0</v>
      </c>
      <c r="F307" s="169"/>
      <c r="G307" s="101"/>
      <c r="H307" s="162"/>
      <c r="I307" s="117"/>
      <c r="J307" s="151"/>
    </row>
    <row r="308" spans="2:17" ht="16.5" hidden="1" customHeight="1" outlineLevel="1" thickBot="1" x14ac:dyDescent="0.3">
      <c r="B308" s="224" t="s">
        <v>571</v>
      </c>
      <c r="C308" s="101" t="s">
        <v>288</v>
      </c>
      <c r="D308" s="221">
        <v>-7.7</v>
      </c>
      <c r="E308" s="118">
        <v>1</v>
      </c>
      <c r="F308" s="169"/>
      <c r="G308" s="101"/>
      <c r="H308" s="161"/>
      <c r="I308" s="118"/>
      <c r="J308" s="151"/>
    </row>
    <row r="309" spans="2:17" ht="16.5" hidden="1" customHeight="1" outlineLevel="1" thickBot="1" x14ac:dyDescent="0.3">
      <c r="B309" s="224" t="s">
        <v>571</v>
      </c>
      <c r="C309" s="101"/>
      <c r="D309" s="150"/>
      <c r="E309" s="150"/>
      <c r="F309" s="169"/>
      <c r="G309" s="101"/>
      <c r="H309" s="159"/>
      <c r="I309" s="117"/>
      <c r="J309" s="151"/>
    </row>
    <row r="310" spans="2:17" ht="16.5" hidden="1" customHeight="1" outlineLevel="1" thickBot="1" x14ac:dyDescent="0.3">
      <c r="B310" s="224" t="s">
        <v>571</v>
      </c>
      <c r="C310" s="101"/>
      <c r="D310" s="150"/>
      <c r="E310" s="150"/>
      <c r="F310" s="169"/>
      <c r="G310" s="101"/>
      <c r="H310" s="160"/>
      <c r="I310" s="118"/>
      <c r="J310" s="151"/>
    </row>
    <row r="311" spans="2:17" ht="16.5" hidden="1" customHeight="1" outlineLevel="1" thickBot="1" x14ac:dyDescent="0.3">
      <c r="B311" s="224" t="s">
        <v>571</v>
      </c>
      <c r="C311" s="101"/>
      <c r="D311" s="150"/>
      <c r="E311" s="150"/>
      <c r="F311" s="169"/>
      <c r="G311" s="101"/>
      <c r="H311" s="159"/>
      <c r="I311" s="117"/>
      <c r="J311" s="151"/>
    </row>
    <row r="312" spans="2:17" ht="16.5" hidden="1" customHeight="1" outlineLevel="1" thickBot="1" x14ac:dyDescent="0.3">
      <c r="B312" s="229" t="s">
        <v>571</v>
      </c>
      <c r="C312" s="102"/>
      <c r="D312" s="150"/>
      <c r="E312" s="150"/>
      <c r="F312" s="169"/>
      <c r="G312" s="102"/>
      <c r="H312" s="161"/>
      <c r="I312" s="118"/>
      <c r="J312" s="151"/>
    </row>
    <row r="313" spans="2:17" ht="16.5" collapsed="1" thickBot="1" x14ac:dyDescent="0.3">
      <c r="B313" s="419" t="s">
        <v>13</v>
      </c>
      <c r="C313" s="420"/>
      <c r="G313" s="156"/>
      <c r="H313" s="162"/>
      <c r="I313" s="117"/>
      <c r="J313" s="151"/>
      <c r="Q313" t="e">
        <f>(LARGE(PER!H314:H332,1)+LARGE(PER!H314:H332,2))/2</f>
        <v>#NUM!</v>
      </c>
    </row>
    <row r="314" spans="2:17" ht="16.5" hidden="1" customHeight="1" outlineLevel="1" thickBot="1" x14ac:dyDescent="0.3">
      <c r="B314" s="228" t="s">
        <v>572</v>
      </c>
      <c r="C314" s="103" t="s">
        <v>289</v>
      </c>
      <c r="D314" s="220">
        <v>19.8</v>
      </c>
      <c r="E314" s="117">
        <v>77</v>
      </c>
      <c r="F314" s="169"/>
      <c r="G314" s="103" t="s">
        <v>289</v>
      </c>
      <c r="H314" s="161"/>
      <c r="I314" s="118"/>
      <c r="J314" s="151"/>
    </row>
    <row r="315" spans="2:17" ht="16.5" hidden="1" customHeight="1" outlineLevel="1" thickBot="1" x14ac:dyDescent="0.3">
      <c r="B315" s="224" t="s">
        <v>572</v>
      </c>
      <c r="C315" s="101" t="s">
        <v>290</v>
      </c>
      <c r="D315" s="221">
        <v>15.6</v>
      </c>
      <c r="E315" s="118">
        <v>35</v>
      </c>
      <c r="F315" s="169"/>
      <c r="G315" s="101" t="s">
        <v>290</v>
      </c>
      <c r="H315" s="162"/>
      <c r="I315" s="117"/>
      <c r="J315" s="151"/>
    </row>
    <row r="316" spans="2:17" ht="16.5" hidden="1" customHeight="1" outlineLevel="1" thickBot="1" x14ac:dyDescent="0.3">
      <c r="B316" s="224" t="s">
        <v>572</v>
      </c>
      <c r="C316" s="101" t="s">
        <v>291</v>
      </c>
      <c r="D316" s="220">
        <v>19</v>
      </c>
      <c r="E316" s="117">
        <v>74</v>
      </c>
      <c r="F316" s="169"/>
      <c r="G316" s="101" t="s">
        <v>291</v>
      </c>
      <c r="H316" s="161"/>
      <c r="I316" s="118"/>
      <c r="J316" s="151"/>
    </row>
    <row r="317" spans="2:17" ht="16.5" hidden="1" customHeight="1" outlineLevel="1" thickBot="1" x14ac:dyDescent="0.3">
      <c r="B317" s="224" t="s">
        <v>572</v>
      </c>
      <c r="C317" s="101" t="s">
        <v>292</v>
      </c>
      <c r="D317" s="221">
        <v>14.1</v>
      </c>
      <c r="E317" s="118">
        <v>21</v>
      </c>
      <c r="F317" s="169"/>
      <c r="G317" s="101" t="s">
        <v>292</v>
      </c>
      <c r="H317" s="162"/>
      <c r="I317" s="117"/>
      <c r="J317" s="151"/>
    </row>
    <row r="318" spans="2:17" ht="16.5" hidden="1" customHeight="1" outlineLevel="1" thickBot="1" x14ac:dyDescent="0.3">
      <c r="B318" s="224" t="s">
        <v>572</v>
      </c>
      <c r="C318" s="101" t="s">
        <v>293</v>
      </c>
      <c r="D318" s="220">
        <v>14.5</v>
      </c>
      <c r="E318" s="117">
        <v>73</v>
      </c>
      <c r="F318" s="169"/>
      <c r="G318" s="101" t="s">
        <v>293</v>
      </c>
      <c r="H318" s="161"/>
      <c r="I318" s="118"/>
      <c r="J318" s="151"/>
    </row>
    <row r="319" spans="2:17" ht="16.5" hidden="1" customHeight="1" outlineLevel="1" thickBot="1" x14ac:dyDescent="0.3">
      <c r="B319" s="224" t="s">
        <v>572</v>
      </c>
      <c r="C319" s="101" t="s">
        <v>294</v>
      </c>
      <c r="D319" s="221">
        <v>15.9</v>
      </c>
      <c r="E319" s="118">
        <v>5</v>
      </c>
      <c r="F319" s="169"/>
      <c r="G319" s="101" t="s">
        <v>526</v>
      </c>
      <c r="H319" s="162"/>
      <c r="I319" s="117"/>
      <c r="J319" s="151"/>
    </row>
    <row r="320" spans="2:17" ht="16.5" hidden="1" customHeight="1" outlineLevel="1" thickBot="1" x14ac:dyDescent="0.3">
      <c r="B320" s="224" t="s">
        <v>572</v>
      </c>
      <c r="C320" s="101" t="s">
        <v>295</v>
      </c>
      <c r="D320" s="220">
        <v>13.6</v>
      </c>
      <c r="E320" s="117">
        <v>2</v>
      </c>
      <c r="F320" s="169"/>
      <c r="G320" s="101" t="s">
        <v>601</v>
      </c>
      <c r="H320" s="161"/>
      <c r="I320" s="118"/>
      <c r="J320" s="151"/>
    </row>
    <row r="321" spans="2:17" ht="16.5" hidden="1" customHeight="1" outlineLevel="1" thickBot="1" x14ac:dyDescent="0.3">
      <c r="B321" s="224" t="s">
        <v>572</v>
      </c>
      <c r="C321" s="101" t="s">
        <v>296</v>
      </c>
      <c r="D321" s="221">
        <v>16.899999999999999</v>
      </c>
      <c r="E321" s="118">
        <v>11</v>
      </c>
      <c r="F321" s="169"/>
      <c r="G321" s="101" t="s">
        <v>179</v>
      </c>
      <c r="H321" s="162"/>
      <c r="I321" s="117"/>
      <c r="J321" s="151"/>
    </row>
    <row r="322" spans="2:17" ht="16.5" hidden="1" customHeight="1" outlineLevel="1" thickBot="1" x14ac:dyDescent="0.3">
      <c r="B322" s="224" t="s">
        <v>572</v>
      </c>
      <c r="C322" s="101" t="s">
        <v>297</v>
      </c>
      <c r="D322" s="220">
        <v>15.6</v>
      </c>
      <c r="E322" s="117">
        <v>2</v>
      </c>
      <c r="F322" s="169"/>
      <c r="G322" s="101" t="s">
        <v>297</v>
      </c>
      <c r="H322" s="161"/>
      <c r="I322" s="118"/>
      <c r="J322" s="151"/>
    </row>
    <row r="323" spans="2:17" ht="16.5" hidden="1" customHeight="1" outlineLevel="1" thickBot="1" x14ac:dyDescent="0.3">
      <c r="B323" s="224" t="s">
        <v>572</v>
      </c>
      <c r="C323" s="101" t="s">
        <v>298</v>
      </c>
      <c r="D323" s="221">
        <v>11.7</v>
      </c>
      <c r="E323" s="118">
        <v>41</v>
      </c>
      <c r="F323" s="169"/>
      <c r="G323" s="101" t="s">
        <v>602</v>
      </c>
      <c r="H323" s="162"/>
      <c r="I323" s="117"/>
      <c r="J323" s="151"/>
    </row>
    <row r="324" spans="2:17" ht="16.5" hidden="1" customHeight="1" outlineLevel="1" thickBot="1" x14ac:dyDescent="0.3">
      <c r="B324" s="224" t="s">
        <v>572</v>
      </c>
      <c r="C324" s="101" t="s">
        <v>299</v>
      </c>
      <c r="D324" s="220">
        <v>9.3000000000000007</v>
      </c>
      <c r="E324" s="117">
        <v>43</v>
      </c>
      <c r="F324" s="169"/>
      <c r="G324" s="101" t="s">
        <v>247</v>
      </c>
      <c r="H324" s="161"/>
      <c r="I324" s="118"/>
      <c r="J324" s="151"/>
    </row>
    <row r="325" spans="2:17" ht="16.5" hidden="1" customHeight="1" outlineLevel="1" thickBot="1" x14ac:dyDescent="0.3">
      <c r="B325" s="224" t="s">
        <v>572</v>
      </c>
      <c r="C325" s="101" t="s">
        <v>65</v>
      </c>
      <c r="D325" s="221">
        <v>11.9</v>
      </c>
      <c r="E325" s="118">
        <v>14</v>
      </c>
      <c r="F325" s="169"/>
      <c r="G325" s="101" t="s">
        <v>220</v>
      </c>
      <c r="H325" s="159"/>
      <c r="I325" s="117"/>
      <c r="J325" s="151"/>
    </row>
    <row r="326" spans="2:17" ht="16.5" hidden="1" customHeight="1" outlineLevel="1" thickBot="1" x14ac:dyDescent="0.3">
      <c r="B326" s="224" t="s">
        <v>572</v>
      </c>
      <c r="C326" s="101" t="s">
        <v>300</v>
      </c>
      <c r="D326" s="220">
        <v>9.1999999999999993</v>
      </c>
      <c r="E326" s="117">
        <v>0</v>
      </c>
      <c r="F326" s="169"/>
      <c r="G326" s="101" t="s">
        <v>603</v>
      </c>
      <c r="H326" s="160"/>
      <c r="I326" s="118"/>
      <c r="J326" s="151"/>
    </row>
    <row r="327" spans="2:17" ht="16.5" hidden="1" customHeight="1" outlineLevel="1" thickBot="1" x14ac:dyDescent="0.3">
      <c r="B327" s="224" t="s">
        <v>572</v>
      </c>
      <c r="C327" s="101" t="s">
        <v>301</v>
      </c>
      <c r="D327" s="221">
        <v>19</v>
      </c>
      <c r="E327" s="118">
        <v>0</v>
      </c>
      <c r="F327" s="169"/>
      <c r="G327" s="101" t="s">
        <v>604</v>
      </c>
      <c r="H327" s="159"/>
      <c r="I327" s="117"/>
      <c r="J327" s="151"/>
    </row>
    <row r="328" spans="2:17" ht="16.5" hidden="1" customHeight="1" outlineLevel="1" thickBot="1" x14ac:dyDescent="0.3">
      <c r="B328" s="224" t="s">
        <v>572</v>
      </c>
      <c r="C328" s="101" t="s">
        <v>302</v>
      </c>
      <c r="D328" s="220">
        <v>8.3000000000000007</v>
      </c>
      <c r="E328" s="117">
        <v>9</v>
      </c>
      <c r="F328" s="169"/>
      <c r="G328" s="101" t="s">
        <v>302</v>
      </c>
      <c r="H328" s="161"/>
      <c r="I328" s="118"/>
      <c r="J328" s="151"/>
    </row>
    <row r="329" spans="2:17" ht="16.5" hidden="1" customHeight="1" outlineLevel="1" thickBot="1" x14ac:dyDescent="0.3">
      <c r="B329" s="224" t="s">
        <v>572</v>
      </c>
      <c r="C329" s="101" t="s">
        <v>303</v>
      </c>
      <c r="D329" s="221">
        <v>7.6</v>
      </c>
      <c r="E329" s="118">
        <v>0</v>
      </c>
      <c r="F329" s="169"/>
      <c r="G329" s="101" t="s">
        <v>246</v>
      </c>
      <c r="H329" s="162"/>
      <c r="I329" s="117"/>
      <c r="J329" s="151"/>
    </row>
    <row r="330" spans="2:17" ht="16.5" hidden="1" customHeight="1" outlineLevel="1" thickBot="1" x14ac:dyDescent="0.3">
      <c r="B330" s="224" t="s">
        <v>572</v>
      </c>
      <c r="C330" s="101" t="s">
        <v>304</v>
      </c>
      <c r="D330" s="220">
        <v>11.1</v>
      </c>
      <c r="E330" s="117">
        <v>0</v>
      </c>
      <c r="F330" s="169"/>
      <c r="G330" s="101" t="s">
        <v>304</v>
      </c>
      <c r="H330" s="161"/>
      <c r="I330" s="118"/>
      <c r="J330" s="151"/>
    </row>
    <row r="331" spans="2:17" ht="16.5" hidden="1" customHeight="1" outlineLevel="1" thickBot="1" x14ac:dyDescent="0.3">
      <c r="B331" s="224" t="s">
        <v>572</v>
      </c>
      <c r="C331" s="101" t="s">
        <v>305</v>
      </c>
      <c r="D331" s="221">
        <v>5.5</v>
      </c>
      <c r="E331" s="118">
        <v>0</v>
      </c>
      <c r="F331" s="169"/>
      <c r="G331" s="101" t="s">
        <v>305</v>
      </c>
      <c r="H331" s="162"/>
      <c r="I331" s="117"/>
      <c r="J331" s="151"/>
    </row>
    <row r="332" spans="2:17" ht="16.5" hidden="1" customHeight="1" outlineLevel="1" thickBot="1" x14ac:dyDescent="0.3">
      <c r="B332" s="229" t="s">
        <v>572</v>
      </c>
      <c r="C332" s="102" t="s">
        <v>306</v>
      </c>
      <c r="D332" s="220">
        <v>7.3</v>
      </c>
      <c r="E332" s="117">
        <v>3</v>
      </c>
      <c r="F332" s="169"/>
      <c r="G332" s="102" t="s">
        <v>605</v>
      </c>
      <c r="H332" s="161"/>
      <c r="I332" s="118"/>
      <c r="J332" s="151"/>
    </row>
    <row r="333" spans="2:17" ht="16.5" collapsed="1" thickBot="1" x14ac:dyDescent="0.3">
      <c r="B333" s="419" t="s">
        <v>14</v>
      </c>
      <c r="C333" s="420"/>
      <c r="G333" s="156"/>
      <c r="H333" s="162"/>
      <c r="I333" s="117"/>
      <c r="J333" s="151"/>
      <c r="Q333">
        <f>(LARGE(PER!H334:H352,1)+LARGE(PER!H334:H352,2))/2</f>
        <v>27.85</v>
      </c>
    </row>
    <row r="334" spans="2:17" ht="16.5" hidden="1" customHeight="1" outlineLevel="1" thickBot="1" x14ac:dyDescent="0.3">
      <c r="B334" s="228" t="s">
        <v>573</v>
      </c>
      <c r="C334" s="103" t="s">
        <v>309</v>
      </c>
      <c r="D334" s="220">
        <v>19.100000000000001</v>
      </c>
      <c r="E334" s="117">
        <v>75</v>
      </c>
      <c r="F334" s="169"/>
      <c r="G334" s="103" t="str">
        <f>PER_WEB!EF143</f>
        <v>Nicolas Brussino, SF</v>
      </c>
      <c r="H334" s="161">
        <f>(SUBSTITUTE(PER_WEB!ET143,".",","))*1</f>
        <v>30.9</v>
      </c>
      <c r="I334" s="118">
        <f>PER_WEB!EH143</f>
        <v>0</v>
      </c>
      <c r="J334" s="151"/>
    </row>
    <row r="335" spans="2:17" ht="16.5" hidden="1" customHeight="1" outlineLevel="1" thickBot="1" x14ac:dyDescent="0.3">
      <c r="B335" s="224" t="s">
        <v>573</v>
      </c>
      <c r="C335" s="101" t="s">
        <v>310</v>
      </c>
      <c r="D335" s="221">
        <v>14.7</v>
      </c>
      <c r="E335" s="118">
        <v>63</v>
      </c>
      <c r="F335" s="169"/>
      <c r="G335" s="103" t="str">
        <f>PER_WEB!EF144</f>
        <v>Seth Curry, SG</v>
      </c>
      <c r="H335" s="161">
        <f>(SUBSTITUTE(PER_WEB!ET144,".",","))*1</f>
        <v>24.8</v>
      </c>
      <c r="I335" s="118">
        <f>PER_WEB!EH144</f>
        <v>0</v>
      </c>
      <c r="J335" s="151"/>
    </row>
    <row r="336" spans="2:17" ht="16.5" hidden="1" customHeight="1" outlineLevel="1" thickBot="1" x14ac:dyDescent="0.3">
      <c r="B336" s="224" t="s">
        <v>573</v>
      </c>
      <c r="C336" s="101" t="s">
        <v>311</v>
      </c>
      <c r="D336" s="220">
        <v>16.3</v>
      </c>
      <c r="E336" s="117">
        <v>51</v>
      </c>
      <c r="F336" s="169"/>
      <c r="G336" s="103" t="str">
        <f>PER_WEB!EF145</f>
        <v>Dirk Nowitzki, PF</v>
      </c>
      <c r="H336" s="161">
        <f>(SUBSTITUTE(PER_WEB!ET145,".",","))*1</f>
        <v>18.3</v>
      </c>
      <c r="I336" s="118">
        <f>PER_WEB!EH145</f>
        <v>1</v>
      </c>
      <c r="J336" s="151"/>
    </row>
    <row r="337" spans="2:10" ht="16.5" hidden="1" customHeight="1" outlineLevel="1" thickBot="1" x14ac:dyDescent="0.3">
      <c r="B337" s="224" t="s">
        <v>573</v>
      </c>
      <c r="C337" s="101" t="s">
        <v>312</v>
      </c>
      <c r="D337" s="221">
        <v>10.9</v>
      </c>
      <c r="E337" s="118">
        <v>78</v>
      </c>
      <c r="F337" s="169"/>
      <c r="G337" s="103" t="str">
        <f>PER_WEB!EF146</f>
        <v>Deron Williams, PG</v>
      </c>
      <c r="H337" s="161">
        <f>(SUBSTITUTE(PER_WEB!ET146,".",","))*1</f>
        <v>16.600000000000001</v>
      </c>
      <c r="I337" s="118">
        <f>PER_WEB!EH146</f>
        <v>1</v>
      </c>
      <c r="J337" s="151"/>
    </row>
    <row r="338" spans="2:10" ht="16.5" hidden="1" customHeight="1" outlineLevel="1" thickBot="1" x14ac:dyDescent="0.3">
      <c r="B338" s="224" t="s">
        <v>573</v>
      </c>
      <c r="C338" s="101" t="s">
        <v>313</v>
      </c>
      <c r="D338" s="220">
        <v>15.5</v>
      </c>
      <c r="E338" s="117">
        <v>16</v>
      </c>
      <c r="F338" s="169"/>
      <c r="G338" s="103" t="str">
        <f>PER_WEB!EF147</f>
        <v>Harrison Barnes, SF</v>
      </c>
      <c r="H338" s="161">
        <f>(SUBSTITUTE(PER_WEB!ET147,".",","))*1</f>
        <v>16.3</v>
      </c>
      <c r="I338" s="118">
        <f>PER_WEB!EH147</f>
        <v>1</v>
      </c>
      <c r="J338" s="151"/>
    </row>
    <row r="339" spans="2:10" ht="16.5" hidden="1" customHeight="1" outlineLevel="1" thickBot="1" x14ac:dyDescent="0.3">
      <c r="B339" s="224" t="s">
        <v>573</v>
      </c>
      <c r="C339" s="101" t="s">
        <v>314</v>
      </c>
      <c r="D339" s="221">
        <v>11.9</v>
      </c>
      <c r="E339" s="118">
        <v>31</v>
      </c>
      <c r="F339" s="169"/>
      <c r="G339" s="103" t="str">
        <f>PER_WEB!EF148</f>
        <v>J.J. Barea, PG</v>
      </c>
      <c r="H339" s="161">
        <f>(SUBSTITUTE(PER_WEB!ET148,".",","))*1</f>
        <v>15.3</v>
      </c>
      <c r="I339" s="118">
        <f>PER_WEB!EH148</f>
        <v>0</v>
      </c>
      <c r="J339" s="151"/>
    </row>
    <row r="340" spans="2:10" ht="16.5" hidden="1" customHeight="1" outlineLevel="1" thickBot="1" x14ac:dyDescent="0.3">
      <c r="B340" s="224" t="s">
        <v>573</v>
      </c>
      <c r="C340" s="101" t="s">
        <v>315</v>
      </c>
      <c r="D340" s="220">
        <v>16.3</v>
      </c>
      <c r="E340" s="117">
        <v>69</v>
      </c>
      <c r="F340" s="169"/>
      <c r="G340" s="103" t="str">
        <f>PER_WEB!EF149</f>
        <v>Andrew Bogut, C</v>
      </c>
      <c r="H340" s="161">
        <f>(SUBSTITUTE(PER_WEB!ET149,".",","))*1</f>
        <v>13.8</v>
      </c>
      <c r="I340" s="118">
        <f>PER_WEB!EH149</f>
        <v>1</v>
      </c>
      <c r="J340" s="151"/>
    </row>
    <row r="341" spans="2:10" ht="16.5" hidden="1" customHeight="1" outlineLevel="1" thickBot="1" x14ac:dyDescent="0.3">
      <c r="B341" s="224" t="s">
        <v>573</v>
      </c>
      <c r="C341" s="101" t="s">
        <v>82</v>
      </c>
      <c r="D341" s="221">
        <v>24.1</v>
      </c>
      <c r="E341" s="118">
        <v>1</v>
      </c>
      <c r="F341" s="169"/>
      <c r="G341" s="103" t="str">
        <f>PER_WEB!EF150</f>
        <v>Justin Anderson, SG</v>
      </c>
      <c r="H341" s="161">
        <f>(SUBSTITUTE(PER_WEB!ET150,".",","))*1</f>
        <v>11</v>
      </c>
      <c r="I341" s="118">
        <f>PER_WEB!EH150</f>
        <v>0</v>
      </c>
      <c r="J341" s="151"/>
    </row>
    <row r="342" spans="2:10" ht="16.5" hidden="1" customHeight="1" outlineLevel="1" thickBot="1" x14ac:dyDescent="0.3">
      <c r="B342" s="224" t="s">
        <v>573</v>
      </c>
      <c r="C342" s="101" t="s">
        <v>316</v>
      </c>
      <c r="D342" s="220">
        <v>13.2</v>
      </c>
      <c r="E342" s="117">
        <v>0</v>
      </c>
      <c r="F342" s="169"/>
      <c r="G342" s="103" t="str">
        <f>PER_WEB!EF151</f>
        <v>Wesley Matthews, SG</v>
      </c>
      <c r="H342" s="161">
        <f>(SUBSTITUTE(PER_WEB!ET151,".",","))*1</f>
        <v>5.6</v>
      </c>
      <c r="I342" s="118">
        <f>PER_WEB!EH151</f>
        <v>1</v>
      </c>
      <c r="J342" s="151"/>
    </row>
    <row r="343" spans="2:10" ht="16.5" hidden="1" customHeight="1" outlineLevel="1" thickBot="1" x14ac:dyDescent="0.3">
      <c r="B343" s="224" t="s">
        <v>573</v>
      </c>
      <c r="C343" s="101" t="s">
        <v>317</v>
      </c>
      <c r="D343" s="221">
        <v>16.899999999999999</v>
      </c>
      <c r="E343" s="118">
        <v>2</v>
      </c>
      <c r="F343" s="169"/>
      <c r="G343" s="103" t="str">
        <f>PER_WEB!EF152</f>
        <v>Dwight Powell, PF</v>
      </c>
      <c r="H343" s="161">
        <f>(SUBSTITUTE(PER_WEB!ET152,".",","))*1</f>
        <v>5.3</v>
      </c>
      <c r="I343" s="118">
        <f>PER_WEB!EH152</f>
        <v>0</v>
      </c>
      <c r="J343" s="151"/>
    </row>
    <row r="344" spans="2:10" ht="16.5" hidden="1" customHeight="1" outlineLevel="1" thickBot="1" x14ac:dyDescent="0.3">
      <c r="B344" s="224" t="s">
        <v>573</v>
      </c>
      <c r="C344" s="101" t="s">
        <v>318</v>
      </c>
      <c r="D344" s="220">
        <v>12</v>
      </c>
      <c r="E344" s="117">
        <v>4</v>
      </c>
      <c r="F344" s="169"/>
      <c r="G344" s="103" t="str">
        <f>PER_WEB!EF153</f>
        <v>Dorian Finney-Smith, SF</v>
      </c>
      <c r="H344" s="161">
        <f>(SUBSTITUTE(PER_WEB!ET153,".",","))*1</f>
        <v>0</v>
      </c>
      <c r="I344" s="118">
        <f>PER_WEB!EH153</f>
        <v>0</v>
      </c>
      <c r="J344" s="151"/>
    </row>
    <row r="345" spans="2:10" ht="16.5" hidden="1" customHeight="1" outlineLevel="1" thickBot="1" x14ac:dyDescent="0.3">
      <c r="B345" s="224" t="s">
        <v>573</v>
      </c>
      <c r="C345" s="101" t="s">
        <v>319</v>
      </c>
      <c r="D345" s="221">
        <v>20</v>
      </c>
      <c r="E345" s="118">
        <v>2</v>
      </c>
      <c r="F345" s="169"/>
      <c r="G345" s="103" t="str">
        <f>PER_WEB!EF154</f>
        <v>Quincy Acy, SF</v>
      </c>
      <c r="H345" s="161">
        <f>(SUBSTITUTE(PER_WEB!ET154,".",","))*1</f>
        <v>-15.5</v>
      </c>
      <c r="I345" s="118">
        <f>PER_WEB!EH154</f>
        <v>0</v>
      </c>
      <c r="J345" s="151"/>
    </row>
    <row r="346" spans="2:10" ht="16.5" hidden="1" customHeight="1" outlineLevel="1" thickBot="1" x14ac:dyDescent="0.3">
      <c r="B346" s="224" t="s">
        <v>573</v>
      </c>
      <c r="C346" s="101" t="s">
        <v>320</v>
      </c>
      <c r="D346" s="220">
        <v>12.3</v>
      </c>
      <c r="E346" s="117">
        <v>9</v>
      </c>
      <c r="F346" s="169"/>
      <c r="G346" s="101"/>
      <c r="H346" s="161"/>
      <c r="I346" s="118"/>
      <c r="J346" s="151"/>
    </row>
    <row r="347" spans="2:10" ht="16.5" hidden="1" customHeight="1" outlineLevel="1" thickBot="1" x14ac:dyDescent="0.3">
      <c r="B347" s="224" t="s">
        <v>573</v>
      </c>
      <c r="C347" s="101" t="s">
        <v>321</v>
      </c>
      <c r="D347" s="221">
        <v>16.899999999999999</v>
      </c>
      <c r="E347" s="118">
        <v>6</v>
      </c>
      <c r="F347" s="169"/>
      <c r="G347" s="101"/>
      <c r="H347" s="161"/>
      <c r="I347" s="117"/>
      <c r="J347" s="151"/>
    </row>
    <row r="348" spans="2:10" ht="16.5" hidden="1" customHeight="1" outlineLevel="1" thickBot="1" x14ac:dyDescent="0.3">
      <c r="B348" s="224" t="s">
        <v>573</v>
      </c>
      <c r="C348" s="101" t="s">
        <v>322</v>
      </c>
      <c r="D348" s="220">
        <v>7.2</v>
      </c>
      <c r="E348" s="117">
        <v>1</v>
      </c>
      <c r="F348" s="169"/>
      <c r="G348" s="101"/>
      <c r="H348" s="161"/>
      <c r="I348" s="118"/>
      <c r="J348" s="151"/>
    </row>
    <row r="349" spans="2:10" ht="16.5" hidden="1" customHeight="1" outlineLevel="1" thickBot="1" x14ac:dyDescent="0.3">
      <c r="B349" s="224" t="s">
        <v>573</v>
      </c>
      <c r="C349" s="101" t="s">
        <v>323</v>
      </c>
      <c r="D349" s="221">
        <v>12.6</v>
      </c>
      <c r="E349" s="118">
        <v>2</v>
      </c>
      <c r="F349" s="169"/>
      <c r="G349" s="101"/>
      <c r="H349" s="162"/>
      <c r="I349" s="117"/>
      <c r="J349" s="151"/>
    </row>
    <row r="350" spans="2:10" ht="16.5" hidden="1" customHeight="1" outlineLevel="1" thickBot="1" x14ac:dyDescent="0.3">
      <c r="B350" s="224" t="s">
        <v>573</v>
      </c>
      <c r="C350" s="101"/>
      <c r="D350" s="150"/>
      <c r="E350" s="150"/>
      <c r="F350" s="169"/>
      <c r="G350" s="101"/>
      <c r="H350" s="161"/>
      <c r="I350" s="118"/>
      <c r="J350" s="151"/>
    </row>
    <row r="351" spans="2:10" ht="16.5" hidden="1" customHeight="1" outlineLevel="1" thickBot="1" x14ac:dyDescent="0.3">
      <c r="B351" s="224" t="s">
        <v>573</v>
      </c>
      <c r="C351" s="101"/>
      <c r="D351" s="150"/>
      <c r="E351" s="150"/>
      <c r="F351" s="169"/>
      <c r="G351" s="101"/>
      <c r="H351" s="162"/>
      <c r="I351" s="117"/>
      <c r="J351" s="151"/>
    </row>
    <row r="352" spans="2:10" ht="16.5" hidden="1" customHeight="1" outlineLevel="1" thickBot="1" x14ac:dyDescent="0.3">
      <c r="B352" s="229" t="s">
        <v>573</v>
      </c>
      <c r="C352" s="102"/>
      <c r="D352" s="150"/>
      <c r="E352" s="150"/>
      <c r="F352" s="169"/>
      <c r="G352" s="102"/>
      <c r="H352" s="161"/>
      <c r="I352" s="118"/>
      <c r="J352" s="151"/>
    </row>
    <row r="353" spans="2:17" ht="16.5" collapsed="1" thickBot="1" x14ac:dyDescent="0.3">
      <c r="B353" s="419" t="s">
        <v>15</v>
      </c>
      <c r="C353" s="420"/>
      <c r="G353" s="156"/>
      <c r="H353" s="162"/>
      <c r="I353" s="117"/>
      <c r="J353" s="151"/>
      <c r="Q353">
        <f>(LARGE(PER!H354:H373,1)+LARGE(PER!H354:H373,2))/2</f>
        <v>27.9</v>
      </c>
    </row>
    <row r="354" spans="2:17" ht="16.5" hidden="1" customHeight="1" outlineLevel="1" thickBot="1" x14ac:dyDescent="0.3">
      <c r="B354" s="228" t="s">
        <v>574</v>
      </c>
      <c r="C354" s="103" t="s">
        <v>324</v>
      </c>
      <c r="D354" s="220">
        <v>19</v>
      </c>
      <c r="E354" s="117">
        <v>53</v>
      </c>
      <c r="F354" s="169"/>
      <c r="G354" s="103" t="str">
        <f>PER_WEB!EU143</f>
        <v>Jusuf Nurkic, C</v>
      </c>
      <c r="H354" s="161">
        <f>(SUBSTITUTE(PER_WEB!FI143,".",","))*1</f>
        <v>35</v>
      </c>
      <c r="I354" s="118">
        <f>PER_WEB!EW143</f>
        <v>1</v>
      </c>
      <c r="J354" s="151"/>
    </row>
    <row r="355" spans="2:17" ht="16.5" hidden="1" customHeight="1" outlineLevel="1" thickBot="1" x14ac:dyDescent="0.3">
      <c r="B355" s="224" t="s">
        <v>574</v>
      </c>
      <c r="C355" s="101" t="s">
        <v>325</v>
      </c>
      <c r="D355" s="221">
        <v>16.100000000000001</v>
      </c>
      <c r="E355" s="118">
        <v>1</v>
      </c>
      <c r="F355" s="169"/>
      <c r="G355" s="103" t="str">
        <f>PER_WEB!EU144</f>
        <v>Will Barton, SF</v>
      </c>
      <c r="H355" s="161">
        <f>(SUBSTITUTE(PER_WEB!FI144,".",","))*1</f>
        <v>20.8</v>
      </c>
      <c r="I355" s="118">
        <f>PER_WEB!EW144</f>
        <v>1</v>
      </c>
      <c r="J355" s="151"/>
    </row>
    <row r="356" spans="2:17" ht="16.5" hidden="1" customHeight="1" outlineLevel="1" thickBot="1" x14ac:dyDescent="0.3">
      <c r="B356" s="224" t="s">
        <v>574</v>
      </c>
      <c r="C356" s="101" t="s">
        <v>326</v>
      </c>
      <c r="D356" s="220">
        <v>10</v>
      </c>
      <c r="E356" s="117">
        <v>66</v>
      </c>
      <c r="F356" s="169"/>
      <c r="G356" s="103" t="str">
        <f>PER_WEB!EU145</f>
        <v>Danilo Gallinari, SF</v>
      </c>
      <c r="H356" s="161">
        <f>(SUBSTITUTE(PER_WEB!FI145,".",","))*1</f>
        <v>14.2</v>
      </c>
      <c r="I356" s="118">
        <f>PER_WEB!EW145</f>
        <v>1</v>
      </c>
      <c r="J356" s="151"/>
    </row>
    <row r="357" spans="2:17" ht="16.5" hidden="1" customHeight="1" outlineLevel="1" thickBot="1" x14ac:dyDescent="0.3">
      <c r="B357" s="224" t="s">
        <v>574</v>
      </c>
      <c r="C357" s="101" t="s">
        <v>327</v>
      </c>
      <c r="D357" s="221">
        <v>21.1</v>
      </c>
      <c r="E357" s="118">
        <v>64</v>
      </c>
      <c r="F357" s="169"/>
      <c r="G357" s="103" t="str">
        <f>PER_WEB!EU146</f>
        <v>Kenneth Faried, PF</v>
      </c>
      <c r="H357" s="161">
        <f>(SUBSTITUTE(PER_WEB!FI146,".",","))*1</f>
        <v>12.7</v>
      </c>
      <c r="I357" s="118">
        <f>PER_WEB!EW146</f>
        <v>0</v>
      </c>
      <c r="J357" s="151"/>
    </row>
    <row r="358" spans="2:17" ht="16.5" hidden="1" customHeight="1" outlineLevel="1" thickBot="1" x14ac:dyDescent="0.3">
      <c r="B358" s="224" t="s">
        <v>574</v>
      </c>
      <c r="C358" s="101" t="s">
        <v>328</v>
      </c>
      <c r="D358" s="220">
        <v>12.8</v>
      </c>
      <c r="E358" s="117">
        <v>76</v>
      </c>
      <c r="F358" s="169"/>
      <c r="G358" s="103" t="str">
        <f>PER_WEB!EU147</f>
        <v>Jameer Nelson, PG</v>
      </c>
      <c r="H358" s="161">
        <f>(SUBSTITUTE(PER_WEB!FI147,".",","))*1</f>
        <v>7.4</v>
      </c>
      <c r="I358" s="118">
        <f>PER_WEB!EW147</f>
        <v>0</v>
      </c>
      <c r="J358" s="151"/>
    </row>
    <row r="359" spans="2:17" ht="16.5" hidden="1" customHeight="1" outlineLevel="1" thickBot="1" x14ac:dyDescent="0.3">
      <c r="B359" s="224" t="s">
        <v>574</v>
      </c>
      <c r="C359" s="101" t="s">
        <v>329</v>
      </c>
      <c r="D359" s="221">
        <v>18.100000000000001</v>
      </c>
      <c r="E359" s="118">
        <v>0</v>
      </c>
      <c r="F359" s="169"/>
      <c r="G359" s="103" t="str">
        <f>PER_WEB!EU148</f>
        <v>Wilson Chandler, SF</v>
      </c>
      <c r="H359" s="161">
        <f>(SUBSTITUTE(PER_WEB!FI148,".",","))*1</f>
        <v>2.8</v>
      </c>
      <c r="I359" s="118">
        <f>PER_WEB!EW148</f>
        <v>0</v>
      </c>
      <c r="J359" s="151"/>
    </row>
    <row r="360" spans="2:17" ht="16.5" hidden="1" customHeight="1" outlineLevel="1" thickBot="1" x14ac:dyDescent="0.3">
      <c r="B360" s="224" t="s">
        <v>574</v>
      </c>
      <c r="C360" s="101" t="s">
        <v>330</v>
      </c>
      <c r="D360" s="220">
        <v>21.6</v>
      </c>
      <c r="E360" s="117">
        <v>55</v>
      </c>
      <c r="F360" s="169"/>
      <c r="G360" s="103" t="str">
        <f>PER_WEB!EU149</f>
        <v>Emmanuel Mudiay, PG</v>
      </c>
      <c r="H360" s="161">
        <f>(SUBSTITUTE(PER_WEB!FI149,".",","))*1</f>
        <v>2.4</v>
      </c>
      <c r="I360" s="118">
        <f>PER_WEB!EW149</f>
        <v>1</v>
      </c>
      <c r="J360" s="151"/>
    </row>
    <row r="361" spans="2:17" ht="16.5" hidden="1" customHeight="1" outlineLevel="1" thickBot="1" x14ac:dyDescent="0.3">
      <c r="B361" s="224" t="s">
        <v>574</v>
      </c>
      <c r="C361" s="101" t="s">
        <v>331</v>
      </c>
      <c r="D361" s="221">
        <v>16</v>
      </c>
      <c r="E361" s="118">
        <v>3</v>
      </c>
      <c r="F361" s="169"/>
      <c r="G361" s="103" t="str">
        <f>PER_WEB!EU150</f>
        <v>Nikola Jokic, C</v>
      </c>
      <c r="H361" s="161">
        <f>(SUBSTITUTE(PER_WEB!FI150,".",","))*1</f>
        <v>0.3</v>
      </c>
      <c r="I361" s="118">
        <f>PER_WEB!EW150</f>
        <v>1</v>
      </c>
      <c r="J361" s="151"/>
    </row>
    <row r="362" spans="2:17" ht="16.5" hidden="1" customHeight="1" outlineLevel="1" thickBot="1" x14ac:dyDescent="0.3">
      <c r="B362" s="224" t="s">
        <v>574</v>
      </c>
      <c r="C362" s="101" t="s">
        <v>332</v>
      </c>
      <c r="D362" s="220">
        <v>15.8</v>
      </c>
      <c r="E362" s="117">
        <v>15</v>
      </c>
      <c r="F362" s="169"/>
      <c r="G362" s="103" t="str">
        <f>PER_WEB!EU151</f>
        <v>Juancho Hernangomez, PF</v>
      </c>
      <c r="H362" s="161">
        <f>(SUBSTITUTE(PER_WEB!FI151,".",","))*1</f>
        <v>0</v>
      </c>
      <c r="I362" s="118">
        <f>PER_WEB!EW151</f>
        <v>0</v>
      </c>
      <c r="J362" s="151"/>
    </row>
    <row r="363" spans="2:17" ht="16.5" hidden="1" customHeight="1" outlineLevel="1" thickBot="1" x14ac:dyDescent="0.3">
      <c r="B363" s="224" t="s">
        <v>574</v>
      </c>
      <c r="C363" s="101" t="s">
        <v>333</v>
      </c>
      <c r="D363" s="221">
        <v>9.5</v>
      </c>
      <c r="E363" s="118">
        <v>15</v>
      </c>
      <c r="F363" s="169"/>
      <c r="G363" s="103" t="str">
        <f>PER_WEB!EU152</f>
        <v>Jamal Murray, SG</v>
      </c>
      <c r="H363" s="161">
        <f>(SUBSTITUTE(PER_WEB!FI152,".",","))*1</f>
        <v>-1.5</v>
      </c>
      <c r="I363" s="118">
        <f>PER_WEB!EW152</f>
        <v>0</v>
      </c>
      <c r="J363" s="151"/>
    </row>
    <row r="364" spans="2:17" ht="16.5" hidden="1" customHeight="1" outlineLevel="1" thickBot="1" x14ac:dyDescent="0.3">
      <c r="B364" s="224" t="s">
        <v>574</v>
      </c>
      <c r="C364" s="101" t="s">
        <v>334</v>
      </c>
      <c r="D364" s="220">
        <v>12.5</v>
      </c>
      <c r="E364" s="117">
        <v>16</v>
      </c>
      <c r="F364" s="169"/>
      <c r="G364" s="101"/>
      <c r="H364" s="161"/>
      <c r="I364" s="118"/>
      <c r="J364" s="151"/>
    </row>
    <row r="365" spans="2:17" ht="16.5" hidden="1" customHeight="1" outlineLevel="1" thickBot="1" x14ac:dyDescent="0.3">
      <c r="B365" s="224" t="s">
        <v>574</v>
      </c>
      <c r="C365" s="101" t="s">
        <v>301</v>
      </c>
      <c r="D365" s="221">
        <v>15.9</v>
      </c>
      <c r="E365" s="118">
        <v>9</v>
      </c>
      <c r="F365" s="169"/>
      <c r="G365" s="101"/>
      <c r="H365" s="161"/>
      <c r="I365" s="117"/>
      <c r="J365" s="151"/>
    </row>
    <row r="366" spans="2:17" ht="16.5" hidden="1" customHeight="1" outlineLevel="1" thickBot="1" x14ac:dyDescent="0.3">
      <c r="B366" s="224" t="s">
        <v>574</v>
      </c>
      <c r="C366" s="101" t="s">
        <v>335</v>
      </c>
      <c r="D366" s="220">
        <v>7.8</v>
      </c>
      <c r="E366" s="117">
        <v>7</v>
      </c>
      <c r="F366" s="169"/>
      <c r="G366" s="101"/>
      <c r="H366" s="161"/>
      <c r="I366" s="118"/>
      <c r="J366" s="151"/>
    </row>
    <row r="367" spans="2:17" ht="16.5" hidden="1" customHeight="1" outlineLevel="1" thickBot="1" x14ac:dyDescent="0.3">
      <c r="B367" s="224" t="s">
        <v>574</v>
      </c>
      <c r="C367" s="101" t="s">
        <v>267</v>
      </c>
      <c r="D367" s="221">
        <v>9.3000000000000007</v>
      </c>
      <c r="E367" s="118">
        <v>22</v>
      </c>
      <c r="F367" s="169"/>
      <c r="G367" s="101"/>
      <c r="H367" s="161"/>
      <c r="I367" s="117"/>
      <c r="J367" s="151"/>
    </row>
    <row r="368" spans="2:17" ht="16.5" hidden="1" customHeight="1" outlineLevel="1" thickBot="1" x14ac:dyDescent="0.3">
      <c r="B368" s="224" t="s">
        <v>574</v>
      </c>
      <c r="C368" s="101" t="s">
        <v>336</v>
      </c>
      <c r="D368" s="220">
        <v>7.2</v>
      </c>
      <c r="E368" s="117">
        <v>0</v>
      </c>
      <c r="F368" s="169"/>
      <c r="G368" s="101"/>
      <c r="H368" s="160"/>
      <c r="I368" s="118"/>
      <c r="J368" s="151"/>
    </row>
    <row r="369" spans="2:17" ht="16.5" hidden="1" customHeight="1" outlineLevel="1" thickBot="1" x14ac:dyDescent="0.3">
      <c r="B369" s="224" t="s">
        <v>574</v>
      </c>
      <c r="C369" s="101" t="s">
        <v>92</v>
      </c>
      <c r="D369" s="221">
        <v>8</v>
      </c>
      <c r="E369" s="118">
        <v>0</v>
      </c>
      <c r="F369" s="169"/>
      <c r="G369" s="101"/>
      <c r="H369" s="159"/>
      <c r="I369" s="117"/>
      <c r="J369" s="151"/>
    </row>
    <row r="370" spans="2:17" ht="16.5" hidden="1" customHeight="1" outlineLevel="1" thickBot="1" x14ac:dyDescent="0.3">
      <c r="B370" s="224" t="s">
        <v>574</v>
      </c>
      <c r="C370" s="101" t="s">
        <v>337</v>
      </c>
      <c r="D370" s="220">
        <v>6</v>
      </c>
      <c r="E370" s="117">
        <v>6</v>
      </c>
      <c r="F370" s="169"/>
      <c r="G370" s="101"/>
      <c r="H370" s="161"/>
      <c r="I370" s="118"/>
      <c r="J370" s="151"/>
    </row>
    <row r="371" spans="2:17" ht="16.5" hidden="1" customHeight="1" outlineLevel="1" thickBot="1" x14ac:dyDescent="0.3">
      <c r="B371" s="224" t="s">
        <v>574</v>
      </c>
      <c r="C371" s="101" t="s">
        <v>338</v>
      </c>
      <c r="D371" s="221">
        <v>6.5</v>
      </c>
      <c r="E371" s="118">
        <v>2</v>
      </c>
      <c r="F371" s="169"/>
      <c r="G371" s="101"/>
      <c r="H371" s="162"/>
      <c r="I371" s="117"/>
      <c r="J371" s="151"/>
    </row>
    <row r="372" spans="2:17" ht="16.5" hidden="1" customHeight="1" outlineLevel="1" thickBot="1" x14ac:dyDescent="0.3">
      <c r="B372" s="224" t="s">
        <v>574</v>
      </c>
      <c r="C372" s="101" t="s">
        <v>339</v>
      </c>
      <c r="D372" s="220"/>
      <c r="E372" s="117">
        <v>0</v>
      </c>
      <c r="F372" s="169"/>
      <c r="G372" s="101"/>
      <c r="H372" s="161"/>
      <c r="I372" s="118"/>
      <c r="J372" s="151"/>
    </row>
    <row r="373" spans="2:17" ht="16.5" hidden="1" customHeight="1" outlineLevel="1" thickBot="1" x14ac:dyDescent="0.3">
      <c r="B373" s="229" t="s">
        <v>574</v>
      </c>
      <c r="C373" s="102"/>
      <c r="D373" s="150"/>
      <c r="E373" s="150"/>
      <c r="F373" s="169"/>
      <c r="G373" s="102"/>
      <c r="H373" s="162"/>
      <c r="I373" s="117"/>
      <c r="J373" s="151"/>
    </row>
    <row r="374" spans="2:17" ht="16.5" collapsed="1" thickBot="1" x14ac:dyDescent="0.3">
      <c r="B374" s="419" t="s">
        <v>16</v>
      </c>
      <c r="C374" s="420"/>
      <c r="G374" s="156"/>
      <c r="H374" s="225"/>
      <c r="I374" s="170"/>
      <c r="J374" s="151"/>
      <c r="Q374">
        <f>(LARGE(PER!H375:H392,1)+LARGE(PER!H375:H392,2))/2</f>
        <v>30.6</v>
      </c>
    </row>
    <row r="375" spans="2:17" ht="16.5" hidden="1" customHeight="1" outlineLevel="1" thickBot="1" x14ac:dyDescent="0.3">
      <c r="B375" s="228" t="s">
        <v>575</v>
      </c>
      <c r="C375" s="103" t="s">
        <v>340</v>
      </c>
      <c r="D375" s="220">
        <v>31.6</v>
      </c>
      <c r="E375" s="117">
        <v>79</v>
      </c>
      <c r="F375" s="169"/>
      <c r="G375" s="103" t="str">
        <f>PER_WEB!P143</f>
        <v>Kevin Durant, SF</v>
      </c>
      <c r="H375" s="162">
        <f>(SUBSTITUTE(PER_WEB!AD143,".",","))*1</f>
        <v>30.8</v>
      </c>
      <c r="I375" s="117">
        <f>PER_WEB!R143</f>
        <v>1</v>
      </c>
      <c r="J375" s="151"/>
    </row>
    <row r="376" spans="2:17" ht="16.5" hidden="1" customHeight="1" outlineLevel="1" thickBot="1" x14ac:dyDescent="0.3">
      <c r="B376" s="224" t="s">
        <v>575</v>
      </c>
      <c r="C376" s="101" t="s">
        <v>341</v>
      </c>
      <c r="D376" s="221">
        <v>18.7</v>
      </c>
      <c r="E376" s="118">
        <v>80</v>
      </c>
      <c r="F376" s="169"/>
      <c r="G376" s="103" t="str">
        <f>PER_WEB!P144</f>
        <v>Draymond Green, PF</v>
      </c>
      <c r="H376" s="162">
        <f>(SUBSTITUTE(PER_WEB!AD144,".",","))*1</f>
        <v>30.4</v>
      </c>
      <c r="I376" s="117">
        <f>PER_WEB!R144</f>
        <v>1</v>
      </c>
      <c r="J376" s="151"/>
    </row>
    <row r="377" spans="2:17" ht="16.5" hidden="1" customHeight="1" outlineLevel="1" thickBot="1" x14ac:dyDescent="0.3">
      <c r="B377" s="224" t="s">
        <v>575</v>
      </c>
      <c r="C377" s="101" t="s">
        <v>342</v>
      </c>
      <c r="D377" s="220">
        <v>19.3</v>
      </c>
      <c r="E377" s="117">
        <v>81</v>
      </c>
      <c r="F377" s="169"/>
      <c r="G377" s="103" t="str">
        <f>PER_WEB!P145</f>
        <v>Stephen Curry, PG</v>
      </c>
      <c r="H377" s="162">
        <f>(SUBSTITUTE(PER_WEB!AD145,".",","))*1</f>
        <v>17.899999999999999</v>
      </c>
      <c r="I377" s="117">
        <f>PER_WEB!R145</f>
        <v>1</v>
      </c>
      <c r="J377" s="151"/>
    </row>
    <row r="378" spans="2:17" ht="16.5" hidden="1" customHeight="1" outlineLevel="1" thickBot="1" x14ac:dyDescent="0.3">
      <c r="B378" s="224" t="s">
        <v>575</v>
      </c>
      <c r="C378" s="101" t="s">
        <v>343</v>
      </c>
      <c r="D378" s="221">
        <v>12.3</v>
      </c>
      <c r="E378" s="118">
        <v>59</v>
      </c>
      <c r="F378" s="169"/>
      <c r="G378" s="103" t="str">
        <f>PER_WEB!P146</f>
        <v>Patrick McCaw, PG</v>
      </c>
      <c r="H378" s="162">
        <f>(SUBSTITUTE(PER_WEB!AD146,".",","))*1</f>
        <v>16.399999999999999</v>
      </c>
      <c r="I378" s="117">
        <f>PER_WEB!R146</f>
        <v>0</v>
      </c>
      <c r="J378" s="151"/>
    </row>
    <row r="379" spans="2:17" ht="16.5" hidden="1" customHeight="1" outlineLevel="1" thickBot="1" x14ac:dyDescent="0.3">
      <c r="B379" s="224" t="s">
        <v>575</v>
      </c>
      <c r="C379" s="101" t="s">
        <v>344</v>
      </c>
      <c r="D379" s="220">
        <v>17.2</v>
      </c>
      <c r="E379" s="117">
        <v>0</v>
      </c>
      <c r="F379" s="169"/>
      <c r="G379" s="103" t="str">
        <f>PER_WEB!P147</f>
        <v>JaVale McGee, C</v>
      </c>
      <c r="H379" s="162">
        <f>(SUBSTITUTE(PER_WEB!AD147,".",","))*1</f>
        <v>4.9000000000000004</v>
      </c>
      <c r="I379" s="117">
        <f>PER_WEB!R147</f>
        <v>0</v>
      </c>
      <c r="J379" s="151"/>
    </row>
    <row r="380" spans="2:17" ht="16.5" hidden="1" customHeight="1" outlineLevel="1" thickBot="1" x14ac:dyDescent="0.3">
      <c r="B380" s="224" t="s">
        <v>575</v>
      </c>
      <c r="C380" s="101" t="s">
        <v>345</v>
      </c>
      <c r="D380" s="221">
        <v>12.2</v>
      </c>
      <c r="E380" s="118">
        <v>1</v>
      </c>
      <c r="F380" s="169"/>
      <c r="G380" s="103" t="str">
        <f>PER_WEB!P148</f>
        <v>Ian Clark, SG</v>
      </c>
      <c r="H380" s="162">
        <f>(SUBSTITUTE(PER_WEB!AD148,".",","))*1</f>
        <v>3.8</v>
      </c>
      <c r="I380" s="117">
        <f>PER_WEB!R148</f>
        <v>0</v>
      </c>
      <c r="J380" s="151"/>
    </row>
    <row r="381" spans="2:17" ht="16.5" hidden="1" customHeight="1" outlineLevel="1" thickBot="1" x14ac:dyDescent="0.3">
      <c r="B381" s="224" t="s">
        <v>575</v>
      </c>
      <c r="C381" s="101" t="s">
        <v>346</v>
      </c>
      <c r="D381" s="220">
        <v>17.8</v>
      </c>
      <c r="E381" s="117">
        <v>13</v>
      </c>
      <c r="F381" s="169"/>
      <c r="G381" s="103" t="str">
        <f>PER_WEB!P149</f>
        <v>Andre Iguodala, SF</v>
      </c>
      <c r="H381" s="162">
        <f>(SUBSTITUTE(PER_WEB!AD149,".",","))*1</f>
        <v>3.3</v>
      </c>
      <c r="I381" s="117">
        <f>PER_WEB!R149</f>
        <v>0</v>
      </c>
      <c r="J381" s="151"/>
    </row>
    <row r="382" spans="2:17" ht="16.5" hidden="1" customHeight="1" outlineLevel="1" thickBot="1" x14ac:dyDescent="0.3">
      <c r="B382" s="224" t="s">
        <v>575</v>
      </c>
      <c r="C382" s="101" t="s">
        <v>347</v>
      </c>
      <c r="D382" s="221">
        <v>11.8</v>
      </c>
      <c r="E382" s="118">
        <v>0</v>
      </c>
      <c r="F382" s="169"/>
      <c r="G382" s="103" t="str">
        <f>PER_WEB!P150</f>
        <v>Klay Thompson, SG</v>
      </c>
      <c r="H382" s="162">
        <f>(SUBSTITUTE(PER_WEB!AD150,".",","))*1</f>
        <v>2.5</v>
      </c>
      <c r="I382" s="117">
        <f>PER_WEB!R150</f>
        <v>1</v>
      </c>
      <c r="J382" s="151"/>
    </row>
    <row r="383" spans="2:17" ht="16.5" hidden="1" customHeight="1" outlineLevel="1" thickBot="1" x14ac:dyDescent="0.3">
      <c r="B383" s="224" t="s">
        <v>575</v>
      </c>
      <c r="C383" s="101" t="s">
        <v>348</v>
      </c>
      <c r="D383" s="220">
        <v>13.9</v>
      </c>
      <c r="E383" s="117">
        <v>3</v>
      </c>
      <c r="F383" s="169"/>
      <c r="G383" s="103" t="str">
        <f>PER_WEB!P151</f>
        <v>Shaun Livingston, PG</v>
      </c>
      <c r="H383" s="162">
        <f>(SUBSTITUTE(PER_WEB!AD151,".",","))*1</f>
        <v>2.1</v>
      </c>
      <c r="I383" s="117">
        <f>PER_WEB!R151</f>
        <v>0</v>
      </c>
      <c r="J383" s="151"/>
    </row>
    <row r="384" spans="2:17" ht="16.5" hidden="1" customHeight="1" outlineLevel="1" thickBot="1" x14ac:dyDescent="0.3">
      <c r="B384" s="224" t="s">
        <v>575</v>
      </c>
      <c r="C384" s="101" t="s">
        <v>349</v>
      </c>
      <c r="D384" s="221">
        <v>15.9</v>
      </c>
      <c r="E384" s="118">
        <v>66</v>
      </c>
      <c r="F384" s="169"/>
      <c r="G384" s="103" t="str">
        <f>PER_WEB!P152</f>
        <v>Kevon Looney, SF</v>
      </c>
      <c r="H384" s="162">
        <f>(SUBSTITUTE(PER_WEB!AD152,".",","))*1</f>
        <v>0</v>
      </c>
      <c r="I384" s="117">
        <f>PER_WEB!R152</f>
        <v>0</v>
      </c>
      <c r="J384" s="151"/>
    </row>
    <row r="385" spans="2:17" ht="16.5" hidden="1" customHeight="1" outlineLevel="1" thickBot="1" x14ac:dyDescent="0.3">
      <c r="B385" s="224" t="s">
        <v>575</v>
      </c>
      <c r="C385" s="101" t="s">
        <v>350</v>
      </c>
      <c r="D385" s="220">
        <v>10.1</v>
      </c>
      <c r="E385" s="117">
        <v>25</v>
      </c>
      <c r="F385" s="169"/>
      <c r="G385" s="103" t="str">
        <f>PER_WEB!P153</f>
        <v>Zaza Pachulia, C</v>
      </c>
      <c r="H385" s="162">
        <f>(SUBSTITUTE(PER_WEB!AD153,".",","))*1</f>
        <v>-0.8</v>
      </c>
      <c r="I385" s="117">
        <f>PER_WEB!R153</f>
        <v>1</v>
      </c>
      <c r="J385" s="151"/>
    </row>
    <row r="386" spans="2:17" ht="16.5" hidden="1" customHeight="1" outlineLevel="1" thickBot="1" x14ac:dyDescent="0.3">
      <c r="B386" s="224" t="s">
        <v>575</v>
      </c>
      <c r="C386" s="101" t="s">
        <v>351</v>
      </c>
      <c r="D386" s="221">
        <v>11.6</v>
      </c>
      <c r="E386" s="118">
        <v>1</v>
      </c>
      <c r="F386" s="169"/>
      <c r="G386" s="103" t="str">
        <f>PER_WEB!P154</f>
        <v>David West, PF</v>
      </c>
      <c r="H386" s="162">
        <f>(SUBSTITUTE(PER_WEB!AD154,".",","))*1</f>
        <v>-5.3</v>
      </c>
      <c r="I386" s="117">
        <f>PER_WEB!R154</f>
        <v>0</v>
      </c>
      <c r="J386" s="151"/>
    </row>
    <row r="387" spans="2:17" ht="16.5" hidden="1" customHeight="1" outlineLevel="1" thickBot="1" x14ac:dyDescent="0.3">
      <c r="B387" s="224" t="s">
        <v>575</v>
      </c>
      <c r="C387" s="101" t="s">
        <v>352</v>
      </c>
      <c r="D387" s="220">
        <v>16</v>
      </c>
      <c r="E387" s="117">
        <v>1</v>
      </c>
      <c r="F387" s="169"/>
      <c r="G387" s="103" t="str">
        <f>PER_WEB!P155</f>
        <v>Anderson Varejao, C</v>
      </c>
      <c r="H387" s="162">
        <f>(SUBSTITUTE(PER_WEB!AD155,".",","))*1</f>
        <v>-9.8000000000000007</v>
      </c>
      <c r="I387" s="117">
        <f>PER_WEB!R155</f>
        <v>0</v>
      </c>
      <c r="J387" s="151"/>
    </row>
    <row r="388" spans="2:17" ht="16.5" hidden="1" customHeight="1" outlineLevel="1" thickBot="1" x14ac:dyDescent="0.3">
      <c r="B388" s="224" t="s">
        <v>575</v>
      </c>
      <c r="C388" s="101" t="s">
        <v>153</v>
      </c>
      <c r="D388" s="221">
        <v>11</v>
      </c>
      <c r="E388" s="118">
        <v>0</v>
      </c>
      <c r="F388" s="169"/>
      <c r="G388" s="101"/>
      <c r="H388" s="162"/>
      <c r="I388" s="118"/>
      <c r="J388" s="151"/>
    </row>
    <row r="389" spans="2:17" ht="16.5" hidden="1" customHeight="1" outlineLevel="1" thickBot="1" x14ac:dyDescent="0.3">
      <c r="B389" s="224" t="s">
        <v>575</v>
      </c>
      <c r="C389" s="101" t="s">
        <v>284</v>
      </c>
      <c r="D389" s="220">
        <v>13.4</v>
      </c>
      <c r="E389" s="117">
        <v>1</v>
      </c>
      <c r="F389" s="169"/>
      <c r="G389" s="101"/>
      <c r="H389" s="162"/>
      <c r="I389" s="117"/>
      <c r="J389" s="151"/>
    </row>
    <row r="390" spans="2:17" ht="16.5" hidden="1" customHeight="1" outlineLevel="1" thickBot="1" x14ac:dyDescent="0.3">
      <c r="B390" s="224" t="s">
        <v>575</v>
      </c>
      <c r="C390" s="101" t="s">
        <v>353</v>
      </c>
      <c r="D390" s="221">
        <v>18.7</v>
      </c>
      <c r="E390" s="118">
        <v>0</v>
      </c>
      <c r="F390" s="169"/>
      <c r="G390" s="101"/>
      <c r="H390" s="161"/>
      <c r="I390" s="118"/>
      <c r="J390" s="151"/>
    </row>
    <row r="391" spans="2:17" ht="16.5" hidden="1" customHeight="1" outlineLevel="1" thickBot="1" x14ac:dyDescent="0.3">
      <c r="B391" s="224" t="s">
        <v>575</v>
      </c>
      <c r="C391" s="101"/>
      <c r="D391" s="150"/>
      <c r="E391" s="150"/>
      <c r="F391" s="169"/>
      <c r="G391" s="101"/>
      <c r="H391" s="162"/>
      <c r="I391" s="117"/>
      <c r="J391" s="151"/>
    </row>
    <row r="392" spans="2:17" ht="16.5" hidden="1" customHeight="1" outlineLevel="1" thickBot="1" x14ac:dyDescent="0.3">
      <c r="B392" s="229" t="s">
        <v>575</v>
      </c>
      <c r="C392" s="102"/>
      <c r="D392" s="150"/>
      <c r="E392" s="150"/>
      <c r="F392" s="169"/>
      <c r="G392" s="102"/>
      <c r="H392" s="161"/>
      <c r="I392" s="118"/>
      <c r="J392" s="151"/>
    </row>
    <row r="393" spans="2:17" ht="16.5" collapsed="1" thickBot="1" x14ac:dyDescent="0.3">
      <c r="B393" s="419" t="s">
        <v>17</v>
      </c>
      <c r="C393" s="420"/>
      <c r="G393" s="156"/>
      <c r="H393" s="162"/>
      <c r="I393" s="117"/>
      <c r="J393" s="151"/>
      <c r="Q393">
        <f>(LARGE(PER!H394:H413,1)+LARGE(PER!H394:H413,2))/2</f>
        <v>36.400000000000006</v>
      </c>
    </row>
    <row r="394" spans="2:17" ht="16.5" hidden="1" customHeight="1" outlineLevel="1" thickBot="1" x14ac:dyDescent="0.3">
      <c r="B394" s="228" t="s">
        <v>576</v>
      </c>
      <c r="C394" s="103" t="s">
        <v>354</v>
      </c>
      <c r="D394" s="220">
        <v>25.4</v>
      </c>
      <c r="E394" s="117">
        <v>82</v>
      </c>
      <c r="F394" s="169"/>
      <c r="G394" s="103" t="str">
        <f>PER_WEB!FY143</f>
        <v>K.J. McDaniels, SG</v>
      </c>
      <c r="H394" s="161">
        <f>(SUBSTITUTE(PER_WEB!GM143,".",","))*1</f>
        <v>37.6</v>
      </c>
      <c r="I394" s="118">
        <f>PER_WEB!GA143</f>
        <v>0</v>
      </c>
      <c r="J394" s="151"/>
    </row>
    <row r="395" spans="2:17" ht="16.5" hidden="1" customHeight="1" outlineLevel="1" thickBot="1" x14ac:dyDescent="0.3">
      <c r="B395" s="224" t="s">
        <v>576</v>
      </c>
      <c r="C395" s="101" t="s">
        <v>355</v>
      </c>
      <c r="D395" s="221">
        <v>19</v>
      </c>
      <c r="E395" s="118">
        <v>71</v>
      </c>
      <c r="F395" s="169"/>
      <c r="G395" s="103" t="str">
        <f>PER_WEB!FY144</f>
        <v>James Harden, SG</v>
      </c>
      <c r="H395" s="161">
        <f>(SUBSTITUTE(PER_WEB!GM144,".",","))*1</f>
        <v>35.200000000000003</v>
      </c>
      <c r="I395" s="118">
        <f>PER_WEB!GA144</f>
        <v>1</v>
      </c>
      <c r="J395" s="151"/>
    </row>
    <row r="396" spans="2:17" ht="16.5" hidden="1" customHeight="1" outlineLevel="1" thickBot="1" x14ac:dyDescent="0.3">
      <c r="B396" s="224" t="s">
        <v>576</v>
      </c>
      <c r="C396" s="101" t="s">
        <v>356</v>
      </c>
      <c r="D396" s="220">
        <v>22.6</v>
      </c>
      <c r="E396" s="117">
        <v>0</v>
      </c>
      <c r="F396" s="169"/>
      <c r="G396" s="103" t="str">
        <f>PER_WEB!FY145</f>
        <v>Clint Capela, C</v>
      </c>
      <c r="H396" s="161">
        <f>(SUBSTITUTE(PER_WEB!GM145,".",","))*1</f>
        <v>23.9</v>
      </c>
      <c r="I396" s="118">
        <f>PER_WEB!GA145</f>
        <v>1</v>
      </c>
      <c r="J396" s="151"/>
    </row>
    <row r="397" spans="2:17" ht="16.5" hidden="1" customHeight="1" outlineLevel="1" thickBot="1" x14ac:dyDescent="0.3">
      <c r="B397" s="224" t="s">
        <v>576</v>
      </c>
      <c r="C397" s="101" t="s">
        <v>357</v>
      </c>
      <c r="D397" s="221">
        <v>13</v>
      </c>
      <c r="E397" s="118">
        <v>81</v>
      </c>
      <c r="F397" s="169"/>
      <c r="G397" s="103" t="str">
        <f>PER_WEB!FY146</f>
        <v>Eric Gordon, SG</v>
      </c>
      <c r="H397" s="161">
        <f>(SUBSTITUTE(PER_WEB!GM146,".",","))*1</f>
        <v>14.1</v>
      </c>
      <c r="I397" s="118">
        <f>PER_WEB!GA146</f>
        <v>1</v>
      </c>
      <c r="J397" s="151"/>
    </row>
    <row r="398" spans="2:17" ht="16.5" hidden="1" customHeight="1" outlineLevel="1" thickBot="1" x14ac:dyDescent="0.3">
      <c r="B398" s="224" t="s">
        <v>576</v>
      </c>
      <c r="C398" s="101" t="s">
        <v>297</v>
      </c>
      <c r="D398" s="220">
        <v>14.6</v>
      </c>
      <c r="E398" s="117">
        <v>6</v>
      </c>
      <c r="F398" s="169"/>
      <c r="G398" s="103" t="str">
        <f>PER_WEB!FY147</f>
        <v>Ryan Anderson, PF</v>
      </c>
      <c r="H398" s="161">
        <f>(SUBSTITUTE(PER_WEB!GM147,".",","))*1</f>
        <v>12.6</v>
      </c>
      <c r="I398" s="118">
        <f>PER_WEB!GA147</f>
        <v>1</v>
      </c>
      <c r="J398" s="151"/>
    </row>
    <row r="399" spans="2:17" ht="16.5" hidden="1" customHeight="1" outlineLevel="1" thickBot="1" x14ac:dyDescent="0.3">
      <c r="B399" s="224" t="s">
        <v>576</v>
      </c>
      <c r="C399" s="101" t="s">
        <v>358</v>
      </c>
      <c r="D399" s="221">
        <v>13.1</v>
      </c>
      <c r="E399" s="118">
        <v>63</v>
      </c>
      <c r="F399" s="169"/>
      <c r="G399" s="103" t="str">
        <f>PER_WEB!FY148</f>
        <v>Nene Hilario, C</v>
      </c>
      <c r="H399" s="161">
        <f>(SUBSTITUTE(PER_WEB!GM148,".",","))*1</f>
        <v>12.4</v>
      </c>
      <c r="I399" s="118">
        <f>PER_WEB!GA148</f>
        <v>0</v>
      </c>
      <c r="J399" s="151"/>
    </row>
    <row r="400" spans="2:17" ht="16.5" hidden="1" customHeight="1" outlineLevel="1" thickBot="1" x14ac:dyDescent="0.3">
      <c r="B400" s="224" t="s">
        <v>576</v>
      </c>
      <c r="C400" s="101" t="s">
        <v>359</v>
      </c>
      <c r="D400" s="220">
        <v>13.6</v>
      </c>
      <c r="E400" s="117">
        <v>11</v>
      </c>
      <c r="F400" s="169"/>
      <c r="G400" s="103" t="str">
        <f>PER_WEB!FY149</f>
        <v>Sam Dekker, SF</v>
      </c>
      <c r="H400" s="161">
        <f>(SUBSTITUTE(PER_WEB!GM149,".",","))*1</f>
        <v>10.4</v>
      </c>
      <c r="I400" s="118">
        <f>PER_WEB!GA149</f>
        <v>0</v>
      </c>
      <c r="J400" s="151"/>
    </row>
    <row r="401" spans="2:17" ht="16.5" hidden="1" customHeight="1" outlineLevel="1" thickBot="1" x14ac:dyDescent="0.3">
      <c r="B401" s="224" t="s">
        <v>576</v>
      </c>
      <c r="C401" s="101" t="s">
        <v>360</v>
      </c>
      <c r="D401" s="221">
        <v>10</v>
      </c>
      <c r="E401" s="118">
        <v>12</v>
      </c>
      <c r="F401" s="169"/>
      <c r="G401" s="103" t="str">
        <f>PER_WEB!FY150</f>
        <v>Trevor Ariza, SF</v>
      </c>
      <c r="H401" s="161">
        <f>(SUBSTITUTE(PER_WEB!GM150,".",","))*1</f>
        <v>5.4</v>
      </c>
      <c r="I401" s="118">
        <f>PER_WEB!GA150</f>
        <v>1</v>
      </c>
      <c r="J401" s="151"/>
    </row>
    <row r="402" spans="2:17" ht="16.5" hidden="1" customHeight="1" outlineLevel="1" thickBot="1" x14ac:dyDescent="0.3">
      <c r="B402" s="224" t="s">
        <v>576</v>
      </c>
      <c r="C402" s="101" t="s">
        <v>361</v>
      </c>
      <c r="D402" s="220">
        <v>18.3</v>
      </c>
      <c r="E402" s="117">
        <v>35</v>
      </c>
      <c r="F402" s="169"/>
      <c r="G402" s="103" t="str">
        <f>PER_WEB!FY151</f>
        <v>Corey Brewer, SF</v>
      </c>
      <c r="H402" s="161">
        <f>(SUBSTITUTE(PER_WEB!GM151,".",","))*1</f>
        <v>3.7</v>
      </c>
      <c r="I402" s="118">
        <f>PER_WEB!GA151</f>
        <v>0</v>
      </c>
      <c r="J402" s="151"/>
    </row>
    <row r="403" spans="2:17" ht="16.5" hidden="1" customHeight="1" outlineLevel="1" thickBot="1" x14ac:dyDescent="0.3">
      <c r="B403" s="224" t="s">
        <v>576</v>
      </c>
      <c r="C403" s="101" t="s">
        <v>362</v>
      </c>
      <c r="D403" s="221">
        <v>7.8</v>
      </c>
      <c r="E403" s="118">
        <v>6</v>
      </c>
      <c r="F403" s="169"/>
      <c r="G403" s="103" t="str">
        <f>PER_WEB!FY152</f>
        <v>Tyler Ennis, PG</v>
      </c>
      <c r="H403" s="161">
        <f>(SUBSTITUTE(PER_WEB!GM152,".",","))*1</f>
        <v>-4.9000000000000004</v>
      </c>
      <c r="I403" s="118">
        <f>PER_WEB!GA152</f>
        <v>0</v>
      </c>
      <c r="J403" s="151"/>
    </row>
    <row r="404" spans="2:17" ht="16.5" hidden="1" customHeight="1" outlineLevel="1" thickBot="1" x14ac:dyDescent="0.3">
      <c r="B404" s="224" t="s">
        <v>576</v>
      </c>
      <c r="C404" s="101" t="s">
        <v>363</v>
      </c>
      <c r="D404" s="220">
        <v>11.3</v>
      </c>
      <c r="E404" s="117">
        <v>22</v>
      </c>
      <c r="F404" s="169"/>
      <c r="G404" s="101"/>
      <c r="H404" s="161"/>
      <c r="I404" s="118"/>
      <c r="J404" s="151"/>
    </row>
    <row r="405" spans="2:17" ht="16.5" hidden="1" customHeight="1" outlineLevel="1" thickBot="1" x14ac:dyDescent="0.3">
      <c r="B405" s="224" t="s">
        <v>576</v>
      </c>
      <c r="C405" s="101" t="s">
        <v>364</v>
      </c>
      <c r="D405" s="221">
        <v>10.199999999999999</v>
      </c>
      <c r="E405" s="118">
        <v>7</v>
      </c>
      <c r="F405" s="169"/>
      <c r="G405" s="101"/>
      <c r="H405" s="161"/>
      <c r="I405" s="117"/>
      <c r="J405" s="151"/>
    </row>
    <row r="406" spans="2:17" ht="16.5" hidden="1" customHeight="1" outlineLevel="1" thickBot="1" x14ac:dyDescent="0.3">
      <c r="B406" s="224" t="s">
        <v>576</v>
      </c>
      <c r="C406" s="101" t="s">
        <v>183</v>
      </c>
      <c r="D406" s="220">
        <v>8.9</v>
      </c>
      <c r="E406" s="117">
        <v>12</v>
      </c>
      <c r="F406" s="169"/>
      <c r="G406" s="101"/>
      <c r="H406" s="161"/>
      <c r="I406" s="118"/>
      <c r="J406" s="151"/>
    </row>
    <row r="407" spans="2:17" ht="16.5" hidden="1" customHeight="1" outlineLevel="1" thickBot="1" x14ac:dyDescent="0.3">
      <c r="B407" s="224" t="s">
        <v>576</v>
      </c>
      <c r="C407" s="101" t="s">
        <v>365</v>
      </c>
      <c r="D407" s="221">
        <v>14.6</v>
      </c>
      <c r="E407" s="118">
        <v>1</v>
      </c>
      <c r="F407" s="169"/>
      <c r="G407" s="101"/>
      <c r="H407" s="162"/>
      <c r="I407" s="117"/>
      <c r="J407" s="151"/>
    </row>
    <row r="408" spans="2:17" ht="16.5" hidden="1" customHeight="1" outlineLevel="1" thickBot="1" x14ac:dyDescent="0.3">
      <c r="B408" s="224" t="s">
        <v>576</v>
      </c>
      <c r="C408" s="101" t="s">
        <v>366</v>
      </c>
      <c r="D408" s="220">
        <v>12.4</v>
      </c>
      <c r="E408" s="117">
        <v>0</v>
      </c>
      <c r="F408" s="169"/>
      <c r="G408" s="101"/>
      <c r="H408" s="161"/>
      <c r="I408" s="118"/>
      <c r="J408" s="151"/>
    </row>
    <row r="409" spans="2:17" ht="16.5" hidden="1" customHeight="1" outlineLevel="1" thickBot="1" x14ac:dyDescent="0.3">
      <c r="B409" s="224" t="s">
        <v>576</v>
      </c>
      <c r="C409" s="101" t="s">
        <v>367</v>
      </c>
      <c r="D409" s="221">
        <v>10.7</v>
      </c>
      <c r="E409" s="118">
        <v>1</v>
      </c>
      <c r="F409" s="169"/>
      <c r="G409" s="101"/>
      <c r="H409" s="162"/>
      <c r="I409" s="117"/>
      <c r="J409" s="151"/>
    </row>
    <row r="410" spans="2:17" ht="16.5" hidden="1" customHeight="1" outlineLevel="1" thickBot="1" x14ac:dyDescent="0.3">
      <c r="B410" s="224" t="s">
        <v>576</v>
      </c>
      <c r="C410" s="101" t="s">
        <v>368</v>
      </c>
      <c r="D410" s="220"/>
      <c r="E410" s="117">
        <v>0</v>
      </c>
      <c r="F410" s="169"/>
      <c r="G410" s="101"/>
      <c r="H410" s="161"/>
      <c r="I410" s="118"/>
      <c r="J410" s="151"/>
    </row>
    <row r="411" spans="2:17" ht="16.5" hidden="1" customHeight="1" outlineLevel="1" thickBot="1" x14ac:dyDescent="0.3">
      <c r="B411" s="224" t="s">
        <v>576</v>
      </c>
      <c r="C411" s="101" t="s">
        <v>369</v>
      </c>
      <c r="D411" s="221"/>
      <c r="E411" s="118">
        <v>0</v>
      </c>
      <c r="F411" s="169"/>
      <c r="G411" s="101"/>
      <c r="H411" s="162"/>
      <c r="I411" s="117"/>
      <c r="J411" s="151"/>
    </row>
    <row r="412" spans="2:17" ht="16.5" hidden="1" customHeight="1" outlineLevel="1" thickBot="1" x14ac:dyDescent="0.3">
      <c r="B412" s="224" t="s">
        <v>576</v>
      </c>
      <c r="C412" s="101"/>
      <c r="D412" s="150"/>
      <c r="E412" s="150"/>
      <c r="F412" s="169"/>
      <c r="G412" s="101"/>
      <c r="H412" s="161"/>
      <c r="I412" s="118"/>
      <c r="J412" s="151"/>
    </row>
    <row r="413" spans="2:17" ht="16.5" hidden="1" customHeight="1" outlineLevel="1" thickBot="1" x14ac:dyDescent="0.3">
      <c r="B413" s="229" t="s">
        <v>576</v>
      </c>
      <c r="C413" s="102"/>
      <c r="D413" s="150"/>
      <c r="E413" s="150"/>
      <c r="F413" s="169"/>
      <c r="G413" s="102"/>
      <c r="H413" s="162"/>
      <c r="I413" s="117"/>
      <c r="J413" s="151"/>
    </row>
    <row r="414" spans="2:17" ht="16.5" collapsed="1" thickBot="1" x14ac:dyDescent="0.3">
      <c r="B414" s="419" t="s">
        <v>54</v>
      </c>
      <c r="C414" s="420"/>
      <c r="G414" s="156"/>
      <c r="H414" s="225"/>
      <c r="I414" s="170"/>
      <c r="J414" s="151"/>
      <c r="Q414" t="e">
        <f>(LARGE(PER!H415:H430,1)+LARGE(PER!H415:H430,2))/2</f>
        <v>#NUM!</v>
      </c>
    </row>
    <row r="415" spans="2:17" ht="16.5" hidden="1" customHeight="1" outlineLevel="1" thickBot="1" x14ac:dyDescent="0.3">
      <c r="B415" s="228" t="s">
        <v>51</v>
      </c>
      <c r="C415" s="103" t="s">
        <v>370</v>
      </c>
      <c r="D415" s="220">
        <v>22.2</v>
      </c>
      <c r="E415" s="117">
        <v>35</v>
      </c>
      <c r="F415" s="169"/>
      <c r="G415" s="103" t="s">
        <v>370</v>
      </c>
      <c r="H415" s="159"/>
      <c r="I415" s="117"/>
      <c r="J415" s="151"/>
    </row>
    <row r="416" spans="2:17" ht="16.5" hidden="1" customHeight="1" outlineLevel="1" thickBot="1" x14ac:dyDescent="0.3">
      <c r="B416" s="224" t="s">
        <v>51</v>
      </c>
      <c r="C416" s="101" t="s">
        <v>371</v>
      </c>
      <c r="D416" s="221">
        <v>26.3</v>
      </c>
      <c r="E416" s="118">
        <v>74</v>
      </c>
      <c r="F416" s="169"/>
      <c r="G416" s="101" t="s">
        <v>371</v>
      </c>
      <c r="H416" s="160"/>
      <c r="I416" s="118"/>
      <c r="J416" s="151"/>
    </row>
    <row r="417" spans="2:10" ht="16.5" hidden="1" customHeight="1" outlineLevel="1" thickBot="1" x14ac:dyDescent="0.3">
      <c r="B417" s="224" t="s">
        <v>51</v>
      </c>
      <c r="C417" s="101" t="s">
        <v>372</v>
      </c>
      <c r="D417" s="220">
        <v>17.600000000000001</v>
      </c>
      <c r="E417" s="117">
        <v>75</v>
      </c>
      <c r="F417" s="169"/>
      <c r="G417" s="101" t="s">
        <v>372</v>
      </c>
      <c r="H417" s="159"/>
      <c r="I417" s="117"/>
      <c r="J417" s="151"/>
    </row>
    <row r="418" spans="2:10" ht="16.5" hidden="1" customHeight="1" outlineLevel="1" thickBot="1" x14ac:dyDescent="0.3">
      <c r="B418" s="224" t="s">
        <v>51</v>
      </c>
      <c r="C418" s="101" t="s">
        <v>373</v>
      </c>
      <c r="D418" s="221">
        <v>14</v>
      </c>
      <c r="E418" s="118">
        <v>5</v>
      </c>
      <c r="F418" s="169"/>
      <c r="G418" s="101" t="s">
        <v>373</v>
      </c>
      <c r="H418" s="161"/>
      <c r="I418" s="118"/>
      <c r="J418" s="151"/>
    </row>
    <row r="419" spans="2:10" ht="16.5" hidden="1" customHeight="1" outlineLevel="1" thickBot="1" x14ac:dyDescent="0.3">
      <c r="B419" s="224" t="s">
        <v>51</v>
      </c>
      <c r="C419" s="101" t="s">
        <v>374</v>
      </c>
      <c r="D419" s="220">
        <v>20.7</v>
      </c>
      <c r="E419" s="117">
        <v>77</v>
      </c>
      <c r="F419" s="169"/>
      <c r="G419" s="101" t="s">
        <v>374</v>
      </c>
      <c r="H419" s="162"/>
      <c r="I419" s="117"/>
      <c r="J419" s="151"/>
    </row>
    <row r="420" spans="2:10" ht="16.5" hidden="1" customHeight="1" outlineLevel="1" thickBot="1" x14ac:dyDescent="0.3">
      <c r="B420" s="224" t="s">
        <v>51</v>
      </c>
      <c r="C420" s="101" t="s">
        <v>375</v>
      </c>
      <c r="D420" s="221">
        <v>12</v>
      </c>
      <c r="E420" s="118">
        <v>10</v>
      </c>
      <c r="F420" s="169"/>
      <c r="G420" s="101" t="s">
        <v>300</v>
      </c>
      <c r="H420" s="161"/>
      <c r="I420" s="118"/>
      <c r="J420" s="151"/>
    </row>
    <row r="421" spans="2:10" ht="16.5" hidden="1" customHeight="1" outlineLevel="1" thickBot="1" x14ac:dyDescent="0.3">
      <c r="B421" s="224" t="s">
        <v>51</v>
      </c>
      <c r="C421" s="101" t="s">
        <v>376</v>
      </c>
      <c r="D421" s="220">
        <v>11.1</v>
      </c>
      <c r="E421" s="117">
        <v>7</v>
      </c>
      <c r="F421" s="169"/>
      <c r="G421" s="101" t="s">
        <v>376</v>
      </c>
      <c r="H421" s="162"/>
      <c r="I421" s="117"/>
      <c r="J421" s="151"/>
    </row>
    <row r="422" spans="2:10" ht="16.5" hidden="1" customHeight="1" outlineLevel="1" thickBot="1" x14ac:dyDescent="0.3">
      <c r="B422" s="224" t="s">
        <v>51</v>
      </c>
      <c r="C422" s="101" t="s">
        <v>377</v>
      </c>
      <c r="D422" s="221">
        <v>11</v>
      </c>
      <c r="E422" s="118">
        <v>9</v>
      </c>
      <c r="F422" s="169"/>
      <c r="G422" s="101" t="s">
        <v>377</v>
      </c>
      <c r="H422" s="161"/>
      <c r="I422" s="118"/>
      <c r="J422" s="151"/>
    </row>
    <row r="423" spans="2:10" ht="16.5" hidden="1" customHeight="1" outlineLevel="1" thickBot="1" x14ac:dyDescent="0.3">
      <c r="B423" s="224" t="s">
        <v>51</v>
      </c>
      <c r="C423" s="101" t="s">
        <v>378</v>
      </c>
      <c r="D423" s="220">
        <v>8.3000000000000007</v>
      </c>
      <c r="E423" s="117">
        <v>38</v>
      </c>
      <c r="F423" s="169"/>
      <c r="G423" s="101" t="s">
        <v>378</v>
      </c>
      <c r="H423" s="162"/>
      <c r="I423" s="117"/>
      <c r="J423" s="151"/>
    </row>
    <row r="424" spans="2:10" ht="16.5" hidden="1" customHeight="1" outlineLevel="1" thickBot="1" x14ac:dyDescent="0.3">
      <c r="B424" s="224" t="s">
        <v>51</v>
      </c>
      <c r="C424" s="101" t="s">
        <v>362</v>
      </c>
      <c r="D424" s="221">
        <v>13.2</v>
      </c>
      <c r="E424" s="118">
        <v>1</v>
      </c>
      <c r="F424" s="169"/>
      <c r="G424" s="101" t="s">
        <v>393</v>
      </c>
      <c r="H424" s="161"/>
      <c r="I424" s="118"/>
      <c r="J424" s="151"/>
    </row>
    <row r="425" spans="2:10" ht="16.5" hidden="1" customHeight="1" outlineLevel="1" thickBot="1" x14ac:dyDescent="0.3">
      <c r="B425" s="224" t="s">
        <v>51</v>
      </c>
      <c r="C425" s="101" t="s">
        <v>379</v>
      </c>
      <c r="D425" s="220">
        <v>21.4</v>
      </c>
      <c r="E425" s="117">
        <v>5</v>
      </c>
      <c r="F425" s="169"/>
      <c r="G425" s="101" t="s">
        <v>314</v>
      </c>
      <c r="H425" s="162"/>
      <c r="I425" s="117"/>
      <c r="J425" s="151"/>
    </row>
    <row r="426" spans="2:10" ht="16.5" hidden="1" customHeight="1" outlineLevel="1" thickBot="1" x14ac:dyDescent="0.3">
      <c r="B426" s="224" t="s">
        <v>51</v>
      </c>
      <c r="C426" s="101" t="s">
        <v>380</v>
      </c>
      <c r="D426" s="221">
        <v>9.8000000000000007</v>
      </c>
      <c r="E426" s="118">
        <v>10</v>
      </c>
      <c r="F426" s="169"/>
      <c r="G426" s="101" t="s">
        <v>611</v>
      </c>
      <c r="H426" s="161"/>
      <c r="I426" s="118"/>
      <c r="J426" s="151"/>
    </row>
    <row r="427" spans="2:10" ht="16.5" hidden="1" customHeight="1" outlineLevel="1" thickBot="1" x14ac:dyDescent="0.3">
      <c r="B427" s="224" t="s">
        <v>51</v>
      </c>
      <c r="C427" s="101" t="s">
        <v>381</v>
      </c>
      <c r="D427" s="220">
        <v>7.3</v>
      </c>
      <c r="E427" s="117">
        <v>61</v>
      </c>
      <c r="F427" s="169"/>
      <c r="G427" s="101" t="s">
        <v>381</v>
      </c>
      <c r="H427" s="162"/>
      <c r="I427" s="117"/>
      <c r="J427" s="151"/>
    </row>
    <row r="428" spans="2:10" ht="16.5" hidden="1" customHeight="1" outlineLevel="1" thickBot="1" x14ac:dyDescent="0.3">
      <c r="B428" s="224" t="s">
        <v>51</v>
      </c>
      <c r="C428" s="101" t="s">
        <v>382</v>
      </c>
      <c r="D428" s="221">
        <v>12.9</v>
      </c>
      <c r="E428" s="118">
        <v>0</v>
      </c>
      <c r="F428" s="169"/>
      <c r="G428" s="101" t="s">
        <v>344</v>
      </c>
      <c r="H428" s="161"/>
      <c r="I428" s="118"/>
      <c r="J428" s="151"/>
    </row>
    <row r="429" spans="2:10" ht="16.5" hidden="1" customHeight="1" outlineLevel="1" thickBot="1" x14ac:dyDescent="0.3">
      <c r="B429" s="224" t="s">
        <v>51</v>
      </c>
      <c r="C429" s="101" t="s">
        <v>383</v>
      </c>
      <c r="D429" s="220">
        <v>10.199999999999999</v>
      </c>
      <c r="E429" s="117">
        <v>3</v>
      </c>
      <c r="F429" s="169"/>
      <c r="G429" s="101" t="s">
        <v>612</v>
      </c>
      <c r="H429" s="162"/>
      <c r="I429" s="117"/>
      <c r="J429" s="151"/>
    </row>
    <row r="430" spans="2:10" ht="16.5" hidden="1" customHeight="1" outlineLevel="1" thickBot="1" x14ac:dyDescent="0.3">
      <c r="B430" s="224" t="s">
        <v>51</v>
      </c>
      <c r="C430" s="101" t="s">
        <v>384</v>
      </c>
      <c r="D430" s="221">
        <v>8.3000000000000007</v>
      </c>
      <c r="E430" s="118">
        <v>0</v>
      </c>
      <c r="F430" s="169"/>
      <c r="G430" s="101" t="s">
        <v>384</v>
      </c>
      <c r="H430" s="161"/>
      <c r="I430" s="118"/>
      <c r="J430" s="151"/>
    </row>
    <row r="431" spans="2:10" ht="16.5" hidden="1" customHeight="1" outlineLevel="1" thickBot="1" x14ac:dyDescent="0.3">
      <c r="B431" s="224" t="s">
        <v>51</v>
      </c>
      <c r="C431" s="101" t="s">
        <v>385</v>
      </c>
      <c r="D431" s="220">
        <v>7.1</v>
      </c>
      <c r="E431" s="117">
        <v>0</v>
      </c>
      <c r="F431" s="169"/>
      <c r="G431" s="101"/>
      <c r="H431" s="159"/>
      <c r="I431" s="117"/>
      <c r="J431" s="151"/>
    </row>
    <row r="432" spans="2:10" ht="16.5" hidden="1" customHeight="1" outlineLevel="1" thickBot="1" x14ac:dyDescent="0.3">
      <c r="B432" s="229" t="s">
        <v>51</v>
      </c>
      <c r="C432" s="102" t="s">
        <v>386</v>
      </c>
      <c r="D432" s="221">
        <v>9</v>
      </c>
      <c r="E432" s="118">
        <v>0</v>
      </c>
      <c r="F432" s="169"/>
      <c r="G432" s="102"/>
      <c r="H432" s="160"/>
      <c r="I432" s="118"/>
      <c r="J432" s="151"/>
    </row>
    <row r="433" spans="2:17" ht="16.5" collapsed="1" thickBot="1" x14ac:dyDescent="0.3">
      <c r="B433" s="419" t="s">
        <v>55</v>
      </c>
      <c r="C433" s="420"/>
      <c r="G433" s="156"/>
      <c r="H433" s="159"/>
      <c r="I433" s="117"/>
      <c r="J433" s="151"/>
      <c r="Q433">
        <f>(LARGE(PER!H434:H450,1)+LARGE(PER!H434:H450,2))/2</f>
        <v>37.700000000000003</v>
      </c>
    </row>
    <row r="434" spans="2:17" ht="16.5" hidden="1" customHeight="1" outlineLevel="1" thickBot="1" x14ac:dyDescent="0.3">
      <c r="B434" s="228" t="s">
        <v>52</v>
      </c>
      <c r="C434" s="103" t="s">
        <v>387</v>
      </c>
      <c r="D434" s="220">
        <v>14.9</v>
      </c>
      <c r="E434" s="117">
        <v>66</v>
      </c>
      <c r="F434" s="169"/>
      <c r="G434" s="103" t="str">
        <f>PER_WEB!HC143</f>
        <v>Louis Williams, SG</v>
      </c>
      <c r="H434" s="161">
        <f>(SUBSTITUTE(PER_WEB!HQ143,".",","))*1</f>
        <v>39.4</v>
      </c>
      <c r="I434" s="118">
        <f>PER_WEB!HE143</f>
        <v>0</v>
      </c>
      <c r="J434" s="151"/>
    </row>
    <row r="435" spans="2:17" ht="16.5" hidden="1" customHeight="1" outlineLevel="1" thickBot="1" x14ac:dyDescent="0.3">
      <c r="B435" s="224" t="s">
        <v>52</v>
      </c>
      <c r="C435" s="101" t="s">
        <v>388</v>
      </c>
      <c r="D435" s="221">
        <v>14.3</v>
      </c>
      <c r="E435" s="118">
        <v>79</v>
      </c>
      <c r="F435" s="169"/>
      <c r="G435" s="103" t="str">
        <f>PER_WEB!HC144</f>
        <v>Jordan Clarkson, PG</v>
      </c>
      <c r="H435" s="161">
        <f>(SUBSTITUTE(PER_WEB!HQ144,".",","))*1</f>
        <v>36</v>
      </c>
      <c r="I435" s="118">
        <f>PER_WEB!HE144</f>
        <v>0</v>
      </c>
      <c r="J435" s="151"/>
    </row>
    <row r="436" spans="2:17" ht="16.5" hidden="1" customHeight="1" outlineLevel="1" thickBot="1" x14ac:dyDescent="0.3">
      <c r="B436" s="224" t="s">
        <v>52</v>
      </c>
      <c r="C436" s="101" t="s">
        <v>389</v>
      </c>
      <c r="D436" s="220">
        <v>17.8</v>
      </c>
      <c r="E436" s="117">
        <v>35</v>
      </c>
      <c r="F436" s="169"/>
      <c r="G436" s="103" t="str">
        <f>PER_WEB!HC145</f>
        <v>Julius Randle, PF</v>
      </c>
      <c r="H436" s="161">
        <f>(SUBSTITUTE(PER_WEB!HQ145,".",","))*1</f>
        <v>27.3</v>
      </c>
      <c r="I436" s="118">
        <f>PER_WEB!HE145</f>
        <v>1</v>
      </c>
      <c r="J436" s="151"/>
    </row>
    <row r="437" spans="2:17" ht="16.5" hidden="1" customHeight="1" outlineLevel="1" thickBot="1" x14ac:dyDescent="0.3">
      <c r="B437" s="224" t="s">
        <v>52</v>
      </c>
      <c r="C437" s="101" t="s">
        <v>390</v>
      </c>
      <c r="D437" s="221">
        <v>13.2</v>
      </c>
      <c r="E437" s="118">
        <v>48</v>
      </c>
      <c r="F437" s="169"/>
      <c r="G437" s="103" t="str">
        <f>PER_WEB!HC146</f>
        <v>Timofey Mozgov, C</v>
      </c>
      <c r="H437" s="161">
        <f>(SUBSTITUTE(PER_WEB!HQ146,".",","))*1</f>
        <v>21.4</v>
      </c>
      <c r="I437" s="118">
        <f>PER_WEB!HE146</f>
        <v>1</v>
      </c>
      <c r="J437" s="151"/>
    </row>
    <row r="438" spans="2:17" ht="16.5" hidden="1" customHeight="1" outlineLevel="1" thickBot="1" x14ac:dyDescent="0.3">
      <c r="B438" s="224" t="s">
        <v>52</v>
      </c>
      <c r="C438" s="101" t="s">
        <v>391</v>
      </c>
      <c r="D438" s="220">
        <v>13.9</v>
      </c>
      <c r="E438" s="117">
        <v>60</v>
      </c>
      <c r="F438" s="169"/>
      <c r="G438" s="103" t="str">
        <f>PER_WEB!HC147</f>
        <v>Marcelo Huertas, PG</v>
      </c>
      <c r="H438" s="161">
        <f>(SUBSTITUTE(PER_WEB!HQ147,".",","))*1</f>
        <v>18.899999999999999</v>
      </c>
      <c r="I438" s="118">
        <f>PER_WEB!HE147</f>
        <v>0</v>
      </c>
      <c r="J438" s="151"/>
    </row>
    <row r="439" spans="2:17" ht="16.5" hidden="1" customHeight="1" outlineLevel="1" thickBot="1" x14ac:dyDescent="0.3">
      <c r="B439" s="224" t="s">
        <v>52</v>
      </c>
      <c r="C439" s="101" t="s">
        <v>392</v>
      </c>
      <c r="D439" s="221">
        <v>9.1</v>
      </c>
      <c r="E439" s="118">
        <v>2</v>
      </c>
      <c r="F439" s="169"/>
      <c r="G439" s="103" t="str">
        <f>PER_WEB!HC148</f>
        <v>D'Angelo Russell, PG</v>
      </c>
      <c r="H439" s="161">
        <f>(SUBSTITUTE(PER_WEB!HQ148,".",","))*1</f>
        <v>16.100000000000001</v>
      </c>
      <c r="I439" s="118">
        <f>PER_WEB!HE148</f>
        <v>1</v>
      </c>
      <c r="J439" s="151"/>
    </row>
    <row r="440" spans="2:17" ht="16.5" hidden="1" customHeight="1" outlineLevel="1" thickBot="1" x14ac:dyDescent="0.3">
      <c r="B440" s="224" t="s">
        <v>52</v>
      </c>
      <c r="C440" s="101" t="s">
        <v>393</v>
      </c>
      <c r="D440" s="220">
        <v>17.399999999999999</v>
      </c>
      <c r="E440" s="117">
        <v>0</v>
      </c>
      <c r="F440" s="169"/>
      <c r="G440" s="103" t="str">
        <f>PER_WEB!HC149</f>
        <v>Larry Nance Jr., PF</v>
      </c>
      <c r="H440" s="161">
        <f>(SUBSTITUTE(PER_WEB!HQ149,".",","))*1</f>
        <v>15.1</v>
      </c>
      <c r="I440" s="118">
        <f>PER_WEB!HE149</f>
        <v>0</v>
      </c>
      <c r="J440" s="151"/>
    </row>
    <row r="441" spans="2:17" ht="16.5" hidden="1" customHeight="1" outlineLevel="1" thickBot="1" x14ac:dyDescent="0.3">
      <c r="B441" s="224" t="s">
        <v>52</v>
      </c>
      <c r="C441" s="101" t="s">
        <v>394</v>
      </c>
      <c r="D441" s="221">
        <v>11.2</v>
      </c>
      <c r="E441" s="118">
        <v>81</v>
      </c>
      <c r="F441" s="169"/>
      <c r="G441" s="103" t="str">
        <f>PER_WEB!HC150</f>
        <v>Brandon Ingram, SF</v>
      </c>
      <c r="H441" s="161">
        <f>(SUBSTITUTE(PER_WEB!HQ150,".",","))*1</f>
        <v>11.9</v>
      </c>
      <c r="I441" s="118">
        <f>PER_WEB!HE150</f>
        <v>0</v>
      </c>
      <c r="J441" s="151"/>
    </row>
    <row r="442" spans="2:17" ht="16.5" hidden="1" customHeight="1" outlineLevel="1" thickBot="1" x14ac:dyDescent="0.3">
      <c r="B442" s="224" t="s">
        <v>52</v>
      </c>
      <c r="C442" s="101" t="s">
        <v>395</v>
      </c>
      <c r="D442" s="220">
        <v>13.4</v>
      </c>
      <c r="E442" s="117">
        <v>22</v>
      </c>
      <c r="F442" s="169"/>
      <c r="G442" s="103" t="str">
        <f>PER_WEB!HC151</f>
        <v>Tarik Black, C</v>
      </c>
      <c r="H442" s="161">
        <f>(SUBSTITUTE(PER_WEB!HQ151,".",","))*1</f>
        <v>11.8</v>
      </c>
      <c r="I442" s="118">
        <f>PER_WEB!HE151</f>
        <v>0</v>
      </c>
      <c r="J442" s="151"/>
    </row>
    <row r="443" spans="2:17" ht="16.5" hidden="1" customHeight="1" outlineLevel="1" thickBot="1" x14ac:dyDescent="0.3">
      <c r="B443" s="224" t="s">
        <v>52</v>
      </c>
      <c r="C443" s="101" t="s">
        <v>396</v>
      </c>
      <c r="D443" s="221">
        <v>8.3000000000000007</v>
      </c>
      <c r="E443" s="118">
        <v>5</v>
      </c>
      <c r="F443" s="169"/>
      <c r="G443" s="103" t="str">
        <f>PER_WEB!HC152</f>
        <v>Luol Deng, SF</v>
      </c>
      <c r="H443" s="161">
        <f>(SUBSTITUTE(PER_WEB!HQ152,".",","))*1</f>
        <v>7.5</v>
      </c>
      <c r="I443" s="118">
        <f>PER_WEB!HE152</f>
        <v>1</v>
      </c>
      <c r="J443" s="151"/>
    </row>
    <row r="444" spans="2:17" ht="16.5" hidden="1" customHeight="1" outlineLevel="1" thickBot="1" x14ac:dyDescent="0.3">
      <c r="B444" s="224" t="s">
        <v>52</v>
      </c>
      <c r="C444" s="101" t="s">
        <v>397</v>
      </c>
      <c r="D444" s="220">
        <v>10.4</v>
      </c>
      <c r="E444" s="117">
        <v>0</v>
      </c>
      <c r="F444" s="169"/>
      <c r="G444" s="103" t="str">
        <f>PER_WEB!HC153</f>
        <v>Nick Young, SF</v>
      </c>
      <c r="H444" s="161">
        <f>(SUBSTITUTE(PER_WEB!HQ153,".",","))*1</f>
        <v>1</v>
      </c>
      <c r="I444" s="118">
        <f>PER_WEB!HE153</f>
        <v>1</v>
      </c>
      <c r="J444" s="151"/>
    </row>
    <row r="445" spans="2:17" ht="16.5" hidden="1" customHeight="1" outlineLevel="1" thickBot="1" x14ac:dyDescent="0.3">
      <c r="B445" s="224" t="s">
        <v>52</v>
      </c>
      <c r="C445" s="101" t="s">
        <v>398</v>
      </c>
      <c r="D445" s="221">
        <v>10.4</v>
      </c>
      <c r="E445" s="118">
        <v>0</v>
      </c>
      <c r="F445" s="169"/>
      <c r="G445" s="103" t="str">
        <f>PER_WEB!HC154</f>
        <v>Metta World Peace, SF</v>
      </c>
      <c r="H445" s="161">
        <f>(SUBSTITUTE(PER_WEB!HQ154,".",","))*1</f>
        <v>-23.8</v>
      </c>
      <c r="I445" s="118">
        <f>PER_WEB!HE154</f>
        <v>0</v>
      </c>
      <c r="J445" s="151"/>
    </row>
    <row r="446" spans="2:17" ht="16.5" hidden="1" customHeight="1" outlineLevel="1" thickBot="1" x14ac:dyDescent="0.3">
      <c r="B446" s="224" t="s">
        <v>52</v>
      </c>
      <c r="C446" s="101" t="s">
        <v>399</v>
      </c>
      <c r="D446" s="220">
        <v>4.9000000000000004</v>
      </c>
      <c r="E446" s="117">
        <v>11</v>
      </c>
      <c r="F446" s="169"/>
      <c r="G446" s="101"/>
      <c r="H446" s="161"/>
      <c r="I446" s="118"/>
      <c r="J446" s="151"/>
    </row>
    <row r="447" spans="2:17" ht="16.5" hidden="1" customHeight="1" outlineLevel="1" thickBot="1" x14ac:dyDescent="0.3">
      <c r="B447" s="224" t="s">
        <v>52</v>
      </c>
      <c r="C447" s="101" t="s">
        <v>400</v>
      </c>
      <c r="D447" s="221">
        <v>10.4</v>
      </c>
      <c r="E447" s="118">
        <v>1</v>
      </c>
      <c r="F447" s="169"/>
      <c r="G447" s="101"/>
      <c r="H447" s="159"/>
      <c r="I447" s="117"/>
      <c r="J447" s="151"/>
    </row>
    <row r="448" spans="2:17" ht="16.5" hidden="1" customHeight="1" outlineLevel="1" thickBot="1" x14ac:dyDescent="0.3">
      <c r="B448" s="224" t="s">
        <v>52</v>
      </c>
      <c r="C448" s="101" t="s">
        <v>401</v>
      </c>
      <c r="D448" s="220">
        <v>12.3</v>
      </c>
      <c r="E448" s="117">
        <v>0</v>
      </c>
      <c r="F448" s="169"/>
      <c r="G448" s="101"/>
      <c r="H448" s="160"/>
      <c r="I448" s="118"/>
      <c r="J448" s="151"/>
    </row>
    <row r="449" spans="2:17" ht="16.5" hidden="1" customHeight="1" outlineLevel="1" thickBot="1" x14ac:dyDescent="0.3">
      <c r="B449" s="224" t="s">
        <v>52</v>
      </c>
      <c r="C449" s="101"/>
      <c r="D449" s="150"/>
      <c r="E449" s="150"/>
      <c r="F449" s="169"/>
      <c r="G449" s="101"/>
      <c r="H449" s="159"/>
      <c r="I449" s="117"/>
      <c r="J449" s="151"/>
    </row>
    <row r="450" spans="2:17" ht="16.5" hidden="1" customHeight="1" outlineLevel="1" thickBot="1" x14ac:dyDescent="0.3">
      <c r="B450" s="229" t="s">
        <v>52</v>
      </c>
      <c r="C450" s="102"/>
      <c r="D450" s="150"/>
      <c r="E450" s="150"/>
      <c r="F450" s="169"/>
      <c r="G450" s="102"/>
      <c r="H450" s="161"/>
      <c r="I450" s="118"/>
      <c r="J450" s="151"/>
    </row>
    <row r="451" spans="2:17" ht="16.5" collapsed="1" thickBot="1" x14ac:dyDescent="0.3">
      <c r="B451" s="419" t="s">
        <v>20</v>
      </c>
      <c r="C451" s="420"/>
      <c r="G451" s="156"/>
      <c r="H451" s="162"/>
      <c r="I451" s="117"/>
      <c r="J451" s="151"/>
      <c r="Q451">
        <f>(LARGE(PER!H452:H478,1)+LARGE(PER!H452:H478,2))/2</f>
        <v>27.55</v>
      </c>
    </row>
    <row r="452" spans="2:17" ht="16.5" hidden="1" customHeight="1" outlineLevel="1" thickBot="1" x14ac:dyDescent="0.3">
      <c r="B452" s="228" t="s">
        <v>577</v>
      </c>
      <c r="C452" s="103" t="s">
        <v>402</v>
      </c>
      <c r="D452" s="220">
        <v>17.7</v>
      </c>
      <c r="E452" s="117">
        <v>52</v>
      </c>
      <c r="F452" s="169"/>
      <c r="G452" s="103" t="str">
        <f>PER_WEB!HR143</f>
        <v>Zach Randolph, PF</v>
      </c>
      <c r="H452" s="161">
        <f>(SUBSTITUTE(PER_WEB!IF143,".",","))*1</f>
        <v>27.6</v>
      </c>
      <c r="I452" s="118">
        <f>PER_WEB!HT143</f>
        <v>0</v>
      </c>
      <c r="J452" s="151"/>
    </row>
    <row r="453" spans="2:17" ht="16.5" hidden="1" customHeight="1" outlineLevel="1" thickBot="1" x14ac:dyDescent="0.3">
      <c r="B453" s="224" t="s">
        <v>577</v>
      </c>
      <c r="C453" s="101" t="s">
        <v>403</v>
      </c>
      <c r="D453" s="221">
        <v>19.399999999999999</v>
      </c>
      <c r="E453" s="118">
        <v>56</v>
      </c>
      <c r="F453" s="169"/>
      <c r="G453" s="103" t="str">
        <f>PER_WEB!HR144</f>
        <v>Mike Conley, PG</v>
      </c>
      <c r="H453" s="161">
        <f>(SUBSTITUTE(PER_WEB!IF144,".",","))*1</f>
        <v>27.5</v>
      </c>
      <c r="I453" s="118">
        <f>PER_WEB!HT144</f>
        <v>1</v>
      </c>
      <c r="J453" s="151"/>
    </row>
    <row r="454" spans="2:17" ht="16.5" hidden="1" customHeight="1" outlineLevel="1" thickBot="1" x14ac:dyDescent="0.3">
      <c r="B454" s="224" t="s">
        <v>577</v>
      </c>
      <c r="C454" s="101" t="s">
        <v>404</v>
      </c>
      <c r="D454" s="220">
        <v>18.399999999999999</v>
      </c>
      <c r="E454" s="117">
        <v>53</v>
      </c>
      <c r="F454" s="169"/>
      <c r="G454" s="103" t="str">
        <f>PER_WEB!HR145</f>
        <v>Wade Baldwin IV, PG</v>
      </c>
      <c r="H454" s="161">
        <f>(SUBSTITUTE(PER_WEB!IF145,".",","))*1</f>
        <v>25.5</v>
      </c>
      <c r="I454" s="118">
        <f>PER_WEB!HT145</f>
        <v>0</v>
      </c>
      <c r="J454" s="151"/>
    </row>
    <row r="455" spans="2:17" ht="16.5" hidden="1" customHeight="1" outlineLevel="1" thickBot="1" x14ac:dyDescent="0.3">
      <c r="B455" s="224" t="s">
        <v>577</v>
      </c>
      <c r="C455" s="101" t="s">
        <v>380</v>
      </c>
      <c r="D455" s="221">
        <v>17.2</v>
      </c>
      <c r="E455" s="118">
        <v>3</v>
      </c>
      <c r="F455" s="169"/>
      <c r="G455" s="103" t="str">
        <f>PER_WEB!HR146</f>
        <v>James Ennis, SF</v>
      </c>
      <c r="H455" s="161">
        <f>(SUBSTITUTE(PER_WEB!IF146,".",","))*1</f>
        <v>23.2</v>
      </c>
      <c r="I455" s="118">
        <f>PER_WEB!HT146</f>
        <v>1</v>
      </c>
      <c r="J455" s="151"/>
    </row>
    <row r="456" spans="2:17" ht="16.5" hidden="1" customHeight="1" outlineLevel="1" thickBot="1" x14ac:dyDescent="0.3">
      <c r="B456" s="224" t="s">
        <v>577</v>
      </c>
      <c r="C456" s="101" t="s">
        <v>375</v>
      </c>
      <c r="D456" s="220">
        <v>13.5</v>
      </c>
      <c r="E456" s="117">
        <v>31</v>
      </c>
      <c r="F456" s="169"/>
      <c r="G456" s="103" t="str">
        <f>PER_WEB!HR147</f>
        <v>JaMychal Green, PF</v>
      </c>
      <c r="H456" s="161">
        <f>(SUBSTITUTE(PER_WEB!IF147,".",","))*1</f>
        <v>15.8</v>
      </c>
      <c r="I456" s="118">
        <f>PER_WEB!HT147</f>
        <v>1</v>
      </c>
      <c r="J456" s="151"/>
    </row>
    <row r="457" spans="2:17" ht="16.5" hidden="1" customHeight="1" outlineLevel="1" thickBot="1" x14ac:dyDescent="0.3">
      <c r="B457" s="224" t="s">
        <v>577</v>
      </c>
      <c r="C457" s="101" t="s">
        <v>200</v>
      </c>
      <c r="D457" s="221">
        <v>18.100000000000001</v>
      </c>
      <c r="E457" s="118">
        <v>7</v>
      </c>
      <c r="F457" s="169"/>
      <c r="G457" s="103" t="str">
        <f>PER_WEB!HR148</f>
        <v>Marc Gasol, C</v>
      </c>
      <c r="H457" s="161">
        <f>(SUBSTITUTE(PER_WEB!IF148,".",","))*1</f>
        <v>13.2</v>
      </c>
      <c r="I457" s="118">
        <f>PER_WEB!HT148</f>
        <v>1</v>
      </c>
      <c r="J457" s="151"/>
    </row>
    <row r="458" spans="2:17" ht="16.5" hidden="1" customHeight="1" outlineLevel="1" thickBot="1" x14ac:dyDescent="0.3">
      <c r="B458" s="224" t="s">
        <v>577</v>
      </c>
      <c r="C458" s="101" t="s">
        <v>127</v>
      </c>
      <c r="D458" s="220">
        <v>11.8</v>
      </c>
      <c r="E458" s="117">
        <v>37</v>
      </c>
      <c r="F458" s="169"/>
      <c r="G458" s="103" t="str">
        <f>PER_WEB!HR149</f>
        <v>Vince Carter, SG</v>
      </c>
      <c r="H458" s="161">
        <f>(SUBSTITUTE(PER_WEB!IF149,".",","))*1</f>
        <v>6.8</v>
      </c>
      <c r="I458" s="118">
        <f>PER_WEB!HT149</f>
        <v>0</v>
      </c>
      <c r="J458" s="151"/>
    </row>
    <row r="459" spans="2:17" ht="16.5" hidden="1" customHeight="1" outlineLevel="1" thickBot="1" x14ac:dyDescent="0.3">
      <c r="B459" s="224" t="s">
        <v>577</v>
      </c>
      <c r="C459" s="101" t="s">
        <v>405</v>
      </c>
      <c r="D459" s="221">
        <v>11.7</v>
      </c>
      <c r="E459" s="118">
        <v>45</v>
      </c>
      <c r="F459" s="169"/>
      <c r="G459" s="103" t="str">
        <f>PER_WEB!HR150</f>
        <v>Deyonta Davis, PF</v>
      </c>
      <c r="H459" s="161">
        <f>(SUBSTITUTE(PER_WEB!IF150,".",","))*1</f>
        <v>5.5</v>
      </c>
      <c r="I459" s="118">
        <f>PER_WEB!HT150</f>
        <v>0</v>
      </c>
      <c r="J459" s="151"/>
    </row>
    <row r="460" spans="2:17" ht="16.5" hidden="1" customHeight="1" outlineLevel="1" thickBot="1" x14ac:dyDescent="0.3">
      <c r="B460" s="224" t="s">
        <v>577</v>
      </c>
      <c r="C460" s="101" t="s">
        <v>406</v>
      </c>
      <c r="D460" s="220">
        <v>13.2</v>
      </c>
      <c r="E460" s="117">
        <v>10</v>
      </c>
      <c r="F460" s="169"/>
      <c r="G460" s="103" t="str">
        <f>PER_WEB!HR151</f>
        <v>Andrew Harrison, PG</v>
      </c>
      <c r="H460" s="161">
        <f>(SUBSTITUTE(PER_WEB!IF151,".",","))*1</f>
        <v>-1.6</v>
      </c>
      <c r="I460" s="118">
        <f>PER_WEB!HT151</f>
        <v>1</v>
      </c>
      <c r="J460" s="151"/>
    </row>
    <row r="461" spans="2:17" ht="16.5" hidden="1" customHeight="1" outlineLevel="1" thickBot="1" x14ac:dyDescent="0.3">
      <c r="B461" s="224" t="s">
        <v>577</v>
      </c>
      <c r="C461" s="101" t="s">
        <v>407</v>
      </c>
      <c r="D461" s="221">
        <v>12.9</v>
      </c>
      <c r="E461" s="118">
        <v>57</v>
      </c>
      <c r="F461" s="169"/>
      <c r="G461" s="101"/>
      <c r="H461" s="161"/>
      <c r="I461" s="117"/>
      <c r="J461" s="151"/>
    </row>
    <row r="462" spans="2:17" ht="16.5" hidden="1" customHeight="1" outlineLevel="1" thickBot="1" x14ac:dyDescent="0.3">
      <c r="B462" s="224" t="s">
        <v>577</v>
      </c>
      <c r="C462" s="101" t="s">
        <v>408</v>
      </c>
      <c r="D462" s="220">
        <v>14.7</v>
      </c>
      <c r="E462" s="117">
        <v>15</v>
      </c>
      <c r="F462" s="169"/>
      <c r="G462" s="101"/>
      <c r="H462" s="161"/>
      <c r="I462" s="118"/>
      <c r="J462" s="151"/>
    </row>
    <row r="463" spans="2:17" ht="16.5" hidden="1" customHeight="1" outlineLevel="1" thickBot="1" x14ac:dyDescent="0.3">
      <c r="B463" s="224" t="s">
        <v>577</v>
      </c>
      <c r="C463" s="101" t="s">
        <v>409</v>
      </c>
      <c r="D463" s="221">
        <v>18.399999999999999</v>
      </c>
      <c r="E463" s="118">
        <v>2</v>
      </c>
      <c r="F463" s="169"/>
      <c r="G463" s="101"/>
      <c r="H463" s="161"/>
      <c r="I463" s="117"/>
      <c r="J463" s="151"/>
    </row>
    <row r="464" spans="2:17" ht="16.5" hidden="1" customHeight="1" outlineLevel="1" thickBot="1" x14ac:dyDescent="0.3">
      <c r="B464" s="224" t="s">
        <v>577</v>
      </c>
      <c r="C464" s="101" t="s">
        <v>410</v>
      </c>
      <c r="D464" s="220">
        <v>7.8</v>
      </c>
      <c r="E464" s="117">
        <v>3</v>
      </c>
      <c r="F464" s="169"/>
      <c r="G464" s="101"/>
      <c r="H464" s="161"/>
      <c r="I464" s="118"/>
      <c r="J464" s="151"/>
    </row>
    <row r="465" spans="2:17" ht="16.5" hidden="1" customHeight="1" outlineLevel="1" thickBot="1" x14ac:dyDescent="0.3">
      <c r="B465" s="224" t="s">
        <v>577</v>
      </c>
      <c r="C465" s="101" t="s">
        <v>132</v>
      </c>
      <c r="D465" s="221">
        <v>5.8</v>
      </c>
      <c r="E465" s="118">
        <v>9</v>
      </c>
      <c r="F465" s="169"/>
      <c r="G465" s="101"/>
      <c r="H465" s="159"/>
      <c r="I465" s="117"/>
      <c r="J465" s="151"/>
    </row>
    <row r="466" spans="2:17" ht="16.5" hidden="1" customHeight="1" outlineLevel="1" thickBot="1" x14ac:dyDescent="0.3">
      <c r="B466" s="224" t="s">
        <v>577</v>
      </c>
      <c r="C466" s="101" t="s">
        <v>411</v>
      </c>
      <c r="D466" s="220">
        <v>12.8</v>
      </c>
      <c r="E466" s="117">
        <v>3</v>
      </c>
      <c r="F466" s="169"/>
      <c r="G466" s="101"/>
      <c r="H466" s="161"/>
      <c r="I466" s="118"/>
      <c r="J466" s="151"/>
    </row>
    <row r="467" spans="2:17" ht="16.5" hidden="1" customHeight="1" outlineLevel="1" thickBot="1" x14ac:dyDescent="0.3">
      <c r="B467" s="224" t="s">
        <v>577</v>
      </c>
      <c r="C467" s="101" t="s">
        <v>201</v>
      </c>
      <c r="D467" s="221">
        <v>12.6</v>
      </c>
      <c r="E467" s="118">
        <v>0</v>
      </c>
      <c r="F467" s="169"/>
      <c r="G467" s="101"/>
      <c r="H467" s="162"/>
      <c r="I467" s="117"/>
      <c r="J467" s="151"/>
    </row>
    <row r="468" spans="2:17" ht="16.5" hidden="1" customHeight="1" outlineLevel="1" thickBot="1" x14ac:dyDescent="0.3">
      <c r="B468" s="224" t="s">
        <v>577</v>
      </c>
      <c r="C468" s="101" t="s">
        <v>412</v>
      </c>
      <c r="D468" s="220">
        <v>9.9</v>
      </c>
      <c r="E468" s="117">
        <v>0</v>
      </c>
      <c r="F468" s="169"/>
      <c r="G468" s="101"/>
      <c r="H468" s="161"/>
      <c r="I468" s="118"/>
      <c r="J468" s="151"/>
    </row>
    <row r="469" spans="2:17" ht="16.5" hidden="1" customHeight="1" outlineLevel="1" thickBot="1" x14ac:dyDescent="0.3">
      <c r="B469" s="224" t="s">
        <v>577</v>
      </c>
      <c r="C469" s="101" t="s">
        <v>413</v>
      </c>
      <c r="D469" s="221">
        <v>14.1</v>
      </c>
      <c r="E469" s="118">
        <v>0</v>
      </c>
      <c r="F469" s="169"/>
      <c r="G469" s="101"/>
      <c r="H469" s="162"/>
      <c r="I469" s="117"/>
      <c r="J469" s="151"/>
    </row>
    <row r="470" spans="2:17" ht="16.5" hidden="1" customHeight="1" outlineLevel="1" thickBot="1" x14ac:dyDescent="0.3">
      <c r="B470" s="224" t="s">
        <v>577</v>
      </c>
      <c r="C470" s="101" t="s">
        <v>386</v>
      </c>
      <c r="D470" s="220">
        <v>16</v>
      </c>
      <c r="E470" s="117">
        <v>0</v>
      </c>
      <c r="F470" s="169"/>
      <c r="G470" s="101"/>
      <c r="H470" s="161"/>
      <c r="I470" s="118"/>
      <c r="J470" s="151"/>
    </row>
    <row r="471" spans="2:17" ht="16.5" hidden="1" customHeight="1" outlineLevel="1" thickBot="1" x14ac:dyDescent="0.3">
      <c r="B471" s="224" t="s">
        <v>577</v>
      </c>
      <c r="C471" s="101" t="s">
        <v>203</v>
      </c>
      <c r="D471" s="221">
        <v>8.4</v>
      </c>
      <c r="E471" s="118">
        <v>4</v>
      </c>
      <c r="F471" s="169"/>
      <c r="G471" s="101"/>
      <c r="H471" s="162"/>
      <c r="I471" s="117"/>
      <c r="J471" s="151"/>
    </row>
    <row r="472" spans="2:17" ht="16.5" hidden="1" customHeight="1" outlineLevel="1" thickBot="1" x14ac:dyDescent="0.3">
      <c r="B472" s="224" t="s">
        <v>577</v>
      </c>
      <c r="C472" s="101" t="s">
        <v>204</v>
      </c>
      <c r="D472" s="220">
        <v>15.1</v>
      </c>
      <c r="E472" s="117">
        <v>14</v>
      </c>
      <c r="F472" s="169"/>
      <c r="G472" s="101"/>
      <c r="H472" s="161"/>
      <c r="I472" s="118"/>
      <c r="J472" s="151"/>
    </row>
    <row r="473" spans="2:17" ht="16.5" hidden="1" customHeight="1" outlineLevel="1" thickBot="1" x14ac:dyDescent="0.3">
      <c r="B473" s="224" t="s">
        <v>577</v>
      </c>
      <c r="C473" s="101" t="s">
        <v>306</v>
      </c>
      <c r="D473" s="221">
        <v>12.9</v>
      </c>
      <c r="E473" s="118">
        <v>9</v>
      </c>
      <c r="F473" s="169"/>
      <c r="G473" s="101"/>
      <c r="H473" s="162"/>
      <c r="I473" s="117"/>
      <c r="J473" s="151"/>
    </row>
    <row r="474" spans="2:17" ht="16.5" hidden="1" customHeight="1" outlineLevel="1" thickBot="1" x14ac:dyDescent="0.3">
      <c r="B474" s="224" t="s">
        <v>577</v>
      </c>
      <c r="C474" s="101" t="s">
        <v>414</v>
      </c>
      <c r="D474" s="220"/>
      <c r="E474" s="117">
        <v>0</v>
      </c>
      <c r="F474" s="169"/>
      <c r="G474" s="101"/>
      <c r="H474" s="161"/>
      <c r="I474" s="118"/>
      <c r="J474" s="151"/>
    </row>
    <row r="475" spans="2:17" ht="16.5" hidden="1" customHeight="1" outlineLevel="1" thickBot="1" x14ac:dyDescent="0.3">
      <c r="B475" s="224" t="s">
        <v>577</v>
      </c>
      <c r="C475" s="101" t="s">
        <v>415</v>
      </c>
      <c r="D475" s="221">
        <v>3.3</v>
      </c>
      <c r="E475" s="118">
        <v>0</v>
      </c>
      <c r="F475" s="169"/>
      <c r="G475" s="101"/>
      <c r="H475" s="162"/>
      <c r="I475" s="117"/>
      <c r="J475" s="151"/>
    </row>
    <row r="476" spans="2:17" ht="16.5" hidden="1" customHeight="1" outlineLevel="1" thickBot="1" x14ac:dyDescent="0.3">
      <c r="B476" s="224" t="s">
        <v>577</v>
      </c>
      <c r="C476" s="101" t="s">
        <v>207</v>
      </c>
      <c r="D476" s="220">
        <v>18.3</v>
      </c>
      <c r="E476" s="117">
        <v>0</v>
      </c>
      <c r="F476" s="169"/>
      <c r="G476" s="101"/>
      <c r="H476" s="161"/>
      <c r="I476" s="118"/>
      <c r="J476" s="151"/>
    </row>
    <row r="477" spans="2:17" ht="16.5" hidden="1" customHeight="1" outlineLevel="1" thickBot="1" x14ac:dyDescent="0.3">
      <c r="B477" s="224" t="s">
        <v>577</v>
      </c>
      <c r="C477" s="101" t="s">
        <v>416</v>
      </c>
      <c r="D477" s="221">
        <v>10.5</v>
      </c>
      <c r="E477" s="118">
        <v>0</v>
      </c>
      <c r="F477" s="169"/>
      <c r="G477" s="101"/>
      <c r="H477" s="162"/>
      <c r="I477" s="117"/>
      <c r="J477" s="151"/>
    </row>
    <row r="478" spans="2:17" ht="16.5" hidden="1" customHeight="1" outlineLevel="1" thickBot="1" x14ac:dyDescent="0.3">
      <c r="B478" s="224" t="s">
        <v>577</v>
      </c>
      <c r="C478" s="101" t="s">
        <v>417</v>
      </c>
      <c r="D478" s="220"/>
      <c r="E478" s="117">
        <v>0</v>
      </c>
      <c r="F478" s="169"/>
      <c r="G478" s="101"/>
      <c r="H478" s="161"/>
      <c r="I478" s="118"/>
      <c r="J478" s="151"/>
    </row>
    <row r="479" spans="2:17" ht="16.5" hidden="1" customHeight="1" outlineLevel="1" thickBot="1" x14ac:dyDescent="0.3">
      <c r="B479" s="229" t="s">
        <v>577</v>
      </c>
      <c r="C479" s="102" t="s">
        <v>206</v>
      </c>
      <c r="D479" s="221"/>
      <c r="E479" s="118">
        <v>0</v>
      </c>
      <c r="F479" s="169"/>
      <c r="G479" s="102"/>
      <c r="H479" s="159"/>
      <c r="I479" s="117"/>
      <c r="J479" s="151"/>
    </row>
    <row r="480" spans="2:17" ht="16.5" collapsed="1" thickBot="1" x14ac:dyDescent="0.3">
      <c r="B480" s="419" t="s">
        <v>21</v>
      </c>
      <c r="C480" s="420"/>
      <c r="G480" s="156"/>
      <c r="H480" s="232"/>
      <c r="I480" s="170"/>
      <c r="J480" s="151"/>
      <c r="Q480">
        <f>(LARGE(PER!H481:H497,1)+LARGE(PER!H481:H497,2))/2</f>
        <v>24.9</v>
      </c>
    </row>
    <row r="481" spans="2:10" ht="16.5" hidden="1" customHeight="1" outlineLevel="1" thickBot="1" x14ac:dyDescent="0.3">
      <c r="B481" s="228" t="s">
        <v>578</v>
      </c>
      <c r="C481" s="103" t="s">
        <v>418</v>
      </c>
      <c r="D481" s="220">
        <v>16.600000000000001</v>
      </c>
      <c r="E481" s="117">
        <v>81</v>
      </c>
      <c r="F481" s="169"/>
      <c r="G481" s="103" t="str">
        <f>PER_WEB!JK143</f>
        <v>Andrew Wiggins, SF</v>
      </c>
      <c r="H481" s="159">
        <f>(SUBSTITUTE(PER_WEB!JY143,".",","))*1</f>
        <v>25.8</v>
      </c>
      <c r="I481" s="117">
        <f>PER_WEB!JM143</f>
        <v>1</v>
      </c>
      <c r="J481" s="151"/>
    </row>
    <row r="482" spans="2:10" ht="16.5" hidden="1" customHeight="1" outlineLevel="1" thickBot="1" x14ac:dyDescent="0.3">
      <c r="B482" s="224" t="s">
        <v>578</v>
      </c>
      <c r="C482" s="101" t="s">
        <v>419</v>
      </c>
      <c r="D482" s="221">
        <v>22.6</v>
      </c>
      <c r="E482" s="118">
        <v>82</v>
      </c>
      <c r="F482" s="169"/>
      <c r="G482" s="103" t="str">
        <f>PER_WEB!JK144</f>
        <v>Gorgui Dieng, C</v>
      </c>
      <c r="H482" s="159">
        <f>(SUBSTITUTE(PER_WEB!JY144,".",","))*1</f>
        <v>24</v>
      </c>
      <c r="I482" s="117">
        <f>PER_WEB!JM144</f>
        <v>1</v>
      </c>
      <c r="J482" s="151"/>
    </row>
    <row r="483" spans="2:10" ht="16.5" hidden="1" customHeight="1" outlineLevel="1" thickBot="1" x14ac:dyDescent="0.3">
      <c r="B483" s="224" t="s">
        <v>578</v>
      </c>
      <c r="C483" s="101" t="s">
        <v>420</v>
      </c>
      <c r="D483" s="220">
        <v>14.3</v>
      </c>
      <c r="E483" s="117">
        <v>33</v>
      </c>
      <c r="F483" s="169"/>
      <c r="G483" s="103" t="str">
        <f>PER_WEB!JK145</f>
        <v>Kris Dunn, PG</v>
      </c>
      <c r="H483" s="159">
        <f>(SUBSTITUTE(PER_WEB!JY145,".",","))*1</f>
        <v>21.9</v>
      </c>
      <c r="I483" s="117">
        <f>PER_WEB!JM145</f>
        <v>0</v>
      </c>
      <c r="J483" s="151"/>
    </row>
    <row r="484" spans="2:10" ht="16.5" hidden="1" customHeight="1" outlineLevel="1" thickBot="1" x14ac:dyDescent="0.3">
      <c r="B484" s="224" t="s">
        <v>578</v>
      </c>
      <c r="C484" s="101" t="s">
        <v>421</v>
      </c>
      <c r="D484" s="221">
        <v>11.9</v>
      </c>
      <c r="E484" s="118">
        <v>12</v>
      </c>
      <c r="F484" s="169"/>
      <c r="G484" s="103" t="str">
        <f>PER_WEB!JK146</f>
        <v>Cole Aldrich, C</v>
      </c>
      <c r="H484" s="159">
        <f>(SUBSTITUTE(PER_WEB!JY146,".",","))*1</f>
        <v>20.7</v>
      </c>
      <c r="I484" s="117">
        <f>PER_WEB!JM146</f>
        <v>0</v>
      </c>
      <c r="J484" s="151"/>
    </row>
    <row r="485" spans="2:10" ht="16.5" hidden="1" customHeight="1" outlineLevel="1" thickBot="1" x14ac:dyDescent="0.3">
      <c r="B485" s="224" t="s">
        <v>578</v>
      </c>
      <c r="C485" s="101" t="s">
        <v>422</v>
      </c>
      <c r="D485" s="220">
        <v>15.3</v>
      </c>
      <c r="E485" s="117">
        <v>0</v>
      </c>
      <c r="F485" s="169"/>
      <c r="G485" s="103" t="str">
        <f>PER_WEB!JK147</f>
        <v>Karl-Anthony Towns, PF</v>
      </c>
      <c r="H485" s="159">
        <f>(SUBSTITUTE(PER_WEB!JY147,".",","))*1</f>
        <v>19.3</v>
      </c>
      <c r="I485" s="117">
        <f>PER_WEB!JM147</f>
        <v>1</v>
      </c>
      <c r="J485" s="151"/>
    </row>
    <row r="486" spans="2:10" ht="16.5" hidden="1" customHeight="1" outlineLevel="1" thickBot="1" x14ac:dyDescent="0.3">
      <c r="B486" s="224" t="s">
        <v>578</v>
      </c>
      <c r="C486" s="101" t="s">
        <v>423</v>
      </c>
      <c r="D486" s="221">
        <v>17.2</v>
      </c>
      <c r="E486" s="118">
        <v>39</v>
      </c>
      <c r="F486" s="169"/>
      <c r="G486" s="103" t="str">
        <f>PER_WEB!JK148</f>
        <v>Zach LaVine, PG</v>
      </c>
      <c r="H486" s="159">
        <f>(SUBSTITUTE(PER_WEB!JY148,".",","))*1</f>
        <v>17</v>
      </c>
      <c r="I486" s="117">
        <f>PER_WEB!JM148</f>
        <v>1</v>
      </c>
      <c r="J486" s="151"/>
    </row>
    <row r="487" spans="2:10" ht="16.5" hidden="1" customHeight="1" outlineLevel="1" thickBot="1" x14ac:dyDescent="0.3">
      <c r="B487" s="224" t="s">
        <v>578</v>
      </c>
      <c r="C487" s="101" t="s">
        <v>424</v>
      </c>
      <c r="D487" s="220">
        <v>17.600000000000001</v>
      </c>
      <c r="E487" s="117">
        <v>76</v>
      </c>
      <c r="F487" s="169"/>
      <c r="G487" s="103" t="str">
        <f>PER_WEB!JK149</f>
        <v>Ricky Rubio, PG</v>
      </c>
      <c r="H487" s="159">
        <f>(SUBSTITUTE(PER_WEB!JY149,".",","))*1</f>
        <v>4</v>
      </c>
      <c r="I487" s="117">
        <f>PER_WEB!JM149</f>
        <v>1</v>
      </c>
      <c r="J487" s="151"/>
    </row>
    <row r="488" spans="2:10" ht="16.5" hidden="1" customHeight="1" outlineLevel="1" thickBot="1" x14ac:dyDescent="0.3">
      <c r="B488" s="224" t="s">
        <v>578</v>
      </c>
      <c r="C488" s="101" t="s">
        <v>425</v>
      </c>
      <c r="D488" s="221">
        <v>11.2</v>
      </c>
      <c r="E488" s="118">
        <v>0</v>
      </c>
      <c r="F488" s="169"/>
      <c r="G488" s="103" t="str">
        <f>PER_WEB!JK150</f>
        <v>Nemanja Bjelica, PF</v>
      </c>
      <c r="H488" s="159">
        <f>(SUBSTITUTE(PER_WEB!JY150,".",","))*1</f>
        <v>-0.5</v>
      </c>
      <c r="I488" s="117">
        <f>PER_WEB!JM150</f>
        <v>0</v>
      </c>
      <c r="J488" s="151"/>
    </row>
    <row r="489" spans="2:10" ht="16.5" hidden="1" customHeight="1" outlineLevel="1" thickBot="1" x14ac:dyDescent="0.3">
      <c r="B489" s="224" t="s">
        <v>578</v>
      </c>
      <c r="C489" s="101" t="s">
        <v>426</v>
      </c>
      <c r="D489" s="220">
        <v>6.5</v>
      </c>
      <c r="E489" s="117">
        <v>3</v>
      </c>
      <c r="F489" s="169"/>
      <c r="G489" s="103" t="str">
        <f>PER_WEB!JK151</f>
        <v>Shabazz Muhammad, SF</v>
      </c>
      <c r="H489" s="159">
        <f>(SUBSTITUTE(PER_WEB!JY151,".",","))*1</f>
        <v>-4.5999999999999996</v>
      </c>
      <c r="I489" s="117">
        <f>PER_WEB!JM151</f>
        <v>0</v>
      </c>
      <c r="J489" s="151"/>
    </row>
    <row r="490" spans="2:10" ht="16.5" hidden="1" customHeight="1" outlineLevel="1" thickBot="1" x14ac:dyDescent="0.3">
      <c r="B490" s="224" t="s">
        <v>578</v>
      </c>
      <c r="C490" s="101" t="s">
        <v>427</v>
      </c>
      <c r="D490" s="221">
        <v>11.3</v>
      </c>
      <c r="E490" s="118">
        <v>0</v>
      </c>
      <c r="F490" s="169"/>
      <c r="G490" s="103" t="str">
        <f>PER_WEB!JK152</f>
        <v>Brandon Rush, SG</v>
      </c>
      <c r="H490" s="159">
        <f>(SUBSTITUTE(PER_WEB!JY152,".",","))*1</f>
        <v>-9.6</v>
      </c>
      <c r="I490" s="117">
        <f>PER_WEB!JM152</f>
        <v>0</v>
      </c>
      <c r="J490" s="151"/>
    </row>
    <row r="491" spans="2:10" ht="16.5" hidden="1" customHeight="1" outlineLevel="1" thickBot="1" x14ac:dyDescent="0.3">
      <c r="B491" s="224" t="s">
        <v>578</v>
      </c>
      <c r="C491" s="101" t="s">
        <v>428</v>
      </c>
      <c r="D491" s="220">
        <v>13.7</v>
      </c>
      <c r="E491" s="117">
        <v>0</v>
      </c>
      <c r="F491" s="169"/>
      <c r="G491" s="101"/>
      <c r="H491" s="159"/>
      <c r="I491" s="117"/>
      <c r="J491" s="151"/>
    </row>
    <row r="492" spans="2:10" ht="16.5" hidden="1" customHeight="1" outlineLevel="1" thickBot="1" x14ac:dyDescent="0.3">
      <c r="B492" s="224" t="s">
        <v>578</v>
      </c>
      <c r="C492" s="101" t="s">
        <v>429</v>
      </c>
      <c r="D492" s="221">
        <v>12.3</v>
      </c>
      <c r="E492" s="118">
        <v>38</v>
      </c>
      <c r="F492" s="169"/>
      <c r="G492" s="101"/>
      <c r="H492" s="159"/>
      <c r="I492" s="118"/>
      <c r="J492" s="151"/>
    </row>
    <row r="493" spans="2:10" ht="16.5" hidden="1" customHeight="1" outlineLevel="1" thickBot="1" x14ac:dyDescent="0.3">
      <c r="B493" s="224" t="s">
        <v>578</v>
      </c>
      <c r="C493" s="101" t="s">
        <v>430</v>
      </c>
      <c r="D493" s="220">
        <v>6.4</v>
      </c>
      <c r="E493" s="117">
        <v>44</v>
      </c>
      <c r="F493" s="169"/>
      <c r="G493" s="101"/>
      <c r="H493" s="159"/>
      <c r="I493" s="117"/>
      <c r="J493" s="151"/>
    </row>
    <row r="494" spans="2:10" ht="16.5" hidden="1" customHeight="1" outlineLevel="1" thickBot="1" x14ac:dyDescent="0.3">
      <c r="B494" s="224" t="s">
        <v>578</v>
      </c>
      <c r="C494" s="101" t="s">
        <v>431</v>
      </c>
      <c r="D494" s="221">
        <v>5.7</v>
      </c>
      <c r="E494" s="118">
        <v>2</v>
      </c>
      <c r="F494" s="169"/>
      <c r="G494" s="101"/>
      <c r="H494" s="159"/>
      <c r="I494" s="118"/>
      <c r="J494" s="151"/>
    </row>
    <row r="495" spans="2:10" ht="16.5" hidden="1" customHeight="1" outlineLevel="1" thickBot="1" x14ac:dyDescent="0.3">
      <c r="B495" s="224" t="s">
        <v>578</v>
      </c>
      <c r="C495" s="101" t="s">
        <v>432</v>
      </c>
      <c r="D495" s="220">
        <v>7.9</v>
      </c>
      <c r="E495" s="117">
        <v>0</v>
      </c>
      <c r="F495" s="169"/>
      <c r="G495" s="101"/>
      <c r="H495" s="159"/>
      <c r="I495" s="117"/>
      <c r="J495" s="151"/>
    </row>
    <row r="496" spans="2:10" ht="16.5" hidden="1" customHeight="1" outlineLevel="1" thickBot="1" x14ac:dyDescent="0.3">
      <c r="B496" s="224" t="s">
        <v>578</v>
      </c>
      <c r="C496" s="101" t="s">
        <v>433</v>
      </c>
      <c r="D496" s="221">
        <v>5.5</v>
      </c>
      <c r="E496" s="118">
        <v>0</v>
      </c>
      <c r="F496" s="169"/>
      <c r="G496" s="101"/>
      <c r="H496" s="160"/>
      <c r="I496" s="118"/>
      <c r="J496" s="151"/>
    </row>
    <row r="497" spans="2:17" ht="16.5" hidden="1" customHeight="1" outlineLevel="1" thickBot="1" x14ac:dyDescent="0.3">
      <c r="B497" s="229" t="s">
        <v>578</v>
      </c>
      <c r="C497" s="102"/>
      <c r="D497" s="150"/>
      <c r="E497" s="150"/>
      <c r="F497" s="169"/>
      <c r="G497" s="102"/>
      <c r="H497" s="159"/>
      <c r="I497" s="117"/>
      <c r="J497" s="151"/>
    </row>
    <row r="498" spans="2:17" ht="16.5" collapsed="1" thickBot="1" x14ac:dyDescent="0.3">
      <c r="B498" s="419" t="s">
        <v>22</v>
      </c>
      <c r="C498" s="420"/>
      <c r="G498" s="156"/>
      <c r="H498" s="225"/>
      <c r="I498" s="170"/>
      <c r="J498" s="151"/>
      <c r="Q498">
        <f>(LARGE(PER!H499:H518,1)+LARGE(PER!H499:H518,2))/2</f>
        <v>30.8</v>
      </c>
    </row>
    <row r="499" spans="2:17" ht="16.5" hidden="1" customHeight="1" outlineLevel="1" thickBot="1" x14ac:dyDescent="0.3">
      <c r="B499" s="228" t="s">
        <v>579</v>
      </c>
      <c r="C499" s="103" t="s">
        <v>434</v>
      </c>
      <c r="D499" s="220">
        <v>25.1</v>
      </c>
      <c r="E499" s="117">
        <v>61</v>
      </c>
      <c r="F499" s="169"/>
      <c r="G499" s="103" t="str">
        <f>PER_WEB!JZ143</f>
        <v>Anthony Davis, PF</v>
      </c>
      <c r="H499" s="162">
        <f>(SUBSTITUTE(PER_WEB!KN143,".",","))*1</f>
        <v>43</v>
      </c>
      <c r="I499" s="117">
        <f>PER_WEB!KB143</f>
        <v>1</v>
      </c>
      <c r="J499" s="151"/>
    </row>
    <row r="500" spans="2:17" ht="16.5" hidden="1" customHeight="1" outlineLevel="1" thickBot="1" x14ac:dyDescent="0.3">
      <c r="B500" s="224" t="s">
        <v>579</v>
      </c>
      <c r="C500" s="101" t="s">
        <v>435</v>
      </c>
      <c r="D500" s="221">
        <v>17.3</v>
      </c>
      <c r="E500" s="118">
        <v>7</v>
      </c>
      <c r="F500" s="169"/>
      <c r="G500" s="103" t="str">
        <f>PER_WEB!JZ144</f>
        <v>Tim Frazier, PG</v>
      </c>
      <c r="H500" s="162">
        <f>(SUBSTITUTE(PER_WEB!KN144,".",","))*1</f>
        <v>18.600000000000001</v>
      </c>
      <c r="I500" s="117">
        <f>PER_WEB!KB144</f>
        <v>1</v>
      </c>
      <c r="J500" s="151"/>
    </row>
    <row r="501" spans="2:17" ht="16.5" hidden="1" customHeight="1" outlineLevel="1" thickBot="1" x14ac:dyDescent="0.3">
      <c r="B501" s="224" t="s">
        <v>579</v>
      </c>
      <c r="C501" s="101" t="s">
        <v>436</v>
      </c>
      <c r="D501" s="220">
        <v>19.7</v>
      </c>
      <c r="E501" s="117">
        <v>23</v>
      </c>
      <c r="F501" s="169"/>
      <c r="G501" s="103" t="str">
        <f>PER_WEB!JZ145</f>
        <v>Terrence Jones, PF</v>
      </c>
      <c r="H501" s="162">
        <f>(SUBSTITUTE(PER_WEB!KN145,".",","))*1</f>
        <v>16.5</v>
      </c>
      <c r="I501" s="117">
        <f>PER_WEB!KB145</f>
        <v>0</v>
      </c>
      <c r="J501" s="151"/>
    </row>
    <row r="502" spans="2:17" ht="16.5" hidden="1" customHeight="1" outlineLevel="1" thickBot="1" x14ac:dyDescent="0.3">
      <c r="B502" s="224" t="s">
        <v>579</v>
      </c>
      <c r="C502" s="101" t="s">
        <v>207</v>
      </c>
      <c r="D502" s="221">
        <v>18.2</v>
      </c>
      <c r="E502" s="118">
        <v>5</v>
      </c>
      <c r="F502" s="169"/>
      <c r="G502" s="103" t="str">
        <f>PER_WEB!JZ146</f>
        <v>Langston Galloway, SG</v>
      </c>
      <c r="H502" s="162">
        <f>(SUBSTITUTE(PER_WEB!KN146,".",","))*1</f>
        <v>13.8</v>
      </c>
      <c r="I502" s="117">
        <f>PER_WEB!KB146</f>
        <v>0</v>
      </c>
      <c r="J502" s="151"/>
    </row>
    <row r="503" spans="2:17" ht="16.5" hidden="1" customHeight="1" outlineLevel="1" thickBot="1" x14ac:dyDescent="0.3">
      <c r="B503" s="224" t="s">
        <v>579</v>
      </c>
      <c r="C503" s="101" t="s">
        <v>437</v>
      </c>
      <c r="D503" s="220">
        <v>13.5</v>
      </c>
      <c r="E503" s="117">
        <v>44</v>
      </c>
      <c r="F503" s="169"/>
      <c r="G503" s="103" t="str">
        <f>PER_WEB!JZ147</f>
        <v>Lance Stephenson, SG</v>
      </c>
      <c r="H503" s="162">
        <f>(SUBSTITUTE(PER_WEB!KN147,".",","))*1</f>
        <v>9</v>
      </c>
      <c r="I503" s="117">
        <f>PER_WEB!KB147</f>
        <v>0</v>
      </c>
      <c r="J503" s="151"/>
    </row>
    <row r="504" spans="2:17" ht="16.5" hidden="1" customHeight="1" outlineLevel="1" thickBot="1" x14ac:dyDescent="0.3">
      <c r="B504" s="224" t="s">
        <v>579</v>
      </c>
      <c r="C504" s="101" t="s">
        <v>438</v>
      </c>
      <c r="D504" s="221">
        <v>18</v>
      </c>
      <c r="E504" s="118">
        <v>25</v>
      </c>
      <c r="F504" s="169"/>
      <c r="G504" s="103" t="str">
        <f>PER_WEB!JZ148</f>
        <v>E'Twaun Moore, SG</v>
      </c>
      <c r="H504" s="162">
        <f>(SUBSTITUTE(PER_WEB!KN148,".",","))*1</f>
        <v>8.9</v>
      </c>
      <c r="I504" s="117">
        <f>PER_WEB!KB148</f>
        <v>1</v>
      </c>
      <c r="J504" s="151"/>
    </row>
    <row r="505" spans="2:17" ht="16.5" hidden="1" customHeight="1" outlineLevel="1" thickBot="1" x14ac:dyDescent="0.3">
      <c r="B505" s="224" t="s">
        <v>579</v>
      </c>
      <c r="C505" s="101" t="s">
        <v>439</v>
      </c>
      <c r="D505" s="220">
        <v>19.2</v>
      </c>
      <c r="E505" s="117">
        <v>1</v>
      </c>
      <c r="F505" s="169"/>
      <c r="G505" s="103" t="str">
        <f>PER_WEB!JZ149</f>
        <v>Buddy Hield, SG</v>
      </c>
      <c r="H505" s="162">
        <f>(SUBSTITUTE(PER_WEB!KN149,".",","))*1</f>
        <v>1.9</v>
      </c>
      <c r="I505" s="117">
        <f>PER_WEB!KB149</f>
        <v>0</v>
      </c>
      <c r="J505" s="151"/>
    </row>
    <row r="506" spans="2:17" ht="16.5" hidden="1" customHeight="1" outlineLevel="1" thickBot="1" x14ac:dyDescent="0.3">
      <c r="B506" s="224" t="s">
        <v>579</v>
      </c>
      <c r="C506" s="101" t="s">
        <v>440</v>
      </c>
      <c r="D506" s="221">
        <v>12.5</v>
      </c>
      <c r="E506" s="118">
        <v>4</v>
      </c>
      <c r="F506" s="169"/>
      <c r="G506" s="103" t="str">
        <f>PER_WEB!JZ150</f>
        <v>Omer Asik, C</v>
      </c>
      <c r="H506" s="162">
        <f>(SUBSTITUTE(PER_WEB!KN150,".",","))*1</f>
        <v>0.5</v>
      </c>
      <c r="I506" s="117">
        <f>PER_WEB!KB150</f>
        <v>1</v>
      </c>
      <c r="J506" s="151"/>
    </row>
    <row r="507" spans="2:17" ht="16.5" hidden="1" customHeight="1" outlineLevel="1" thickBot="1" x14ac:dyDescent="0.3">
      <c r="B507" s="224" t="s">
        <v>579</v>
      </c>
      <c r="C507" s="101" t="s">
        <v>441</v>
      </c>
      <c r="D507" s="220">
        <v>10.9</v>
      </c>
      <c r="E507" s="117">
        <v>23</v>
      </c>
      <c r="F507" s="169"/>
      <c r="G507" s="103" t="str">
        <f>PER_WEB!JZ151</f>
        <v>Solomon Hill, SF</v>
      </c>
      <c r="H507" s="162">
        <f>(SUBSTITUTE(PER_WEB!KN151,".",","))*1</f>
        <v>-7.7</v>
      </c>
      <c r="I507" s="117">
        <f>PER_WEB!KB151</f>
        <v>1</v>
      </c>
      <c r="J507" s="151"/>
    </row>
    <row r="508" spans="2:17" ht="16.5" hidden="1" customHeight="1" outlineLevel="1" thickBot="1" x14ac:dyDescent="0.3">
      <c r="B508" s="224" t="s">
        <v>579</v>
      </c>
      <c r="C508" s="101" t="s">
        <v>256</v>
      </c>
      <c r="D508" s="221">
        <v>16.399999999999999</v>
      </c>
      <c r="E508" s="118">
        <v>3</v>
      </c>
      <c r="F508" s="169"/>
      <c r="G508" s="103" t="str">
        <f>PER_WEB!JZ152</f>
        <v>Alexis Ajinca, C</v>
      </c>
      <c r="H508" s="162">
        <f>(SUBSTITUTE(PER_WEB!KN152,".",","))*1</f>
        <v>-8.6</v>
      </c>
      <c r="I508" s="117">
        <f>PER_WEB!KB152</f>
        <v>0</v>
      </c>
      <c r="J508" s="151"/>
    </row>
    <row r="509" spans="2:17" ht="16.5" hidden="1" customHeight="1" outlineLevel="1" thickBot="1" x14ac:dyDescent="0.3">
      <c r="B509" s="224" t="s">
        <v>579</v>
      </c>
      <c r="C509" s="101" t="s">
        <v>442</v>
      </c>
      <c r="D509" s="220">
        <v>14.7</v>
      </c>
      <c r="E509" s="117">
        <v>18</v>
      </c>
      <c r="F509" s="169"/>
      <c r="G509" s="103" t="str">
        <f>PER_WEB!JZ153</f>
        <v>Dante Cunningham, PF</v>
      </c>
      <c r="H509" s="162">
        <f>(SUBSTITUTE(PER_WEB!KN153,".",","))*1</f>
        <v>-11.4</v>
      </c>
      <c r="I509" s="117">
        <f>PER_WEB!KB153</f>
        <v>0</v>
      </c>
      <c r="J509" s="151"/>
    </row>
    <row r="510" spans="2:17" ht="16.5" hidden="1" customHeight="1" outlineLevel="1" thickBot="1" x14ac:dyDescent="0.3">
      <c r="B510" s="224" t="s">
        <v>579</v>
      </c>
      <c r="C510" s="101" t="s">
        <v>443</v>
      </c>
      <c r="D510" s="221">
        <v>11.6</v>
      </c>
      <c r="E510" s="118">
        <v>13</v>
      </c>
      <c r="F510" s="169"/>
      <c r="G510" s="101"/>
      <c r="H510" s="162"/>
      <c r="I510" s="118"/>
      <c r="J510" s="151"/>
    </row>
    <row r="511" spans="2:17" ht="16.5" hidden="1" customHeight="1" outlineLevel="1" thickBot="1" x14ac:dyDescent="0.3">
      <c r="B511" s="224" t="s">
        <v>579</v>
      </c>
      <c r="C511" s="101" t="s">
        <v>444</v>
      </c>
      <c r="D511" s="220">
        <v>8.6</v>
      </c>
      <c r="E511" s="117">
        <v>46</v>
      </c>
      <c r="F511" s="169"/>
      <c r="G511" s="101"/>
      <c r="H511" s="162"/>
      <c r="I511" s="117"/>
      <c r="J511" s="151"/>
    </row>
    <row r="512" spans="2:17" ht="16.5" hidden="1" customHeight="1" outlineLevel="1" thickBot="1" x14ac:dyDescent="0.3">
      <c r="B512" s="224" t="s">
        <v>579</v>
      </c>
      <c r="C512" s="101" t="s">
        <v>445</v>
      </c>
      <c r="D512" s="221">
        <v>13.9</v>
      </c>
      <c r="E512" s="118">
        <v>17</v>
      </c>
      <c r="F512" s="169"/>
      <c r="G512" s="101"/>
      <c r="H512" s="162"/>
      <c r="I512" s="118"/>
      <c r="J512" s="151"/>
    </row>
    <row r="513" spans="2:17" ht="16.5" hidden="1" customHeight="1" outlineLevel="1" thickBot="1" x14ac:dyDescent="0.3">
      <c r="B513" s="224" t="s">
        <v>579</v>
      </c>
      <c r="C513" s="101" t="s">
        <v>446</v>
      </c>
      <c r="D513" s="220">
        <v>9.6</v>
      </c>
      <c r="E513" s="117">
        <v>11</v>
      </c>
      <c r="F513" s="169"/>
      <c r="G513" s="101"/>
      <c r="H513" s="162"/>
      <c r="I513" s="117"/>
      <c r="J513" s="151"/>
    </row>
    <row r="514" spans="2:17" ht="16.5" hidden="1" customHeight="1" outlineLevel="1" thickBot="1" x14ac:dyDescent="0.3">
      <c r="B514" s="224" t="s">
        <v>579</v>
      </c>
      <c r="C514" s="101" t="s">
        <v>447</v>
      </c>
      <c r="D514" s="221">
        <v>8.4</v>
      </c>
      <c r="E514" s="118">
        <v>38</v>
      </c>
      <c r="F514" s="169"/>
      <c r="G514" s="101"/>
      <c r="H514" s="162"/>
      <c r="I514" s="118"/>
      <c r="J514" s="151"/>
    </row>
    <row r="515" spans="2:17" ht="16.5" hidden="1" customHeight="1" outlineLevel="1" thickBot="1" x14ac:dyDescent="0.3">
      <c r="B515" s="224" t="s">
        <v>579</v>
      </c>
      <c r="C515" s="101" t="s">
        <v>448</v>
      </c>
      <c r="D515" s="220">
        <v>11</v>
      </c>
      <c r="E515" s="117">
        <v>64</v>
      </c>
      <c r="F515" s="169"/>
      <c r="G515" s="101"/>
      <c r="H515" s="162"/>
      <c r="I515" s="117"/>
      <c r="J515" s="151"/>
    </row>
    <row r="516" spans="2:17" ht="16.5" hidden="1" customHeight="1" outlineLevel="1" thickBot="1" x14ac:dyDescent="0.3">
      <c r="B516" s="224" t="s">
        <v>579</v>
      </c>
      <c r="C516" s="101" t="s">
        <v>449</v>
      </c>
      <c r="D516" s="221">
        <v>6</v>
      </c>
      <c r="E516" s="118">
        <v>5</v>
      </c>
      <c r="F516" s="169"/>
      <c r="G516" s="101"/>
      <c r="H516" s="161"/>
      <c r="I516" s="118"/>
      <c r="J516" s="151"/>
    </row>
    <row r="517" spans="2:17" ht="16.5" hidden="1" customHeight="1" outlineLevel="1" thickBot="1" x14ac:dyDescent="0.3">
      <c r="B517" s="224" t="s">
        <v>579</v>
      </c>
      <c r="C517" s="101" t="s">
        <v>450</v>
      </c>
      <c r="D517" s="220">
        <v>-2.1</v>
      </c>
      <c r="E517" s="117">
        <v>1</v>
      </c>
      <c r="F517" s="169"/>
      <c r="G517" s="101"/>
      <c r="H517" s="162"/>
      <c r="I517" s="117"/>
      <c r="J517" s="151"/>
    </row>
    <row r="518" spans="2:17" ht="16.5" hidden="1" customHeight="1" outlineLevel="1" thickBot="1" x14ac:dyDescent="0.3">
      <c r="B518" s="229" t="s">
        <v>579</v>
      </c>
      <c r="C518" s="102" t="s">
        <v>237</v>
      </c>
      <c r="D518" s="221">
        <v>-1.5</v>
      </c>
      <c r="E518" s="118">
        <v>0</v>
      </c>
      <c r="F518" s="169"/>
      <c r="G518" s="102"/>
      <c r="H518" s="161"/>
      <c r="I518" s="118"/>
      <c r="J518" s="151"/>
    </row>
    <row r="519" spans="2:17" ht="16.5" collapsed="1" thickBot="1" x14ac:dyDescent="0.3">
      <c r="B519" s="419" t="s">
        <v>23</v>
      </c>
      <c r="C519" s="420"/>
      <c r="G519" s="156"/>
      <c r="H519" s="162"/>
      <c r="I519" s="117"/>
      <c r="J519" s="151"/>
      <c r="Q519">
        <f>(LARGE(PER!H520:H540,1)+LARGE(PER!H520:H540,2))/2</f>
        <v>32.450000000000003</v>
      </c>
    </row>
    <row r="520" spans="2:17" ht="16.5" hidden="1" customHeight="1" outlineLevel="1" thickBot="1" x14ac:dyDescent="0.3">
      <c r="B520" s="228" t="s">
        <v>581</v>
      </c>
      <c r="C520" s="103" t="s">
        <v>451</v>
      </c>
      <c r="D520" s="220">
        <v>28.2</v>
      </c>
      <c r="E520" s="117">
        <v>72</v>
      </c>
      <c r="F520" s="169"/>
      <c r="G520" s="103" t="str">
        <f>PER_WEB!KO143</f>
        <v>Russell Westbrook, PG</v>
      </c>
      <c r="H520" s="161">
        <f>(SUBSTITUTE(PER_WEB!LC143,".",","))*1</f>
        <v>34.5</v>
      </c>
      <c r="I520" s="118">
        <f>PER_WEB!KQ143</f>
        <v>1</v>
      </c>
      <c r="J520" s="151"/>
    </row>
    <row r="521" spans="2:17" ht="16.5" hidden="1" customHeight="1" outlineLevel="1" thickBot="1" x14ac:dyDescent="0.3">
      <c r="B521" s="224" t="s">
        <v>581</v>
      </c>
      <c r="C521" s="101" t="s">
        <v>452</v>
      </c>
      <c r="D521" s="221">
        <v>27.6</v>
      </c>
      <c r="E521" s="118">
        <v>80</v>
      </c>
      <c r="F521" s="169"/>
      <c r="G521" s="103" t="str">
        <f>PER_WEB!KO144</f>
        <v>Enes Kanter, C</v>
      </c>
      <c r="H521" s="161">
        <f>(SUBSTITUTE(PER_WEB!LC144,".",","))*1</f>
        <v>30.4</v>
      </c>
      <c r="I521" s="118">
        <f>PER_WEB!KQ144</f>
        <v>0</v>
      </c>
      <c r="J521" s="151"/>
    </row>
    <row r="522" spans="2:17" ht="16.5" hidden="1" customHeight="1" outlineLevel="1" thickBot="1" x14ac:dyDescent="0.3">
      <c r="B522" s="224" t="s">
        <v>581</v>
      </c>
      <c r="C522" s="101" t="s">
        <v>453</v>
      </c>
      <c r="D522" s="220">
        <v>24.1</v>
      </c>
      <c r="E522" s="117">
        <v>1</v>
      </c>
      <c r="F522" s="169"/>
      <c r="G522" s="103" t="str">
        <f>PER_WEB!KO145</f>
        <v>Ersan Ilyasova, PF</v>
      </c>
      <c r="H522" s="161">
        <f>(SUBSTITUTE(PER_WEB!LC145,".",","))*1</f>
        <v>22.9</v>
      </c>
      <c r="I522" s="118">
        <f>PER_WEB!KQ145</f>
        <v>0</v>
      </c>
      <c r="J522" s="151"/>
    </row>
    <row r="523" spans="2:17" ht="16.5" hidden="1" customHeight="1" outlineLevel="1" thickBot="1" x14ac:dyDescent="0.3">
      <c r="B523" s="224" t="s">
        <v>581</v>
      </c>
      <c r="C523" s="101" t="s">
        <v>454</v>
      </c>
      <c r="D523" s="221">
        <v>14</v>
      </c>
      <c r="E523" s="118">
        <v>78</v>
      </c>
      <c r="F523" s="169"/>
      <c r="G523" s="103" t="str">
        <f>PER_WEB!KO146</f>
        <v>Steven Adams, C</v>
      </c>
      <c r="H523" s="161">
        <f>(SUBSTITUTE(PER_WEB!LC146,".",","))*1</f>
        <v>12.4</v>
      </c>
      <c r="I523" s="118">
        <f>PER_WEB!KQ146</f>
        <v>1</v>
      </c>
      <c r="J523" s="151"/>
    </row>
    <row r="524" spans="2:17" ht="16.5" hidden="1" customHeight="1" outlineLevel="1" thickBot="1" x14ac:dyDescent="0.3">
      <c r="B524" s="224" t="s">
        <v>581</v>
      </c>
      <c r="C524" s="101" t="s">
        <v>455</v>
      </c>
      <c r="D524" s="220">
        <v>9.4</v>
      </c>
      <c r="E524" s="117">
        <v>15</v>
      </c>
      <c r="F524" s="169"/>
      <c r="G524" s="103" t="str">
        <f>PER_WEB!KO147</f>
        <v>Semaj Christon, PG</v>
      </c>
      <c r="H524" s="161">
        <f>(SUBSTITUTE(PER_WEB!LC147,".",","))*1</f>
        <v>11.5</v>
      </c>
      <c r="I524" s="118">
        <f>PER_WEB!KQ147</f>
        <v>0</v>
      </c>
      <c r="J524" s="151"/>
    </row>
    <row r="525" spans="2:17" ht="16.5" hidden="1" customHeight="1" outlineLevel="1" thickBot="1" x14ac:dyDescent="0.3">
      <c r="B525" s="224" t="s">
        <v>581</v>
      </c>
      <c r="C525" s="101" t="s">
        <v>456</v>
      </c>
      <c r="D525" s="221">
        <v>15.5</v>
      </c>
      <c r="E525" s="118">
        <v>80</v>
      </c>
      <c r="F525" s="169"/>
      <c r="G525" s="103" t="str">
        <f>PER_WEB!KO148</f>
        <v>Andre Roberson, SG</v>
      </c>
      <c r="H525" s="161">
        <f>(SUBSTITUTE(PER_WEB!LC148,".",","))*1</f>
        <v>7.3</v>
      </c>
      <c r="I525" s="118">
        <f>PER_WEB!KQ148</f>
        <v>1</v>
      </c>
      <c r="J525" s="151"/>
    </row>
    <row r="526" spans="2:17" ht="16.5" hidden="1" customHeight="1" outlineLevel="1" thickBot="1" x14ac:dyDescent="0.3">
      <c r="B526" s="224" t="s">
        <v>581</v>
      </c>
      <c r="C526" s="101" t="s">
        <v>335</v>
      </c>
      <c r="D526" s="220">
        <v>7.2</v>
      </c>
      <c r="E526" s="117">
        <v>1</v>
      </c>
      <c r="F526" s="169"/>
      <c r="G526" s="103" t="str">
        <f>PER_WEB!KO149</f>
        <v>Domantas Sabonis, PF</v>
      </c>
      <c r="H526" s="161">
        <f>(SUBSTITUTE(PER_WEB!LC149,".",","))*1</f>
        <v>7.1</v>
      </c>
      <c r="I526" s="118">
        <f>PER_WEB!KQ149</f>
        <v>1</v>
      </c>
      <c r="J526" s="151"/>
    </row>
    <row r="527" spans="2:17" ht="16.5" hidden="1" customHeight="1" outlineLevel="1" thickBot="1" x14ac:dyDescent="0.3">
      <c r="B527" s="224" t="s">
        <v>581</v>
      </c>
      <c r="C527" s="101" t="s">
        <v>457</v>
      </c>
      <c r="D527" s="221">
        <v>10.7</v>
      </c>
      <c r="E527" s="118">
        <v>6</v>
      </c>
      <c r="F527" s="169"/>
      <c r="G527" s="103" t="str">
        <f>PER_WEB!KO150</f>
        <v>Kyle Singler, SF</v>
      </c>
      <c r="H527" s="161">
        <f>(SUBSTITUTE(PER_WEB!LC150,".",","))*1</f>
        <v>-1.9</v>
      </c>
      <c r="I527" s="118">
        <f>PER_WEB!KQ150</f>
        <v>0</v>
      </c>
      <c r="J527" s="151"/>
    </row>
    <row r="528" spans="2:17" ht="16.5" hidden="1" customHeight="1" outlineLevel="1" thickBot="1" x14ac:dyDescent="0.3">
      <c r="B528" s="224" t="s">
        <v>581</v>
      </c>
      <c r="C528" s="101" t="s">
        <v>458</v>
      </c>
      <c r="D528" s="220">
        <v>12.9</v>
      </c>
      <c r="E528" s="117">
        <v>1</v>
      </c>
      <c r="F528" s="169"/>
      <c r="G528" s="103" t="str">
        <f>PER_WEB!KO151</f>
        <v>Victor Oladipo, SG</v>
      </c>
      <c r="H528" s="161">
        <f>(SUBSTITUTE(PER_WEB!LC151,".",","))*1</f>
        <v>-2.2999999999999998</v>
      </c>
      <c r="I528" s="118">
        <f>PER_WEB!KQ151</f>
        <v>1</v>
      </c>
      <c r="J528" s="151"/>
    </row>
    <row r="529" spans="2:17" ht="16.5" hidden="1" customHeight="1" outlineLevel="1" thickBot="1" x14ac:dyDescent="0.3">
      <c r="B529" s="224" t="s">
        <v>581</v>
      </c>
      <c r="C529" s="101" t="s">
        <v>459</v>
      </c>
      <c r="D529" s="221">
        <v>10.199999999999999</v>
      </c>
      <c r="E529" s="118">
        <v>70</v>
      </c>
      <c r="F529" s="169"/>
      <c r="G529" s="103" t="str">
        <f>PER_WEB!KO152</f>
        <v>Alex Abrines, SG</v>
      </c>
      <c r="H529" s="161">
        <f>(SUBSTITUTE(PER_WEB!LC152,".",","))*1</f>
        <v>-3.4</v>
      </c>
      <c r="I529" s="118">
        <f>PER_WEB!KQ152</f>
        <v>0</v>
      </c>
      <c r="J529" s="151"/>
    </row>
    <row r="530" spans="2:17" ht="16.5" hidden="1" customHeight="1" outlineLevel="1" thickBot="1" x14ac:dyDescent="0.3">
      <c r="B530" s="224" t="s">
        <v>581</v>
      </c>
      <c r="C530" s="101" t="s">
        <v>329</v>
      </c>
      <c r="D530" s="220">
        <v>8.6999999999999993</v>
      </c>
      <c r="E530" s="117">
        <v>0</v>
      </c>
      <c r="F530" s="169"/>
      <c r="G530" s="101"/>
      <c r="H530" s="161"/>
      <c r="I530" s="118"/>
      <c r="J530" s="151"/>
    </row>
    <row r="531" spans="2:17" ht="16.5" hidden="1" customHeight="1" outlineLevel="1" thickBot="1" x14ac:dyDescent="0.3">
      <c r="B531" s="224" t="s">
        <v>581</v>
      </c>
      <c r="C531" s="101" t="s">
        <v>460</v>
      </c>
      <c r="D531" s="221">
        <v>6.7</v>
      </c>
      <c r="E531" s="118">
        <v>2</v>
      </c>
      <c r="F531" s="169"/>
      <c r="G531" s="101"/>
      <c r="H531" s="161"/>
      <c r="I531" s="117"/>
      <c r="J531" s="151"/>
    </row>
    <row r="532" spans="2:17" ht="16.5" hidden="1" customHeight="1" outlineLevel="1" thickBot="1" x14ac:dyDescent="0.3">
      <c r="B532" s="224" t="s">
        <v>581</v>
      </c>
      <c r="C532" s="101" t="s">
        <v>461</v>
      </c>
      <c r="D532" s="220">
        <v>6.7</v>
      </c>
      <c r="E532" s="117">
        <v>0</v>
      </c>
      <c r="F532" s="169"/>
      <c r="G532" s="101"/>
      <c r="H532" s="161"/>
      <c r="I532" s="118"/>
      <c r="J532" s="151"/>
    </row>
    <row r="533" spans="2:17" ht="16.5" hidden="1" customHeight="1" outlineLevel="1" thickBot="1" x14ac:dyDescent="0.3">
      <c r="B533" s="224" t="s">
        <v>581</v>
      </c>
      <c r="C533" s="101" t="s">
        <v>221</v>
      </c>
      <c r="D533" s="221">
        <v>20.8</v>
      </c>
      <c r="E533" s="118">
        <v>0</v>
      </c>
      <c r="F533" s="169"/>
      <c r="G533" s="101"/>
      <c r="H533" s="162"/>
      <c r="I533" s="117"/>
      <c r="J533" s="151"/>
    </row>
    <row r="534" spans="2:17" ht="16.5" hidden="1" customHeight="1" outlineLevel="1" thickBot="1" x14ac:dyDescent="0.3">
      <c r="B534" s="224" t="s">
        <v>581</v>
      </c>
      <c r="C534" s="101" t="s">
        <v>462</v>
      </c>
      <c r="D534" s="220">
        <v>7.7</v>
      </c>
      <c r="E534" s="117">
        <v>4</v>
      </c>
      <c r="F534" s="169"/>
      <c r="G534" s="101"/>
      <c r="H534" s="161"/>
      <c r="I534" s="118"/>
      <c r="J534" s="151"/>
    </row>
    <row r="535" spans="2:17" ht="16.5" hidden="1" customHeight="1" outlineLevel="1" thickBot="1" x14ac:dyDescent="0.3">
      <c r="B535" s="224" t="s">
        <v>581</v>
      </c>
      <c r="C535" s="101" t="s">
        <v>463</v>
      </c>
      <c r="D535" s="221">
        <v>6.1</v>
      </c>
      <c r="E535" s="118">
        <v>0</v>
      </c>
      <c r="F535" s="169"/>
      <c r="G535" s="101"/>
      <c r="H535" s="162"/>
      <c r="I535" s="117"/>
      <c r="J535" s="151"/>
    </row>
    <row r="536" spans="2:17" ht="16.5" hidden="1" customHeight="1" outlineLevel="1" thickBot="1" x14ac:dyDescent="0.3">
      <c r="B536" s="224" t="s">
        <v>581</v>
      </c>
      <c r="C536" s="101" t="s">
        <v>464</v>
      </c>
      <c r="D536" s="220">
        <v>7.5</v>
      </c>
      <c r="E536" s="117">
        <v>0</v>
      </c>
      <c r="F536" s="169"/>
      <c r="G536" s="101"/>
      <c r="H536" s="161"/>
      <c r="I536" s="118"/>
      <c r="J536" s="151"/>
    </row>
    <row r="537" spans="2:17" ht="16.5" hidden="1" customHeight="1" outlineLevel="1" thickBot="1" x14ac:dyDescent="0.3">
      <c r="B537" s="224" t="s">
        <v>581</v>
      </c>
      <c r="C537" s="101"/>
      <c r="D537" s="150"/>
      <c r="E537" s="150"/>
      <c r="F537" s="169"/>
      <c r="G537" s="101"/>
      <c r="H537" s="159"/>
      <c r="I537" s="117"/>
      <c r="J537" s="151"/>
    </row>
    <row r="538" spans="2:17" ht="16.5" hidden="1" customHeight="1" outlineLevel="1" thickBot="1" x14ac:dyDescent="0.3">
      <c r="B538" s="224" t="s">
        <v>581</v>
      </c>
      <c r="C538" s="101"/>
      <c r="D538" s="150"/>
      <c r="E538" s="150"/>
      <c r="F538" s="169"/>
      <c r="G538" s="101"/>
      <c r="H538" s="160"/>
      <c r="I538" s="118"/>
      <c r="J538" s="151"/>
    </row>
    <row r="539" spans="2:17" ht="16.5" hidden="1" customHeight="1" outlineLevel="1" thickBot="1" x14ac:dyDescent="0.3">
      <c r="B539" s="224" t="s">
        <v>581</v>
      </c>
      <c r="C539" s="101"/>
      <c r="D539" s="150"/>
      <c r="E539" s="150"/>
      <c r="F539" s="169"/>
      <c r="G539" s="101"/>
      <c r="H539" s="159"/>
      <c r="I539" s="117"/>
      <c r="J539" s="151"/>
    </row>
    <row r="540" spans="2:17" ht="16.5" hidden="1" customHeight="1" outlineLevel="1" thickBot="1" x14ac:dyDescent="0.3">
      <c r="B540" s="229" t="s">
        <v>581</v>
      </c>
      <c r="C540" s="102"/>
      <c r="D540" s="150"/>
      <c r="E540" s="150"/>
      <c r="F540" s="169"/>
      <c r="G540" s="102"/>
      <c r="H540" s="161"/>
      <c r="I540" s="118"/>
      <c r="J540" s="151"/>
    </row>
    <row r="541" spans="2:17" ht="16.5" collapsed="1" thickBot="1" x14ac:dyDescent="0.3">
      <c r="B541" s="419" t="s">
        <v>25</v>
      </c>
      <c r="C541" s="420"/>
      <c r="G541" s="156"/>
      <c r="H541" s="162"/>
      <c r="I541" s="117"/>
      <c r="J541" s="151"/>
      <c r="Q541">
        <f>(LARGE(PER!H542:H561,1)+LARGE(PER!H542:H561,2))/2</f>
        <v>29</v>
      </c>
    </row>
    <row r="542" spans="2:17" ht="16.5" hidden="1" customHeight="1" outlineLevel="1" thickBot="1" x14ac:dyDescent="0.3">
      <c r="B542" s="228" t="s">
        <v>580</v>
      </c>
      <c r="C542" s="103" t="s">
        <v>465</v>
      </c>
      <c r="D542" s="220">
        <v>20.100000000000001</v>
      </c>
      <c r="E542" s="117">
        <v>31</v>
      </c>
      <c r="F542" s="169"/>
      <c r="G542" s="103" t="str">
        <f>PER_WEB!MH143</f>
        <v>Dragan Bender, PF</v>
      </c>
      <c r="H542" s="161">
        <f>(SUBSTITUTE(PER_WEB!MV143,".",","))*1</f>
        <v>41.1</v>
      </c>
      <c r="I542" s="118">
        <f>PER_WEB!MJ143</f>
        <v>0</v>
      </c>
      <c r="J542" s="151"/>
    </row>
    <row r="543" spans="2:17" ht="16.5" hidden="1" customHeight="1" outlineLevel="1" thickBot="1" x14ac:dyDescent="0.3">
      <c r="B543" s="224" t="s">
        <v>580</v>
      </c>
      <c r="C543" s="101" t="s">
        <v>466</v>
      </c>
      <c r="D543" s="221">
        <v>14.8</v>
      </c>
      <c r="E543" s="118">
        <v>50</v>
      </c>
      <c r="F543" s="169"/>
      <c r="G543" s="103" t="str">
        <f>PER_WEB!MH144</f>
        <v>Eric Bledsoe, PG</v>
      </c>
      <c r="H543" s="161">
        <f>(SUBSTITUTE(PER_WEB!MV144,".",","))*1</f>
        <v>16.899999999999999</v>
      </c>
      <c r="I543" s="118">
        <f>PER_WEB!MJ144</f>
        <v>1</v>
      </c>
      <c r="J543" s="151"/>
    </row>
    <row r="544" spans="2:17" ht="16.5" hidden="1" customHeight="1" outlineLevel="1" thickBot="1" x14ac:dyDescent="0.3">
      <c r="B544" s="224" t="s">
        <v>580</v>
      </c>
      <c r="C544" s="101" t="s">
        <v>467</v>
      </c>
      <c r="D544" s="220">
        <v>12</v>
      </c>
      <c r="E544" s="117">
        <v>51</v>
      </c>
      <c r="F544" s="169"/>
      <c r="G544" s="103" t="str">
        <f>PER_WEB!MH145</f>
        <v>Alex Len, C</v>
      </c>
      <c r="H544" s="161">
        <f>(SUBSTITUTE(PER_WEB!MV145,".",","))*1</f>
        <v>15</v>
      </c>
      <c r="I544" s="118">
        <f>PER_WEB!MJ145</f>
        <v>0</v>
      </c>
      <c r="J544" s="151"/>
    </row>
    <row r="545" spans="2:10" ht="16.5" hidden="1" customHeight="1" outlineLevel="1" thickBot="1" x14ac:dyDescent="0.3">
      <c r="B545" s="224" t="s">
        <v>580</v>
      </c>
      <c r="C545" s="101" t="s">
        <v>468</v>
      </c>
      <c r="D545" s="221">
        <v>16.3</v>
      </c>
      <c r="E545" s="118">
        <v>1</v>
      </c>
      <c r="F545" s="169"/>
      <c r="G545" s="103" t="str">
        <f>PER_WEB!MH146</f>
        <v>Tyson Chandler, C</v>
      </c>
      <c r="H545" s="161">
        <f>(SUBSTITUTE(PER_WEB!MV146,".",","))*1</f>
        <v>14.8</v>
      </c>
      <c r="I545" s="118">
        <f>PER_WEB!MJ146</f>
        <v>1</v>
      </c>
      <c r="J545" s="151"/>
    </row>
    <row r="546" spans="2:10" ht="16.5" hidden="1" customHeight="1" outlineLevel="1" thickBot="1" x14ac:dyDescent="0.3">
      <c r="B546" s="224" t="s">
        <v>580</v>
      </c>
      <c r="C546" s="101" t="s">
        <v>292</v>
      </c>
      <c r="D546" s="220">
        <v>10.8</v>
      </c>
      <c r="E546" s="117">
        <v>24</v>
      </c>
      <c r="F546" s="169"/>
      <c r="G546" s="103" t="str">
        <f>PER_WEB!MH147</f>
        <v>Devin Booker, SG</v>
      </c>
      <c r="H546" s="161">
        <f>(SUBSTITUTE(PER_WEB!MV147,".",","))*1</f>
        <v>14.7</v>
      </c>
      <c r="I546" s="118">
        <f>PER_WEB!MJ147</f>
        <v>1</v>
      </c>
      <c r="J546" s="151"/>
    </row>
    <row r="547" spans="2:10" ht="16.5" hidden="1" customHeight="1" outlineLevel="1" thickBot="1" x14ac:dyDescent="0.3">
      <c r="B547" s="224" t="s">
        <v>580</v>
      </c>
      <c r="C547" s="101" t="s">
        <v>469</v>
      </c>
      <c r="D547" s="221">
        <v>15.8</v>
      </c>
      <c r="E547" s="118">
        <v>4</v>
      </c>
      <c r="F547" s="169"/>
      <c r="G547" s="103" t="str">
        <f>PER_WEB!MH148</f>
        <v>T.J. Warren, SF</v>
      </c>
      <c r="H547" s="161">
        <f>(SUBSTITUTE(PER_WEB!MV148,".",","))*1</f>
        <v>13.6</v>
      </c>
      <c r="I547" s="118">
        <f>PER_WEB!MJ148</f>
        <v>1</v>
      </c>
      <c r="J547" s="151"/>
    </row>
    <row r="548" spans="2:10" ht="16.5" hidden="1" customHeight="1" outlineLevel="1" thickBot="1" x14ac:dyDescent="0.3">
      <c r="B548" s="224" t="s">
        <v>580</v>
      </c>
      <c r="C548" s="101" t="s">
        <v>470</v>
      </c>
      <c r="D548" s="220">
        <v>12.5</v>
      </c>
      <c r="E548" s="117">
        <v>46</v>
      </c>
      <c r="F548" s="169"/>
      <c r="G548" s="103" t="str">
        <f>PER_WEB!MH149</f>
        <v>Tyler Ulis, PG</v>
      </c>
      <c r="H548" s="161">
        <f>(SUBSTITUTE(PER_WEB!MV149,".",","))*1</f>
        <v>5.2</v>
      </c>
      <c r="I548" s="118">
        <f>PER_WEB!MJ149</f>
        <v>0</v>
      </c>
      <c r="J548" s="151"/>
    </row>
    <row r="549" spans="2:10" ht="16.5" hidden="1" customHeight="1" outlineLevel="1" thickBot="1" x14ac:dyDescent="0.3">
      <c r="B549" s="224" t="s">
        <v>580</v>
      </c>
      <c r="C549" s="101" t="s">
        <v>471</v>
      </c>
      <c r="D549" s="221">
        <v>11.2</v>
      </c>
      <c r="E549" s="118">
        <v>13</v>
      </c>
      <c r="F549" s="169"/>
      <c r="G549" s="103" t="str">
        <f>PER_WEB!MH150</f>
        <v>Jared Dudley, SF</v>
      </c>
      <c r="H549" s="161">
        <f>(SUBSTITUTE(PER_WEB!MV150,".",","))*1</f>
        <v>4.9000000000000004</v>
      </c>
      <c r="I549" s="118">
        <f>PER_WEB!MJ150</f>
        <v>1</v>
      </c>
      <c r="J549" s="151"/>
    </row>
    <row r="550" spans="2:10" ht="16.5" hidden="1" customHeight="1" outlineLevel="1" thickBot="1" x14ac:dyDescent="0.3">
      <c r="B550" s="224" t="s">
        <v>580</v>
      </c>
      <c r="C550" s="101" t="s">
        <v>472</v>
      </c>
      <c r="D550" s="220">
        <v>16.2</v>
      </c>
      <c r="E550" s="117">
        <v>27</v>
      </c>
      <c r="F550" s="169"/>
      <c r="G550" s="103" t="str">
        <f>PER_WEB!MH151</f>
        <v>Marquese Chriss, PF</v>
      </c>
      <c r="H550" s="161">
        <f>(SUBSTITUTE(PER_WEB!MV151,".",","))*1</f>
        <v>3.1</v>
      </c>
      <c r="I550" s="118">
        <f>PER_WEB!MJ151</f>
        <v>0</v>
      </c>
      <c r="J550" s="151"/>
    </row>
    <row r="551" spans="2:10" ht="16.5" hidden="1" customHeight="1" outlineLevel="1" thickBot="1" x14ac:dyDescent="0.3">
      <c r="B551" s="224" t="s">
        <v>580</v>
      </c>
      <c r="C551" s="101" t="s">
        <v>450</v>
      </c>
      <c r="D551" s="221"/>
      <c r="E551" s="118">
        <v>0</v>
      </c>
      <c r="F551" s="169"/>
      <c r="G551" s="103" t="str">
        <f>PER_WEB!MH152</f>
        <v>Brandon Knight, PG</v>
      </c>
      <c r="H551" s="161">
        <f>(SUBSTITUTE(PER_WEB!MV152,".",","))*1</f>
        <v>2.6</v>
      </c>
      <c r="I551" s="118">
        <f>PER_WEB!MJ152</f>
        <v>0</v>
      </c>
      <c r="J551" s="151"/>
    </row>
    <row r="552" spans="2:10" ht="16.5" hidden="1" customHeight="1" outlineLevel="1" thickBot="1" x14ac:dyDescent="0.3">
      <c r="B552" s="224" t="s">
        <v>580</v>
      </c>
      <c r="C552" s="101" t="s">
        <v>473</v>
      </c>
      <c r="D552" s="220">
        <v>10.9</v>
      </c>
      <c r="E552" s="117">
        <v>80</v>
      </c>
      <c r="F552" s="169"/>
      <c r="G552" s="103" t="str">
        <f>PER_WEB!MH153</f>
        <v>P.J. Tucker, SF</v>
      </c>
      <c r="H552" s="161">
        <f>(SUBSTITUTE(PER_WEB!MV153,".",","))*1</f>
        <v>-8.6999999999999993</v>
      </c>
      <c r="I552" s="118">
        <f>PER_WEB!MJ153</f>
        <v>0</v>
      </c>
      <c r="J552" s="151"/>
    </row>
    <row r="553" spans="2:10" ht="16.5" hidden="1" customHeight="1" outlineLevel="1" thickBot="1" x14ac:dyDescent="0.3">
      <c r="B553" s="224" t="s">
        <v>580</v>
      </c>
      <c r="C553" s="101" t="s">
        <v>65</v>
      </c>
      <c r="D553" s="221">
        <v>13.6</v>
      </c>
      <c r="E553" s="118">
        <v>3</v>
      </c>
      <c r="F553" s="169"/>
      <c r="G553" s="103" t="str">
        <f>PER_WEB!MH154</f>
        <v>Leandro Barbosa, SG</v>
      </c>
      <c r="H553" s="161">
        <f>(SUBSTITUTE(PER_WEB!MV154,".",","))*1</f>
        <v>-33</v>
      </c>
      <c r="I553" s="118">
        <f>PER_WEB!MJ154</f>
        <v>0</v>
      </c>
      <c r="J553" s="151"/>
    </row>
    <row r="554" spans="2:10" ht="16.5" hidden="1" customHeight="1" outlineLevel="1" thickBot="1" x14ac:dyDescent="0.3">
      <c r="B554" s="224" t="s">
        <v>580</v>
      </c>
      <c r="C554" s="101" t="s">
        <v>474</v>
      </c>
      <c r="D554" s="220">
        <v>14.7</v>
      </c>
      <c r="E554" s="117">
        <v>60</v>
      </c>
      <c r="F554" s="169"/>
      <c r="G554" s="101"/>
      <c r="H554" s="161"/>
      <c r="I554" s="118"/>
      <c r="J554" s="151"/>
    </row>
    <row r="555" spans="2:10" ht="16.5" hidden="1" customHeight="1" outlineLevel="1" thickBot="1" x14ac:dyDescent="0.3">
      <c r="B555" s="224" t="s">
        <v>580</v>
      </c>
      <c r="C555" s="101" t="s">
        <v>475</v>
      </c>
      <c r="D555" s="221">
        <v>9.6</v>
      </c>
      <c r="E555" s="118">
        <v>18</v>
      </c>
      <c r="F555" s="169"/>
      <c r="G555" s="101"/>
      <c r="H555" s="159"/>
      <c r="I555" s="117"/>
      <c r="J555" s="151"/>
    </row>
    <row r="556" spans="2:10" ht="16.5" hidden="1" customHeight="1" outlineLevel="1" thickBot="1" x14ac:dyDescent="0.3">
      <c r="B556" s="224" t="s">
        <v>580</v>
      </c>
      <c r="C556" s="101" t="s">
        <v>150</v>
      </c>
      <c r="D556" s="220">
        <v>14.2</v>
      </c>
      <c r="E556" s="117">
        <v>0</v>
      </c>
      <c r="F556" s="169"/>
      <c r="G556" s="101"/>
      <c r="H556" s="161"/>
      <c r="I556" s="118"/>
      <c r="J556" s="151"/>
    </row>
    <row r="557" spans="2:10" ht="16.5" hidden="1" customHeight="1" outlineLevel="1" thickBot="1" x14ac:dyDescent="0.3">
      <c r="B557" s="224" t="s">
        <v>580</v>
      </c>
      <c r="C557" s="101" t="s">
        <v>322</v>
      </c>
      <c r="D557" s="221">
        <v>11.9</v>
      </c>
      <c r="E557" s="118">
        <v>2</v>
      </c>
      <c r="F557" s="169"/>
      <c r="G557" s="101"/>
      <c r="H557" s="162"/>
      <c r="I557" s="117"/>
      <c r="J557" s="151"/>
    </row>
    <row r="558" spans="2:10" ht="16.5" hidden="1" customHeight="1" outlineLevel="1" thickBot="1" x14ac:dyDescent="0.3">
      <c r="B558" s="224" t="s">
        <v>580</v>
      </c>
      <c r="C558" s="101" t="s">
        <v>184</v>
      </c>
      <c r="D558" s="220">
        <v>9.1999999999999993</v>
      </c>
      <c r="E558" s="117">
        <v>0</v>
      </c>
      <c r="F558" s="169"/>
      <c r="G558" s="101"/>
      <c r="H558" s="161"/>
      <c r="I558" s="118"/>
      <c r="J558" s="151"/>
    </row>
    <row r="559" spans="2:10" ht="16.5" hidden="1" customHeight="1" outlineLevel="1" thickBot="1" x14ac:dyDescent="0.3">
      <c r="B559" s="224" t="s">
        <v>580</v>
      </c>
      <c r="C559" s="101" t="s">
        <v>476</v>
      </c>
      <c r="D559" s="221">
        <v>21.2</v>
      </c>
      <c r="E559" s="118">
        <v>0</v>
      </c>
      <c r="F559" s="169"/>
      <c r="G559" s="101"/>
      <c r="H559" s="162"/>
      <c r="I559" s="117"/>
      <c r="J559" s="151"/>
    </row>
    <row r="560" spans="2:10" ht="16.5" hidden="1" customHeight="1" outlineLevel="1" thickBot="1" x14ac:dyDescent="0.3">
      <c r="B560" s="224" t="s">
        <v>580</v>
      </c>
      <c r="C560" s="101" t="s">
        <v>477</v>
      </c>
      <c r="D560" s="220">
        <v>12.8</v>
      </c>
      <c r="E560" s="117">
        <v>0</v>
      </c>
      <c r="F560" s="169"/>
      <c r="G560" s="101"/>
      <c r="H560" s="161"/>
      <c r="I560" s="118"/>
      <c r="J560" s="151"/>
    </row>
    <row r="561" spans="2:17" ht="16.5" hidden="1" customHeight="1" outlineLevel="1" thickBot="1" x14ac:dyDescent="0.3">
      <c r="B561" s="224" t="s">
        <v>580</v>
      </c>
      <c r="C561" s="101" t="s">
        <v>272</v>
      </c>
      <c r="D561" s="221">
        <v>4.3</v>
      </c>
      <c r="E561" s="118">
        <v>0</v>
      </c>
      <c r="F561" s="169"/>
      <c r="G561" s="101"/>
      <c r="H561" s="162"/>
      <c r="I561" s="117"/>
      <c r="J561" s="151"/>
    </row>
    <row r="562" spans="2:17" ht="16.5" hidden="1" customHeight="1" outlineLevel="1" thickBot="1" x14ac:dyDescent="0.3">
      <c r="B562" s="224" t="s">
        <v>580</v>
      </c>
      <c r="C562" s="101" t="s">
        <v>478</v>
      </c>
      <c r="D562" s="220">
        <v>4.5</v>
      </c>
      <c r="E562" s="117">
        <v>0</v>
      </c>
      <c r="F562" s="169"/>
      <c r="G562" s="101"/>
      <c r="H562" s="161"/>
      <c r="I562" s="118"/>
      <c r="J562" s="151"/>
    </row>
    <row r="563" spans="2:17" ht="16.5" hidden="1" customHeight="1" outlineLevel="1" thickBot="1" x14ac:dyDescent="0.3">
      <c r="B563" s="224" t="s">
        <v>580</v>
      </c>
      <c r="C563" s="101" t="s">
        <v>269</v>
      </c>
      <c r="D563" s="221">
        <v>8.6</v>
      </c>
      <c r="E563" s="118">
        <v>0</v>
      </c>
      <c r="F563" s="169"/>
      <c r="G563" s="101"/>
      <c r="H563" s="162"/>
      <c r="I563" s="117"/>
      <c r="J563" s="151"/>
    </row>
    <row r="564" spans="2:17" ht="16.5" hidden="1" customHeight="1" outlineLevel="1" thickBot="1" x14ac:dyDescent="0.3">
      <c r="B564" s="229" t="s">
        <v>580</v>
      </c>
      <c r="C564" s="102" t="s">
        <v>417</v>
      </c>
      <c r="D564" s="220"/>
      <c r="E564" s="117">
        <v>0</v>
      </c>
      <c r="F564" s="169"/>
      <c r="G564" s="102"/>
      <c r="H564" s="161"/>
      <c r="I564" s="118"/>
      <c r="J564" s="151"/>
    </row>
    <row r="565" spans="2:17" ht="16.5" collapsed="1" thickBot="1" x14ac:dyDescent="0.3">
      <c r="B565" s="419" t="s">
        <v>24</v>
      </c>
      <c r="C565" s="420"/>
      <c r="G565" s="156"/>
      <c r="H565" s="162"/>
      <c r="I565" s="117"/>
      <c r="J565" s="151"/>
      <c r="Q565">
        <f>(LARGE(PER!H566:H583,1)+LARGE(PER!H566:H583,2))/2</f>
        <v>36.049999999999997</v>
      </c>
    </row>
    <row r="566" spans="2:17" ht="16.5" hidden="1" customHeight="1" outlineLevel="1" thickBot="1" x14ac:dyDescent="0.3">
      <c r="B566" s="228" t="s">
        <v>582</v>
      </c>
      <c r="C566" s="103" t="s">
        <v>479</v>
      </c>
      <c r="D566" s="220">
        <v>22.2</v>
      </c>
      <c r="E566" s="117">
        <v>75</v>
      </c>
      <c r="F566" s="169"/>
      <c r="G566" s="103" t="str">
        <f>PER_WEB!AT143</f>
        <v>Damian Lillard, PG</v>
      </c>
      <c r="H566" s="161">
        <f>(SUBSTITUTE(PER_WEB!BH143,".",","))*1</f>
        <v>41.5</v>
      </c>
      <c r="I566" s="118">
        <f>PER_WEB!AV143</f>
        <v>1</v>
      </c>
      <c r="J566" s="151"/>
    </row>
    <row r="567" spans="2:17" ht="16.5" hidden="1" customHeight="1" outlineLevel="1" thickBot="1" x14ac:dyDescent="0.3">
      <c r="B567" s="224" t="s">
        <v>582</v>
      </c>
      <c r="C567" s="101" t="s">
        <v>480</v>
      </c>
      <c r="D567" s="221">
        <v>17.8</v>
      </c>
      <c r="E567" s="118">
        <v>80</v>
      </c>
      <c r="F567" s="169"/>
      <c r="G567" s="103" t="str">
        <f>PER_WEB!AT144</f>
        <v>Noah Vonleh, PF</v>
      </c>
      <c r="H567" s="161">
        <f>(SUBSTITUTE(PER_WEB!BH144,".",","))*1</f>
        <v>30.6</v>
      </c>
      <c r="I567" s="118">
        <f>PER_WEB!AV144</f>
        <v>0</v>
      </c>
      <c r="J567" s="151"/>
    </row>
    <row r="568" spans="2:17" ht="16.5" hidden="1" customHeight="1" outlineLevel="1" thickBot="1" x14ac:dyDescent="0.3">
      <c r="B568" s="224" t="s">
        <v>582</v>
      </c>
      <c r="C568" s="101" t="s">
        <v>481</v>
      </c>
      <c r="D568" s="220">
        <v>12.3</v>
      </c>
      <c r="E568" s="117">
        <v>8</v>
      </c>
      <c r="F568" s="169"/>
      <c r="G568" s="103" t="str">
        <f>PER_WEB!AT145</f>
        <v>Allen Crabbe, SG</v>
      </c>
      <c r="H568" s="161">
        <f>(SUBSTITUTE(PER_WEB!BH145,".",","))*1</f>
        <v>21</v>
      </c>
      <c r="I568" s="118">
        <f>PER_WEB!AV145</f>
        <v>0</v>
      </c>
      <c r="J568" s="151"/>
    </row>
    <row r="569" spans="2:17" ht="16.5" hidden="1" customHeight="1" outlineLevel="1" thickBot="1" x14ac:dyDescent="0.3">
      <c r="B569" s="224" t="s">
        <v>582</v>
      </c>
      <c r="C569" s="101" t="s">
        <v>482</v>
      </c>
      <c r="D569" s="221">
        <v>12.8</v>
      </c>
      <c r="E569" s="118">
        <v>82</v>
      </c>
      <c r="F569" s="169"/>
      <c r="G569" s="103" t="str">
        <f>PER_WEB!AT146</f>
        <v>C.J. McCollum, SG</v>
      </c>
      <c r="H569" s="161">
        <f>(SUBSTITUTE(PER_WEB!BH146,".",","))*1</f>
        <v>20.9</v>
      </c>
      <c r="I569" s="118">
        <f>PER_WEB!AV146</f>
        <v>1</v>
      </c>
      <c r="J569" s="151"/>
      <c r="L569" s="274"/>
    </row>
    <row r="570" spans="2:17" ht="16.5" hidden="1" customHeight="1" outlineLevel="1" thickBot="1" x14ac:dyDescent="0.3">
      <c r="B570" s="224" t="s">
        <v>582</v>
      </c>
      <c r="C570" s="101" t="s">
        <v>483</v>
      </c>
      <c r="D570" s="220">
        <v>17.2</v>
      </c>
      <c r="E570" s="117">
        <v>82</v>
      </c>
      <c r="F570" s="169"/>
      <c r="G570" s="103" t="str">
        <f>PER_WEB!AT147</f>
        <v>Ed Davis, PF</v>
      </c>
      <c r="H570" s="161">
        <f>(SUBSTITUTE(PER_WEB!BH147,".",","))*1</f>
        <v>17.399999999999999</v>
      </c>
      <c r="I570" s="118">
        <f>PER_WEB!AV147</f>
        <v>0</v>
      </c>
      <c r="J570" s="151"/>
    </row>
    <row r="571" spans="2:17" ht="16.5" hidden="1" customHeight="1" outlineLevel="1" thickBot="1" x14ac:dyDescent="0.3">
      <c r="B571" s="224" t="s">
        <v>582</v>
      </c>
      <c r="C571" s="101" t="s">
        <v>484</v>
      </c>
      <c r="D571" s="221">
        <v>13</v>
      </c>
      <c r="E571" s="118">
        <v>0</v>
      </c>
      <c r="F571" s="169"/>
      <c r="G571" s="103" t="str">
        <f>PER_WEB!AT148</f>
        <v>Al-Farouq Aminu, SF</v>
      </c>
      <c r="H571" s="161">
        <f>(SUBSTITUTE(PER_WEB!BH148,".",","))*1</f>
        <v>12.7</v>
      </c>
      <c r="I571" s="118">
        <f>PER_WEB!AV148</f>
        <v>1</v>
      </c>
      <c r="J571" s="151"/>
    </row>
    <row r="572" spans="2:17" ht="16.5" hidden="1" customHeight="1" outlineLevel="1" thickBot="1" x14ac:dyDescent="0.3">
      <c r="B572" s="224" t="s">
        <v>582</v>
      </c>
      <c r="C572" s="101" t="s">
        <v>485</v>
      </c>
      <c r="D572" s="220">
        <v>11.4</v>
      </c>
      <c r="E572" s="117">
        <v>10</v>
      </c>
      <c r="F572" s="169"/>
      <c r="G572" s="103" t="str">
        <f>PER_WEB!AT149</f>
        <v>Evan Turner, SG</v>
      </c>
      <c r="H572" s="161">
        <f>(SUBSTITUTE(PER_WEB!BH149,".",","))*1</f>
        <v>7.5</v>
      </c>
      <c r="I572" s="118">
        <f>PER_WEB!AV149</f>
        <v>0</v>
      </c>
      <c r="J572" s="151"/>
    </row>
    <row r="573" spans="2:17" ht="16.5" hidden="1" customHeight="1" outlineLevel="1" thickBot="1" x14ac:dyDescent="0.3">
      <c r="B573" s="224" t="s">
        <v>582</v>
      </c>
      <c r="C573" s="101" t="s">
        <v>486</v>
      </c>
      <c r="D573" s="221">
        <v>18.8</v>
      </c>
      <c r="E573" s="118">
        <v>0</v>
      </c>
      <c r="F573" s="169"/>
      <c r="G573" s="103" t="str">
        <f>PER_WEB!AT150</f>
        <v>Maurice Harkless, SF</v>
      </c>
      <c r="H573" s="161">
        <f>(SUBSTITUTE(PER_WEB!BH150,".",","))*1</f>
        <v>-2.2999999999999998</v>
      </c>
      <c r="I573" s="118">
        <f>PER_WEB!AV150</f>
        <v>1</v>
      </c>
      <c r="J573" s="151"/>
    </row>
    <row r="574" spans="2:17" ht="16.5" hidden="1" customHeight="1" outlineLevel="1" thickBot="1" x14ac:dyDescent="0.3">
      <c r="B574" s="224" t="s">
        <v>582</v>
      </c>
      <c r="C574" s="101" t="s">
        <v>487</v>
      </c>
      <c r="D574" s="220">
        <v>13.4</v>
      </c>
      <c r="E574" s="117">
        <v>14</v>
      </c>
      <c r="F574" s="169"/>
      <c r="G574" s="103" t="str">
        <f>PER_WEB!AT151</f>
        <v>Mason Plumlee, PF</v>
      </c>
      <c r="H574" s="161">
        <f>(SUBSTITUTE(PER_WEB!BH151,".",","))*1</f>
        <v>-4.3</v>
      </c>
      <c r="I574" s="118">
        <f>PER_WEB!AV151</f>
        <v>1</v>
      </c>
      <c r="J574" s="151"/>
    </row>
    <row r="575" spans="2:17" ht="16.5" hidden="1" customHeight="1" outlineLevel="1" thickBot="1" x14ac:dyDescent="0.3">
      <c r="B575" s="224" t="s">
        <v>582</v>
      </c>
      <c r="C575" s="101" t="s">
        <v>488</v>
      </c>
      <c r="D575" s="221">
        <v>8.6</v>
      </c>
      <c r="E575" s="118">
        <v>56</v>
      </c>
      <c r="F575" s="169"/>
      <c r="G575" s="103" t="str">
        <f>PER_WEB!AT152</f>
        <v>Meyers Leonard, PF</v>
      </c>
      <c r="H575" s="161">
        <f>(SUBSTITUTE(PER_WEB!BH152,".",","))*1</f>
        <v>-5.6</v>
      </c>
      <c r="I575" s="118">
        <f>PER_WEB!AV152</f>
        <v>0</v>
      </c>
      <c r="J575" s="151"/>
    </row>
    <row r="576" spans="2:17" ht="16.5" hidden="1" customHeight="1" outlineLevel="1" thickBot="1" x14ac:dyDescent="0.3">
      <c r="B576" s="224" t="s">
        <v>582</v>
      </c>
      <c r="C576" s="101" t="s">
        <v>134</v>
      </c>
      <c r="D576" s="220">
        <v>13.7</v>
      </c>
      <c r="E576" s="117">
        <v>0</v>
      </c>
      <c r="F576" s="169"/>
      <c r="G576" s="103"/>
      <c r="H576" s="161"/>
      <c r="I576" s="118"/>
      <c r="J576" s="151"/>
    </row>
    <row r="577" spans="2:17" ht="16.5" hidden="1" customHeight="1" outlineLevel="1" thickBot="1" x14ac:dyDescent="0.3">
      <c r="B577" s="224" t="s">
        <v>582</v>
      </c>
      <c r="C577" s="101" t="s">
        <v>489</v>
      </c>
      <c r="D577" s="221">
        <v>11.2</v>
      </c>
      <c r="E577" s="118">
        <v>2</v>
      </c>
      <c r="F577" s="169"/>
      <c r="G577" s="103"/>
      <c r="H577" s="162"/>
      <c r="I577" s="117"/>
      <c r="J577" s="151"/>
    </row>
    <row r="578" spans="2:17" ht="16.5" hidden="1" customHeight="1" outlineLevel="1" thickBot="1" x14ac:dyDescent="0.3">
      <c r="B578" s="224" t="s">
        <v>582</v>
      </c>
      <c r="C578" s="101" t="s">
        <v>439</v>
      </c>
      <c r="D578" s="220">
        <v>4.8</v>
      </c>
      <c r="E578" s="117">
        <v>1</v>
      </c>
      <c r="F578" s="169"/>
      <c r="G578" s="103"/>
      <c r="H578" s="161"/>
      <c r="I578" s="118"/>
      <c r="J578" s="151"/>
    </row>
    <row r="579" spans="2:17" ht="16.5" hidden="1" customHeight="1" outlineLevel="1" thickBot="1" x14ac:dyDescent="0.3">
      <c r="B579" s="224" t="s">
        <v>582</v>
      </c>
      <c r="C579" s="101" t="s">
        <v>490</v>
      </c>
      <c r="D579" s="221">
        <v>11.7</v>
      </c>
      <c r="E579" s="118">
        <v>0</v>
      </c>
      <c r="F579" s="169"/>
      <c r="G579" s="103"/>
      <c r="H579" s="162"/>
      <c r="I579" s="117"/>
      <c r="J579" s="151"/>
    </row>
    <row r="580" spans="2:17" ht="16.5" hidden="1" customHeight="1" outlineLevel="1" thickBot="1" x14ac:dyDescent="0.3">
      <c r="B580" s="224" t="s">
        <v>582</v>
      </c>
      <c r="C580" s="101" t="s">
        <v>491</v>
      </c>
      <c r="D580" s="220">
        <v>-2.7</v>
      </c>
      <c r="E580" s="117">
        <v>0</v>
      </c>
      <c r="F580" s="169"/>
      <c r="G580" s="103"/>
      <c r="H580" s="161"/>
      <c r="I580" s="118"/>
      <c r="J580" s="151"/>
    </row>
    <row r="581" spans="2:17" ht="16.5" hidden="1" customHeight="1" outlineLevel="1" thickBot="1" x14ac:dyDescent="0.3">
      <c r="B581" s="224" t="s">
        <v>582</v>
      </c>
      <c r="C581" s="101" t="s">
        <v>492</v>
      </c>
      <c r="D581" s="221">
        <v>4.7</v>
      </c>
      <c r="E581" s="118">
        <v>0</v>
      </c>
      <c r="F581" s="169"/>
      <c r="G581" s="103"/>
      <c r="H581" s="162"/>
      <c r="I581" s="117"/>
      <c r="J581" s="151"/>
    </row>
    <row r="582" spans="2:17" ht="16.5" hidden="1" customHeight="1" outlineLevel="1" thickBot="1" x14ac:dyDescent="0.3">
      <c r="B582" s="224" t="s">
        <v>582</v>
      </c>
      <c r="C582" s="101"/>
      <c r="D582" s="150"/>
      <c r="E582" s="150"/>
      <c r="F582" s="169"/>
      <c r="G582" s="103"/>
      <c r="H582" s="161"/>
      <c r="I582" s="118"/>
      <c r="J582" s="151"/>
    </row>
    <row r="583" spans="2:17" ht="16.5" hidden="1" customHeight="1" outlineLevel="1" thickBot="1" x14ac:dyDescent="0.3">
      <c r="B583" s="229" t="s">
        <v>582</v>
      </c>
      <c r="C583" s="102"/>
      <c r="D583" s="150"/>
      <c r="E583" s="150"/>
      <c r="F583" s="169"/>
      <c r="G583" s="103"/>
      <c r="H583" s="162"/>
      <c r="I583" s="117"/>
      <c r="J583" s="151"/>
    </row>
    <row r="584" spans="2:17" ht="16.5" collapsed="1" thickBot="1" x14ac:dyDescent="0.3">
      <c r="B584" s="419" t="s">
        <v>26</v>
      </c>
      <c r="C584" s="420"/>
      <c r="G584" s="156"/>
      <c r="H584" s="225"/>
      <c r="I584" s="170"/>
      <c r="J584" s="151"/>
      <c r="Q584">
        <f>(LARGE(PER!H585:H602,1)+LARGE(PER!H585:H602,2))/2</f>
        <v>29.85</v>
      </c>
    </row>
    <row r="585" spans="2:17" ht="16.5" hidden="1" customHeight="1" outlineLevel="1" thickBot="1" x14ac:dyDescent="0.3">
      <c r="B585" s="228" t="s">
        <v>583</v>
      </c>
      <c r="C585" s="103" t="s">
        <v>493</v>
      </c>
      <c r="D585" s="220">
        <v>23.7</v>
      </c>
      <c r="E585" s="117">
        <v>65</v>
      </c>
      <c r="F585" s="169"/>
      <c r="G585" s="103" t="str">
        <f>PER_WEB!MW143</f>
        <v>DeMarcus Cousins, C</v>
      </c>
      <c r="H585" s="159">
        <f>(SUBSTITUTE(PER_WEB!NK143,".",","))*1</f>
        <v>31.9</v>
      </c>
      <c r="I585" s="117">
        <f>PER_WEB!MY143</f>
        <v>1</v>
      </c>
      <c r="J585" s="151"/>
    </row>
    <row r="586" spans="2:17" ht="16.5" hidden="1" customHeight="1" outlineLevel="1" thickBot="1" x14ac:dyDescent="0.3">
      <c r="B586" s="224" t="s">
        <v>583</v>
      </c>
      <c r="C586" s="101" t="s">
        <v>494</v>
      </c>
      <c r="D586" s="221">
        <v>15.5</v>
      </c>
      <c r="E586" s="118">
        <v>70</v>
      </c>
      <c r="F586" s="169"/>
      <c r="G586" s="103" t="str">
        <f>PER_WEB!MW144</f>
        <v>Rudy Gay, SF</v>
      </c>
      <c r="H586" s="159">
        <f>(SUBSTITUTE(PER_WEB!NK144,".",","))*1</f>
        <v>27.8</v>
      </c>
      <c r="I586" s="117">
        <f>PER_WEB!MY144</f>
        <v>1</v>
      </c>
      <c r="J586" s="151"/>
    </row>
    <row r="587" spans="2:17" ht="16.5" hidden="1" customHeight="1" outlineLevel="1" thickBot="1" x14ac:dyDescent="0.3">
      <c r="B587" s="224" t="s">
        <v>583</v>
      </c>
      <c r="C587" s="101" t="s">
        <v>495</v>
      </c>
      <c r="D587" s="220">
        <v>15.9</v>
      </c>
      <c r="E587" s="117">
        <v>15</v>
      </c>
      <c r="F587" s="169"/>
      <c r="G587" s="103" t="str">
        <f>PER_WEB!MW145</f>
        <v>Garrett Temple, SG</v>
      </c>
      <c r="H587" s="159">
        <f>(SUBSTITUTE(PER_WEB!NK145,".",","))*1</f>
        <v>24</v>
      </c>
      <c r="I587" s="117">
        <f>PER_WEB!MY145</f>
        <v>0</v>
      </c>
      <c r="J587" s="151"/>
    </row>
    <row r="588" spans="2:17" ht="16.5" hidden="1" customHeight="1" outlineLevel="1" thickBot="1" x14ac:dyDescent="0.3">
      <c r="B588" s="224" t="s">
        <v>583</v>
      </c>
      <c r="C588" s="101" t="s">
        <v>496</v>
      </c>
      <c r="D588" s="221">
        <v>16.899999999999999</v>
      </c>
      <c r="E588" s="118">
        <v>72</v>
      </c>
      <c r="F588" s="169"/>
      <c r="G588" s="103" t="str">
        <f>PER_WEB!MW146</f>
        <v>Matt Barnes, SF</v>
      </c>
      <c r="H588" s="159">
        <f>(SUBSTITUTE(PER_WEB!NK146,".",","))*1</f>
        <v>20.5</v>
      </c>
      <c r="I588" s="117">
        <f>PER_WEB!MY146</f>
        <v>0</v>
      </c>
      <c r="J588" s="151"/>
    </row>
    <row r="589" spans="2:17" ht="16.5" hidden="1" customHeight="1" outlineLevel="1" thickBot="1" x14ac:dyDescent="0.3">
      <c r="B589" s="224" t="s">
        <v>583</v>
      </c>
      <c r="C589" s="101" t="s">
        <v>497</v>
      </c>
      <c r="D589" s="220">
        <v>14</v>
      </c>
      <c r="E589" s="117">
        <v>21</v>
      </c>
      <c r="F589" s="169"/>
      <c r="G589" s="103" t="str">
        <f>PER_WEB!MW147</f>
        <v>Omri Casspi, SF</v>
      </c>
      <c r="H589" s="159">
        <f>(SUBSTITUTE(PER_WEB!NK147,".",","))*1</f>
        <v>19.8</v>
      </c>
      <c r="I589" s="117">
        <f>PER_WEB!MY147</f>
        <v>0</v>
      </c>
      <c r="J589" s="151"/>
    </row>
    <row r="590" spans="2:17" ht="16.5" hidden="1" customHeight="1" outlineLevel="1" thickBot="1" x14ac:dyDescent="0.3">
      <c r="B590" s="224" t="s">
        <v>583</v>
      </c>
      <c r="C590" s="101" t="s">
        <v>498</v>
      </c>
      <c r="D590" s="221">
        <v>9.5</v>
      </c>
      <c r="E590" s="118">
        <v>7</v>
      </c>
      <c r="F590" s="169"/>
      <c r="G590" s="103" t="str">
        <f>PER_WEB!MW148</f>
        <v>Anthony Tolliver, PF</v>
      </c>
      <c r="H590" s="159">
        <f>(SUBSTITUTE(PER_WEB!NK148,".",","))*1</f>
        <v>19.8</v>
      </c>
      <c r="I590" s="117">
        <f>PER_WEB!MY148</f>
        <v>0</v>
      </c>
      <c r="J590" s="151"/>
    </row>
    <row r="591" spans="2:17" ht="16.5" hidden="1" customHeight="1" outlineLevel="1" thickBot="1" x14ac:dyDescent="0.3">
      <c r="B591" s="224" t="s">
        <v>583</v>
      </c>
      <c r="C591" s="101" t="s">
        <v>499</v>
      </c>
      <c r="D591" s="220">
        <v>8.6999999999999993</v>
      </c>
      <c r="E591" s="117">
        <v>53</v>
      </c>
      <c r="F591" s="169"/>
      <c r="G591" s="103" t="str">
        <f>PER_WEB!MW149</f>
        <v>Ty Lawson, PG</v>
      </c>
      <c r="H591" s="159">
        <f>(SUBSTITUTE(PER_WEB!NK149,".",","))*1</f>
        <v>15.1</v>
      </c>
      <c r="I591" s="117">
        <f>PER_WEB!MY149</f>
        <v>1</v>
      </c>
      <c r="J591" s="151"/>
    </row>
    <row r="592" spans="2:17" ht="16.5" hidden="1" customHeight="1" outlineLevel="1" thickBot="1" x14ac:dyDescent="0.3">
      <c r="B592" s="224" t="s">
        <v>583</v>
      </c>
      <c r="C592" s="101" t="s">
        <v>500</v>
      </c>
      <c r="D592" s="221">
        <v>15.3</v>
      </c>
      <c r="E592" s="118">
        <v>39</v>
      </c>
      <c r="F592" s="169"/>
      <c r="G592" s="103" t="str">
        <f>PER_WEB!MW150</f>
        <v>Willie Cauley-Stein, C</v>
      </c>
      <c r="H592" s="159">
        <f>(SUBSTITUTE(PER_WEB!NK150,".",","))*1</f>
        <v>9.5</v>
      </c>
      <c r="I592" s="117">
        <f>PER_WEB!MY150</f>
        <v>0</v>
      </c>
      <c r="J592" s="151"/>
    </row>
    <row r="593" spans="2:17" ht="16.5" hidden="1" customHeight="1" outlineLevel="1" thickBot="1" x14ac:dyDescent="0.3">
      <c r="B593" s="224" t="s">
        <v>583</v>
      </c>
      <c r="C593" s="101" t="s">
        <v>501</v>
      </c>
      <c r="D593" s="220">
        <v>13.9</v>
      </c>
      <c r="E593" s="117">
        <v>9</v>
      </c>
      <c r="F593" s="169"/>
      <c r="G593" s="103" t="str">
        <f>PER_WEB!MW151</f>
        <v>Arron Afflalo, SG</v>
      </c>
      <c r="H593" s="159">
        <f>(SUBSTITUTE(PER_WEB!NK151,".",","))*1</f>
        <v>7.6</v>
      </c>
      <c r="I593" s="117">
        <f>PER_WEB!MY151</f>
        <v>1</v>
      </c>
      <c r="J593" s="151"/>
    </row>
    <row r="594" spans="2:17" ht="16.5" hidden="1" customHeight="1" outlineLevel="1" thickBot="1" x14ac:dyDescent="0.3">
      <c r="B594" s="224" t="s">
        <v>583</v>
      </c>
      <c r="C594" s="101" t="s">
        <v>502</v>
      </c>
      <c r="D594" s="221">
        <v>15.1</v>
      </c>
      <c r="E594" s="118">
        <v>14</v>
      </c>
      <c r="F594" s="169"/>
      <c r="G594" s="103" t="str">
        <f>PER_WEB!MW152</f>
        <v>Ben McLemore, SG</v>
      </c>
      <c r="H594" s="159">
        <f>(SUBSTITUTE(PER_WEB!NK152,".",","))*1</f>
        <v>5</v>
      </c>
      <c r="I594" s="117">
        <f>PER_WEB!MY152</f>
        <v>0</v>
      </c>
      <c r="J594" s="151"/>
    </row>
    <row r="595" spans="2:17" ht="16.5" hidden="1" customHeight="1" outlineLevel="1" thickBot="1" x14ac:dyDescent="0.3">
      <c r="B595" s="224" t="s">
        <v>583</v>
      </c>
      <c r="C595" s="101" t="s">
        <v>503</v>
      </c>
      <c r="D595" s="220">
        <v>4.2</v>
      </c>
      <c r="E595" s="117">
        <v>0</v>
      </c>
      <c r="F595" s="169"/>
      <c r="G595" s="103" t="str">
        <f>PER_WEB!MW153</f>
        <v>Kosta Koufos, C</v>
      </c>
      <c r="H595" s="159">
        <f>(SUBSTITUTE(PER_WEB!NK153,".",","))*1</f>
        <v>-9.1</v>
      </c>
      <c r="I595" s="117">
        <f>PER_WEB!MY153</f>
        <v>1</v>
      </c>
      <c r="J595" s="151"/>
    </row>
    <row r="596" spans="2:17" ht="16.5" hidden="1" customHeight="1" outlineLevel="1" thickBot="1" x14ac:dyDescent="0.3">
      <c r="B596" s="224" t="s">
        <v>583</v>
      </c>
      <c r="C596" s="101" t="s">
        <v>504</v>
      </c>
      <c r="D596" s="221">
        <v>14.7</v>
      </c>
      <c r="E596" s="118">
        <v>29</v>
      </c>
      <c r="F596" s="169"/>
      <c r="G596" s="103" t="str">
        <f>PER_WEB!MW154</f>
        <v>Malachi Richardson, SG</v>
      </c>
      <c r="H596" s="159">
        <f>(SUBSTITUTE(PER_WEB!NK154,".",","))*1</f>
        <v>-27.9</v>
      </c>
      <c r="I596" s="117">
        <f>PER_WEB!MY154</f>
        <v>0</v>
      </c>
      <c r="J596" s="151"/>
    </row>
    <row r="597" spans="2:17" ht="16.5" hidden="1" customHeight="1" outlineLevel="1" thickBot="1" x14ac:dyDescent="0.3">
      <c r="B597" s="224" t="s">
        <v>583</v>
      </c>
      <c r="C597" s="101" t="s">
        <v>505</v>
      </c>
      <c r="D597" s="220">
        <v>11.3</v>
      </c>
      <c r="E597" s="117">
        <v>1</v>
      </c>
      <c r="F597" s="169"/>
      <c r="G597" s="101"/>
      <c r="H597" s="159"/>
      <c r="I597" s="117"/>
      <c r="J597" s="151"/>
    </row>
    <row r="598" spans="2:17" ht="16.5" hidden="1" customHeight="1" outlineLevel="1" thickBot="1" x14ac:dyDescent="0.3">
      <c r="B598" s="224" t="s">
        <v>583</v>
      </c>
      <c r="C598" s="101" t="s">
        <v>506</v>
      </c>
      <c r="D598" s="221">
        <v>6</v>
      </c>
      <c r="E598" s="118">
        <v>15</v>
      </c>
      <c r="F598" s="169"/>
      <c r="G598" s="101"/>
      <c r="H598" s="161"/>
      <c r="I598" s="118"/>
      <c r="J598" s="151"/>
    </row>
    <row r="599" spans="2:17" ht="16.5" hidden="1" customHeight="1" outlineLevel="1" thickBot="1" x14ac:dyDescent="0.3">
      <c r="B599" s="224" t="s">
        <v>583</v>
      </c>
      <c r="C599" s="101" t="s">
        <v>507</v>
      </c>
      <c r="D599" s="220">
        <v>7.4</v>
      </c>
      <c r="E599" s="117">
        <v>0</v>
      </c>
      <c r="F599" s="169"/>
      <c r="G599" s="101"/>
      <c r="H599" s="162"/>
      <c r="I599" s="117"/>
      <c r="J599" s="151"/>
    </row>
    <row r="600" spans="2:17" ht="16.5" hidden="1" customHeight="1" outlineLevel="1" thickBot="1" x14ac:dyDescent="0.3">
      <c r="B600" s="224" t="s">
        <v>583</v>
      </c>
      <c r="C600" s="101"/>
      <c r="D600" s="150"/>
      <c r="E600" s="150"/>
      <c r="F600" s="169"/>
      <c r="G600" s="101"/>
      <c r="H600" s="161"/>
      <c r="I600" s="118"/>
      <c r="J600" s="151"/>
    </row>
    <row r="601" spans="2:17" ht="16.5" hidden="1" customHeight="1" outlineLevel="1" thickBot="1" x14ac:dyDescent="0.3">
      <c r="B601" s="224" t="s">
        <v>583</v>
      </c>
      <c r="C601" s="101"/>
      <c r="D601" s="150"/>
      <c r="E601" s="150"/>
      <c r="F601" s="169"/>
      <c r="G601" s="101"/>
      <c r="H601" s="159"/>
      <c r="I601" s="117"/>
      <c r="J601" s="151"/>
    </row>
    <row r="602" spans="2:17" ht="16.5" hidden="1" customHeight="1" outlineLevel="1" thickBot="1" x14ac:dyDescent="0.3">
      <c r="B602" s="229" t="s">
        <v>583</v>
      </c>
      <c r="C602" s="102"/>
      <c r="D602" s="150"/>
      <c r="E602" s="150"/>
      <c r="F602" s="169"/>
      <c r="G602" s="102"/>
      <c r="H602" s="160"/>
      <c r="I602" s="118"/>
      <c r="J602" s="151"/>
    </row>
    <row r="603" spans="2:17" ht="16.5" collapsed="1" thickBot="1" x14ac:dyDescent="0.3">
      <c r="B603" s="419" t="s">
        <v>46</v>
      </c>
      <c r="C603" s="420"/>
      <c r="G603" s="156"/>
      <c r="H603" s="159"/>
      <c r="I603" s="117"/>
      <c r="J603" s="151"/>
      <c r="Q603">
        <f>(LARGE(PER!H604:H622,1)+LARGE(PER!H604:H622,2))/2</f>
        <v>47.2</v>
      </c>
    </row>
    <row r="604" spans="2:17" ht="16.5" hidden="1" customHeight="1" outlineLevel="1" thickBot="1" x14ac:dyDescent="0.3">
      <c r="B604" s="228" t="s">
        <v>584</v>
      </c>
      <c r="C604" s="103" t="s">
        <v>508</v>
      </c>
      <c r="D604" s="220">
        <v>26.1</v>
      </c>
      <c r="E604" s="117">
        <v>72</v>
      </c>
      <c r="F604" s="169"/>
      <c r="G604" s="103" t="str">
        <f>PER_WEB!BI143</f>
        <v>Davis Bertans, SF</v>
      </c>
      <c r="H604" s="161">
        <f>(SUBSTITUTE(PER_WEB!BW143,".",","))*1</f>
        <v>52.6</v>
      </c>
      <c r="I604" s="118">
        <f>PER_WEB!BK143</f>
        <v>0</v>
      </c>
      <c r="J604" s="151"/>
    </row>
    <row r="605" spans="2:17" ht="16.5" hidden="1" customHeight="1" outlineLevel="1" thickBot="1" x14ac:dyDescent="0.3">
      <c r="B605" s="224" t="s">
        <v>584</v>
      </c>
      <c r="C605" s="101" t="s">
        <v>509</v>
      </c>
      <c r="D605" s="221">
        <v>22.4</v>
      </c>
      <c r="E605" s="118">
        <v>74</v>
      </c>
      <c r="F605" s="169"/>
      <c r="G605" s="103" t="str">
        <f>PER_WEB!BI144</f>
        <v>Kawhi Leonard, SF</v>
      </c>
      <c r="H605" s="161">
        <f>(SUBSTITUTE(PER_WEB!BW144,".",","))*1</f>
        <v>41.8</v>
      </c>
      <c r="I605" s="118">
        <f>PER_WEB!BK144</f>
        <v>1</v>
      </c>
      <c r="J605" s="151"/>
    </row>
    <row r="606" spans="2:17" ht="16.5" hidden="1" customHeight="1" outlineLevel="1" thickBot="1" x14ac:dyDescent="0.3">
      <c r="B606" s="224" t="s">
        <v>584</v>
      </c>
      <c r="C606" s="101" t="s">
        <v>510</v>
      </c>
      <c r="D606" s="220">
        <v>16.2</v>
      </c>
      <c r="E606" s="117">
        <v>72</v>
      </c>
      <c r="F606" s="169"/>
      <c r="G606" s="103" t="str">
        <f>PER_WEB!BI145</f>
        <v>Patty Mills, PG</v>
      </c>
      <c r="H606" s="161">
        <f>(SUBSTITUTE(PER_WEB!BW145,".",","))*1</f>
        <v>33.4</v>
      </c>
      <c r="I606" s="118">
        <f>PER_WEB!BK145</f>
        <v>0</v>
      </c>
      <c r="J606" s="151"/>
    </row>
    <row r="607" spans="2:17" ht="16.5" hidden="1" customHeight="1" outlineLevel="1" thickBot="1" x14ac:dyDescent="0.3">
      <c r="B607" s="224" t="s">
        <v>584</v>
      </c>
      <c r="C607" s="101" t="s">
        <v>511</v>
      </c>
      <c r="D607" s="221">
        <v>17.899999999999999</v>
      </c>
      <c r="E607" s="118">
        <v>0</v>
      </c>
      <c r="F607" s="169"/>
      <c r="G607" s="103" t="str">
        <f>PER_WEB!BI146</f>
        <v>LaMarcus Aldridge, PF</v>
      </c>
      <c r="H607" s="161">
        <f>(SUBSTITUTE(PER_WEB!BW146,".",","))*1</f>
        <v>29.2</v>
      </c>
      <c r="I607" s="118">
        <f>PER_WEB!BK146</f>
        <v>1</v>
      </c>
      <c r="J607" s="151"/>
    </row>
    <row r="608" spans="2:17" ht="16.5" hidden="1" customHeight="1" outlineLevel="1" thickBot="1" x14ac:dyDescent="0.3">
      <c r="B608" s="224" t="s">
        <v>584</v>
      </c>
      <c r="C608" s="101" t="s">
        <v>512</v>
      </c>
      <c r="D608" s="220">
        <v>17</v>
      </c>
      <c r="E608" s="117">
        <v>60</v>
      </c>
      <c r="F608" s="169"/>
      <c r="G608" s="103" t="str">
        <f>PER_WEB!BI147</f>
        <v>David Lee, PF</v>
      </c>
      <c r="H608" s="161">
        <f>(SUBSTITUTE(PER_WEB!BW147,".",","))*1</f>
        <v>23.1</v>
      </c>
      <c r="I608" s="118">
        <f>PER_WEB!BK147</f>
        <v>0</v>
      </c>
      <c r="J608" s="151"/>
    </row>
    <row r="609" spans="2:17" ht="16.5" hidden="1" customHeight="1" outlineLevel="1" thickBot="1" x14ac:dyDescent="0.3">
      <c r="B609" s="224" t="s">
        <v>584</v>
      </c>
      <c r="C609" s="101" t="s">
        <v>513</v>
      </c>
      <c r="D609" s="221">
        <v>14.7</v>
      </c>
      <c r="E609" s="118">
        <v>3</v>
      </c>
      <c r="F609" s="169"/>
      <c r="G609" s="103" t="str">
        <f>PER_WEB!BI148</f>
        <v>Jonathon Simmons, SG</v>
      </c>
      <c r="H609" s="161">
        <f>(SUBSTITUTE(PER_WEB!BW148,".",","))*1</f>
        <v>21.5</v>
      </c>
      <c r="I609" s="118">
        <f>PER_WEB!BK148</f>
        <v>0</v>
      </c>
      <c r="J609" s="151"/>
      <c r="L609" s="274"/>
    </row>
    <row r="610" spans="2:17" ht="16.5" hidden="1" customHeight="1" outlineLevel="1" thickBot="1" x14ac:dyDescent="0.3">
      <c r="B610" s="224" t="s">
        <v>584</v>
      </c>
      <c r="C610" s="101" t="s">
        <v>514</v>
      </c>
      <c r="D610" s="220">
        <v>10.5</v>
      </c>
      <c r="E610" s="117">
        <v>79</v>
      </c>
      <c r="F610" s="169"/>
      <c r="G610" s="103" t="str">
        <f>PER_WEB!BI149</f>
        <v>Manu Ginobili, SG</v>
      </c>
      <c r="H610" s="161">
        <f>(SUBSTITUTE(PER_WEB!BW149,".",","))*1</f>
        <v>15.9</v>
      </c>
      <c r="I610" s="118">
        <f>PER_WEB!BK149</f>
        <v>0</v>
      </c>
      <c r="J610" s="151"/>
    </row>
    <row r="611" spans="2:17" ht="16.5" hidden="1" customHeight="1" outlineLevel="1" thickBot="1" x14ac:dyDescent="0.3">
      <c r="B611" s="224" t="s">
        <v>584</v>
      </c>
      <c r="C611" s="101" t="s">
        <v>515</v>
      </c>
      <c r="D611" s="221">
        <v>17.7</v>
      </c>
      <c r="E611" s="118">
        <v>19</v>
      </c>
      <c r="F611" s="169"/>
      <c r="G611" s="103" t="str">
        <f>PER_WEB!BI150</f>
        <v>Kyle Anderson, SF</v>
      </c>
      <c r="H611" s="161">
        <f>(SUBSTITUTE(PER_WEB!BW150,".",","))*1</f>
        <v>11.4</v>
      </c>
      <c r="I611" s="118">
        <f>PER_WEB!BK150</f>
        <v>1</v>
      </c>
      <c r="J611" s="151"/>
    </row>
    <row r="612" spans="2:17" ht="16.5" hidden="1" customHeight="1" outlineLevel="1" thickBot="1" x14ac:dyDescent="0.3">
      <c r="B612" s="224" t="s">
        <v>584</v>
      </c>
      <c r="C612" s="101" t="s">
        <v>516</v>
      </c>
      <c r="D612" s="220">
        <v>14</v>
      </c>
      <c r="E612" s="117">
        <v>4</v>
      </c>
      <c r="F612" s="169"/>
      <c r="G612" s="103" t="str">
        <f>PER_WEB!BI151</f>
        <v>Dewayne Dedmon, C</v>
      </c>
      <c r="H612" s="161">
        <f>(SUBSTITUTE(PER_WEB!BW151,".",","))*1</f>
        <v>10.8</v>
      </c>
      <c r="I612" s="118">
        <f>PER_WEB!BK151</f>
        <v>0</v>
      </c>
      <c r="J612" s="151"/>
    </row>
    <row r="613" spans="2:17" ht="16.5" hidden="1" customHeight="1" outlineLevel="1" thickBot="1" x14ac:dyDescent="0.3">
      <c r="B613" s="224" t="s">
        <v>584</v>
      </c>
      <c r="C613" s="101" t="s">
        <v>421</v>
      </c>
      <c r="D613" s="221">
        <v>10.199999999999999</v>
      </c>
      <c r="E613" s="118">
        <v>1</v>
      </c>
      <c r="F613" s="169"/>
      <c r="G613" s="103" t="str">
        <f>PER_WEB!BI152</f>
        <v>Tony Parker, PG</v>
      </c>
      <c r="H613" s="161">
        <f>(SUBSTITUTE(PER_WEB!BW152,".",","))*1</f>
        <v>6.2</v>
      </c>
      <c r="I613" s="118">
        <f>PER_WEB!BK152</f>
        <v>1</v>
      </c>
      <c r="J613" s="151"/>
    </row>
    <row r="614" spans="2:17" ht="16.5" hidden="1" customHeight="1" outlineLevel="1" thickBot="1" x14ac:dyDescent="0.3">
      <c r="B614" s="224" t="s">
        <v>584</v>
      </c>
      <c r="C614" s="101" t="s">
        <v>517</v>
      </c>
      <c r="D614" s="220">
        <v>12</v>
      </c>
      <c r="E614" s="117">
        <v>2</v>
      </c>
      <c r="F614" s="169"/>
      <c r="G614" s="103" t="str">
        <f>PER_WEB!BI153</f>
        <v>Bryn Forbes, SG</v>
      </c>
      <c r="H614" s="161">
        <f>(SUBSTITUTE(PER_WEB!BW153,".",","))*1</f>
        <v>0</v>
      </c>
      <c r="I614" s="118">
        <f>PER_WEB!BK153</f>
        <v>0</v>
      </c>
      <c r="J614" s="151"/>
    </row>
    <row r="615" spans="2:17" ht="16.5" hidden="1" customHeight="1" outlineLevel="1" thickBot="1" x14ac:dyDescent="0.3">
      <c r="B615" s="224" t="s">
        <v>584</v>
      </c>
      <c r="C615" s="101" t="s">
        <v>518</v>
      </c>
      <c r="D615" s="221">
        <v>27.8</v>
      </c>
      <c r="E615" s="118">
        <v>4</v>
      </c>
      <c r="F615" s="169"/>
      <c r="G615" s="103" t="str">
        <f>PER_WEB!BI154</f>
        <v>Nicolas Laprovittola, G</v>
      </c>
      <c r="H615" s="161">
        <f>(SUBSTITUTE(PER_WEB!BW154,".",","))*1</f>
        <v>-1.5</v>
      </c>
      <c r="I615" s="118">
        <f>PER_WEB!BK154</f>
        <v>0</v>
      </c>
      <c r="J615" s="151"/>
    </row>
    <row r="616" spans="2:17" ht="16.5" hidden="1" customHeight="1" outlineLevel="1" thickBot="1" x14ac:dyDescent="0.3">
      <c r="B616" s="224" t="s">
        <v>584</v>
      </c>
      <c r="C616" s="101" t="s">
        <v>519</v>
      </c>
      <c r="D616" s="220">
        <v>13</v>
      </c>
      <c r="E616" s="117">
        <v>11</v>
      </c>
      <c r="F616" s="169"/>
      <c r="G616" s="103" t="str">
        <f>PER_WEB!BI155</f>
        <v>Pau Gasol, C</v>
      </c>
      <c r="H616" s="161">
        <f>(SUBSTITUTE(PER_WEB!BW155,".",","))*1</f>
        <v>-2.9</v>
      </c>
      <c r="I616" s="118">
        <f>PER_WEB!BK155</f>
        <v>1</v>
      </c>
      <c r="J616" s="151"/>
    </row>
    <row r="617" spans="2:17" ht="16.5" hidden="1" customHeight="1" outlineLevel="1" thickBot="1" x14ac:dyDescent="0.3">
      <c r="B617" s="224" t="s">
        <v>584</v>
      </c>
      <c r="C617" s="101" t="s">
        <v>428</v>
      </c>
      <c r="D617" s="221">
        <v>12</v>
      </c>
      <c r="E617" s="118">
        <v>4</v>
      </c>
      <c r="F617" s="169"/>
      <c r="G617" s="103"/>
      <c r="H617" s="159"/>
      <c r="I617" s="117"/>
      <c r="J617" s="151"/>
    </row>
    <row r="618" spans="2:17" ht="16.5" hidden="1" customHeight="1" outlineLevel="1" thickBot="1" x14ac:dyDescent="0.3">
      <c r="B618" s="224" t="s">
        <v>584</v>
      </c>
      <c r="C618" s="101" t="s">
        <v>520</v>
      </c>
      <c r="D618" s="220">
        <v>13.5</v>
      </c>
      <c r="E618" s="117">
        <v>0</v>
      </c>
      <c r="F618" s="169"/>
      <c r="G618" s="103"/>
      <c r="H618" s="160"/>
      <c r="I618" s="118"/>
      <c r="J618" s="151"/>
    </row>
    <row r="619" spans="2:17" ht="16.5" hidden="1" customHeight="1" outlineLevel="1" thickBot="1" x14ac:dyDescent="0.3">
      <c r="B619" s="224" t="s">
        <v>584</v>
      </c>
      <c r="C619" s="101" t="s">
        <v>521</v>
      </c>
      <c r="D619" s="221">
        <v>14.1</v>
      </c>
      <c r="E619" s="118">
        <v>2</v>
      </c>
      <c r="F619" s="169"/>
      <c r="G619" s="101"/>
      <c r="H619" s="159"/>
      <c r="I619" s="117"/>
      <c r="J619" s="151"/>
    </row>
    <row r="620" spans="2:17" ht="16.5" hidden="1" customHeight="1" outlineLevel="1" thickBot="1" x14ac:dyDescent="0.3">
      <c r="B620" s="224" t="s">
        <v>584</v>
      </c>
      <c r="C620" s="101" t="s">
        <v>410</v>
      </c>
      <c r="D620" s="220">
        <v>10.3</v>
      </c>
      <c r="E620" s="117">
        <v>3</v>
      </c>
      <c r="F620" s="169"/>
      <c r="G620" s="101"/>
      <c r="H620" s="161"/>
      <c r="I620" s="118"/>
      <c r="J620" s="151"/>
    </row>
    <row r="621" spans="2:17" ht="16.5" hidden="1" customHeight="1" outlineLevel="1" thickBot="1" x14ac:dyDescent="0.3">
      <c r="B621" s="224" t="s">
        <v>584</v>
      </c>
      <c r="C621" s="101"/>
      <c r="D621" s="222"/>
      <c r="E621" s="185"/>
      <c r="F621" s="169"/>
      <c r="G621" s="101"/>
      <c r="H621" s="162"/>
      <c r="I621" s="117"/>
      <c r="J621" s="151"/>
    </row>
    <row r="622" spans="2:17" ht="16.5" hidden="1" customHeight="1" outlineLevel="1" thickBot="1" x14ac:dyDescent="0.3">
      <c r="B622" s="229" t="s">
        <v>584</v>
      </c>
      <c r="C622" s="102"/>
      <c r="D622" s="183"/>
      <c r="E622" s="183"/>
      <c r="G622" s="102"/>
      <c r="H622" s="161"/>
      <c r="I622" s="118"/>
      <c r="J622" s="151"/>
    </row>
    <row r="623" spans="2:17" ht="16.5" collapsed="1" thickBot="1" x14ac:dyDescent="0.3">
      <c r="B623" s="419" t="s">
        <v>28</v>
      </c>
      <c r="C623" s="420"/>
      <c r="G623" s="156"/>
      <c r="H623" s="162"/>
      <c r="I623" s="117"/>
      <c r="J623" s="151"/>
      <c r="Q623">
        <f>(LARGE(PER!H624:H643,1)+LARGE(PER!H624:H643,2))/2</f>
        <v>31.75</v>
      </c>
    </row>
    <row r="624" spans="2:17" ht="16.5" hidden="1" customHeight="1" outlineLevel="1" thickBot="1" x14ac:dyDescent="0.3">
      <c r="B624" s="228" t="s">
        <v>585</v>
      </c>
      <c r="C624" s="103" t="s">
        <v>522</v>
      </c>
      <c r="D624" s="220">
        <v>18.399999999999999</v>
      </c>
      <c r="E624" s="117">
        <v>80</v>
      </c>
      <c r="F624" s="169"/>
      <c r="G624" s="103" t="str">
        <f>PER_WEB!BX143</f>
        <v>Joe Johnson, SF</v>
      </c>
      <c r="H624" s="161">
        <f>(SUBSTITUTE(PER_WEB!CL143,".",","))*1</f>
        <v>38.200000000000003</v>
      </c>
      <c r="I624" s="118">
        <f>PER_WEB!BZ143</f>
        <v>1</v>
      </c>
      <c r="J624" s="151"/>
    </row>
    <row r="625" spans="2:10" ht="16.5" hidden="1" customHeight="1" outlineLevel="1" thickBot="1" x14ac:dyDescent="0.3">
      <c r="B625" s="224" t="s">
        <v>585</v>
      </c>
      <c r="C625" s="101" t="s">
        <v>523</v>
      </c>
      <c r="D625" s="221">
        <v>21.7</v>
      </c>
      <c r="E625" s="118">
        <v>59</v>
      </c>
      <c r="F625" s="169"/>
      <c r="G625" s="103" t="str">
        <f>PER_WEB!BX144</f>
        <v>Rodney Hood, SG</v>
      </c>
      <c r="H625" s="161">
        <f>(SUBSTITUTE(PER_WEB!CL144,".",","))*1</f>
        <v>25.3</v>
      </c>
      <c r="I625" s="118">
        <f>PER_WEB!BZ144</f>
        <v>1</v>
      </c>
      <c r="J625" s="151"/>
    </row>
    <row r="626" spans="2:10" ht="16.5" hidden="1" customHeight="1" outlineLevel="1" thickBot="1" x14ac:dyDescent="0.3">
      <c r="B626" s="224" t="s">
        <v>585</v>
      </c>
      <c r="C626" s="101" t="s">
        <v>524</v>
      </c>
      <c r="D626" s="220">
        <v>14.2</v>
      </c>
      <c r="E626" s="117">
        <v>79</v>
      </c>
      <c r="F626" s="169"/>
      <c r="G626" s="103" t="str">
        <f>PER_WEB!BX145</f>
        <v>Dante Exum, PG</v>
      </c>
      <c r="H626" s="161">
        <f>(SUBSTITUTE(PER_WEB!CL145,".",","))*1</f>
        <v>18.7</v>
      </c>
      <c r="I626" s="118">
        <f>PER_WEB!BZ145</f>
        <v>0</v>
      </c>
      <c r="J626" s="151"/>
    </row>
    <row r="627" spans="2:10" ht="16.5" hidden="1" customHeight="1" outlineLevel="1" thickBot="1" x14ac:dyDescent="0.3">
      <c r="B627" s="224" t="s">
        <v>585</v>
      </c>
      <c r="C627" s="101" t="s">
        <v>525</v>
      </c>
      <c r="D627" s="221">
        <v>14.4</v>
      </c>
      <c r="E627" s="118">
        <v>3</v>
      </c>
      <c r="F627" s="169"/>
      <c r="G627" s="103" t="str">
        <f>PER_WEB!BX146</f>
        <v>Shelvin Mack, PG</v>
      </c>
      <c r="H627" s="161">
        <f>(SUBSTITUTE(PER_WEB!CL146,".",","))*1</f>
        <v>18.7</v>
      </c>
      <c r="I627" s="118">
        <f>PER_WEB!BZ146</f>
        <v>0</v>
      </c>
      <c r="J627" s="151"/>
    </row>
    <row r="628" spans="2:10" ht="16.5" hidden="1" customHeight="1" outlineLevel="1" thickBot="1" x14ac:dyDescent="0.3">
      <c r="B628" s="224" t="s">
        <v>585</v>
      </c>
      <c r="C628" s="101" t="s">
        <v>68</v>
      </c>
      <c r="D628" s="220">
        <v>13.3</v>
      </c>
      <c r="E628" s="117">
        <v>27</v>
      </c>
      <c r="F628" s="169"/>
      <c r="G628" s="103" t="str">
        <f>PER_WEB!BX147</f>
        <v>Jeff Withey, C</v>
      </c>
      <c r="H628" s="161">
        <f>(SUBSTITUTE(PER_WEB!CL147,".",","))*1</f>
        <v>17.399999999999999</v>
      </c>
      <c r="I628" s="118">
        <f>PER_WEB!BZ147</f>
        <v>0</v>
      </c>
      <c r="J628" s="151"/>
    </row>
    <row r="629" spans="2:10" ht="16.5" hidden="1" customHeight="1" outlineLevel="1" thickBot="1" x14ac:dyDescent="0.3">
      <c r="B629" s="224" t="s">
        <v>585</v>
      </c>
      <c r="C629" s="101" t="s">
        <v>526</v>
      </c>
      <c r="D629" s="221">
        <v>14.1</v>
      </c>
      <c r="E629" s="118">
        <v>0</v>
      </c>
      <c r="F629" s="169"/>
      <c r="G629" s="103" t="str">
        <f>PER_WEB!BX148</f>
        <v>George Hill, PG</v>
      </c>
      <c r="H629" s="161">
        <f>(SUBSTITUTE(PER_WEB!CL148,".",","))*1</f>
        <v>17</v>
      </c>
      <c r="I629" s="118">
        <f>PER_WEB!BZ148</f>
        <v>1</v>
      </c>
      <c r="J629" s="151"/>
    </row>
    <row r="630" spans="2:10" ht="16.5" hidden="1" customHeight="1" outlineLevel="1" thickBot="1" x14ac:dyDescent="0.3">
      <c r="B630" s="224" t="s">
        <v>585</v>
      </c>
      <c r="C630" s="101" t="s">
        <v>527</v>
      </c>
      <c r="D630" s="220">
        <v>17.5</v>
      </c>
      <c r="E630" s="117">
        <v>60</v>
      </c>
      <c r="F630" s="169"/>
      <c r="G630" s="103" t="str">
        <f>PER_WEB!BX149</f>
        <v>Rudy Gobert, C</v>
      </c>
      <c r="H630" s="161">
        <f>(SUBSTITUTE(PER_WEB!CL149,".",","))*1</f>
        <v>15.1</v>
      </c>
      <c r="I630" s="118">
        <f>PER_WEB!BZ149</f>
        <v>1</v>
      </c>
      <c r="J630" s="151"/>
    </row>
    <row r="631" spans="2:10" ht="16.5" hidden="1" customHeight="1" outlineLevel="1" thickBot="1" x14ac:dyDescent="0.3">
      <c r="B631" s="224" t="s">
        <v>585</v>
      </c>
      <c r="C631" s="101" t="s">
        <v>528</v>
      </c>
      <c r="D631" s="221">
        <v>11.7</v>
      </c>
      <c r="E631" s="118">
        <v>33</v>
      </c>
      <c r="F631" s="169"/>
      <c r="G631" s="103" t="str">
        <f>PER_WEB!BX150</f>
        <v>Joe Ingles, SF</v>
      </c>
      <c r="H631" s="161">
        <f>(SUBSTITUTE(PER_WEB!CL150,".",","))*1</f>
        <v>5.7</v>
      </c>
      <c r="I631" s="118">
        <f>PER_WEB!BZ150</f>
        <v>0</v>
      </c>
      <c r="J631" s="151"/>
    </row>
    <row r="632" spans="2:10" ht="16.5" hidden="1" customHeight="1" outlineLevel="1" thickBot="1" x14ac:dyDescent="0.3">
      <c r="B632" s="224" t="s">
        <v>585</v>
      </c>
      <c r="C632" s="101" t="s">
        <v>529</v>
      </c>
      <c r="D632" s="220">
        <v>10.3</v>
      </c>
      <c r="E632" s="117">
        <v>53</v>
      </c>
      <c r="F632" s="169"/>
      <c r="G632" s="103" t="str">
        <f>PER_WEB!BX151</f>
        <v>Trey Lyles, PF</v>
      </c>
      <c r="H632" s="161">
        <f>(SUBSTITUTE(PER_WEB!CL151,".",","))*1</f>
        <v>-0.3</v>
      </c>
      <c r="I632" s="118">
        <f>PER_WEB!BZ151</f>
        <v>0</v>
      </c>
      <c r="J632" s="151"/>
    </row>
    <row r="633" spans="2:10" ht="16.5" hidden="1" customHeight="1" outlineLevel="1" thickBot="1" x14ac:dyDescent="0.3">
      <c r="B633" s="224" t="s">
        <v>585</v>
      </c>
      <c r="C633" s="101" t="s">
        <v>530</v>
      </c>
      <c r="D633" s="221">
        <v>14.4</v>
      </c>
      <c r="E633" s="118">
        <v>2</v>
      </c>
      <c r="F633" s="169"/>
      <c r="G633" s="103" t="str">
        <f>PER_WEB!BX152</f>
        <v>Boris Diaw, C</v>
      </c>
      <c r="H633" s="161">
        <f>(SUBSTITUTE(PER_WEB!CL152,".",","))*1</f>
        <v>-8.4</v>
      </c>
      <c r="I633" s="118">
        <f>PER_WEB!BZ152</f>
        <v>1</v>
      </c>
      <c r="J633" s="151"/>
    </row>
    <row r="634" spans="2:10" ht="16.5" hidden="1" customHeight="1" outlineLevel="1" thickBot="1" x14ac:dyDescent="0.3">
      <c r="B634" s="224" t="s">
        <v>585</v>
      </c>
      <c r="C634" s="101" t="s">
        <v>531</v>
      </c>
      <c r="D634" s="220">
        <v>17.7</v>
      </c>
      <c r="E634" s="117">
        <v>10</v>
      </c>
      <c r="F634" s="169"/>
      <c r="G634" s="103"/>
      <c r="H634" s="160"/>
      <c r="I634" s="118"/>
      <c r="J634" s="151"/>
    </row>
    <row r="635" spans="2:10" ht="16.5" hidden="1" customHeight="1" outlineLevel="1" thickBot="1" x14ac:dyDescent="0.3">
      <c r="B635" s="224" t="s">
        <v>585</v>
      </c>
      <c r="C635" s="101" t="s">
        <v>532</v>
      </c>
      <c r="D635" s="221">
        <v>10.4</v>
      </c>
      <c r="E635" s="118">
        <v>2</v>
      </c>
      <c r="F635" s="169"/>
      <c r="G635" s="103"/>
      <c r="H635" s="159"/>
      <c r="I635" s="117"/>
      <c r="J635" s="151"/>
    </row>
    <row r="636" spans="2:10" ht="16.5" hidden="1" customHeight="1" outlineLevel="1" thickBot="1" x14ac:dyDescent="0.3">
      <c r="B636" s="224" t="s">
        <v>585</v>
      </c>
      <c r="C636" s="101" t="s">
        <v>533</v>
      </c>
      <c r="D636" s="220">
        <v>8.1999999999999993</v>
      </c>
      <c r="E636" s="117">
        <v>2</v>
      </c>
      <c r="F636" s="169"/>
      <c r="G636" s="103"/>
      <c r="H636" s="161"/>
      <c r="I636" s="118"/>
      <c r="J636" s="151"/>
    </row>
    <row r="637" spans="2:10" ht="16.5" hidden="1" customHeight="1" outlineLevel="1" thickBot="1" x14ac:dyDescent="0.3">
      <c r="B637" s="224" t="s">
        <v>585</v>
      </c>
      <c r="C637" s="101" t="s">
        <v>339</v>
      </c>
      <c r="D637" s="221">
        <v>14.8</v>
      </c>
      <c r="E637" s="118">
        <v>0</v>
      </c>
      <c r="F637" s="169"/>
      <c r="G637" s="103"/>
      <c r="H637" s="162"/>
      <c r="I637" s="117"/>
      <c r="J637" s="151"/>
    </row>
    <row r="638" spans="2:10" ht="16.5" hidden="1" customHeight="1" outlineLevel="1" thickBot="1" x14ac:dyDescent="0.3">
      <c r="B638" s="224" t="s">
        <v>585</v>
      </c>
      <c r="C638" s="101" t="s">
        <v>534</v>
      </c>
      <c r="D638" s="220">
        <v>3.6</v>
      </c>
      <c r="E638" s="117">
        <v>0</v>
      </c>
      <c r="F638" s="169"/>
      <c r="G638" s="103"/>
      <c r="H638" s="161"/>
      <c r="I638" s="118"/>
      <c r="J638" s="151"/>
    </row>
    <row r="639" spans="2:10" ht="16.5" hidden="1" customHeight="1" outlineLevel="1" thickBot="1" x14ac:dyDescent="0.3">
      <c r="B639" s="224" t="s">
        <v>585</v>
      </c>
      <c r="C639" s="101" t="s">
        <v>535</v>
      </c>
      <c r="D639" s="221">
        <v>6.5</v>
      </c>
      <c r="E639" s="118">
        <v>0</v>
      </c>
      <c r="F639" s="169"/>
      <c r="G639" s="103"/>
      <c r="H639" s="162"/>
      <c r="I639" s="117"/>
      <c r="J639" s="151"/>
    </row>
    <row r="640" spans="2:10" ht="16.5" hidden="1" customHeight="1" outlineLevel="1" thickBot="1" x14ac:dyDescent="0.3">
      <c r="B640" s="224" t="s">
        <v>585</v>
      </c>
      <c r="C640" s="101" t="s">
        <v>536</v>
      </c>
      <c r="D640" s="220"/>
      <c r="E640" s="117">
        <v>0</v>
      </c>
      <c r="F640" s="169"/>
      <c r="G640" s="101"/>
      <c r="H640" s="161"/>
      <c r="I640" s="118"/>
      <c r="J640" s="151"/>
    </row>
    <row r="641" spans="2:10" ht="16.5" hidden="1" outlineLevel="1" thickBot="1" x14ac:dyDescent="0.3">
      <c r="B641" s="224" t="s">
        <v>585</v>
      </c>
      <c r="C641" s="101"/>
      <c r="D641" s="183"/>
      <c r="E641" s="183"/>
      <c r="G641" s="101"/>
      <c r="H641" s="162"/>
      <c r="I641" s="117"/>
      <c r="J641" s="151"/>
    </row>
    <row r="642" spans="2:10" ht="16.5" hidden="1" outlineLevel="1" thickBot="1" x14ac:dyDescent="0.3">
      <c r="B642" s="224" t="s">
        <v>585</v>
      </c>
      <c r="C642" s="101"/>
      <c r="D642" s="183"/>
      <c r="E642" s="183"/>
      <c r="G642" s="101"/>
      <c r="H642" s="161"/>
      <c r="I642" s="118"/>
      <c r="J642" s="151"/>
    </row>
    <row r="643" spans="2:10" ht="16.5" hidden="1" outlineLevel="1" thickBot="1" x14ac:dyDescent="0.3">
      <c r="B643" s="224" t="s">
        <v>585</v>
      </c>
      <c r="C643" s="101"/>
      <c r="D643" s="183"/>
      <c r="E643" s="183"/>
      <c r="G643" s="101"/>
      <c r="H643" s="162"/>
      <c r="I643" s="117"/>
      <c r="J643" s="151"/>
    </row>
    <row r="644" spans="2:10" ht="16.5" collapsed="1" thickBot="1" x14ac:dyDescent="0.3">
      <c r="C644" s="100"/>
      <c r="G644" s="156"/>
      <c r="H644" s="225"/>
      <c r="I644" s="170"/>
    </row>
    <row r="645" spans="2:10" ht="16.5" thickBot="1" x14ac:dyDescent="0.3">
      <c r="C645" s="100"/>
      <c r="G645" s="156"/>
      <c r="H645" s="225"/>
      <c r="I645" s="170"/>
    </row>
    <row r="646" spans="2:10" ht="16.5" thickBot="1" x14ac:dyDescent="0.3">
      <c r="C646" s="100"/>
      <c r="G646" s="156"/>
      <c r="H646" s="225"/>
      <c r="I646" s="170"/>
    </row>
    <row r="647" spans="2:10" ht="16.5" thickBot="1" x14ac:dyDescent="0.3">
      <c r="C647" s="100"/>
      <c r="G647" s="156"/>
      <c r="H647" s="225"/>
      <c r="I647" s="170"/>
    </row>
    <row r="648" spans="2:10" ht="16.5" thickBot="1" x14ac:dyDescent="0.3">
      <c r="C648" s="100"/>
      <c r="G648" s="156"/>
      <c r="H648" s="225"/>
      <c r="I648" s="170"/>
    </row>
    <row r="649" spans="2:10" ht="16.5" thickBot="1" x14ac:dyDescent="0.3">
      <c r="C649" s="100"/>
      <c r="G649" s="156"/>
      <c r="H649" s="232"/>
      <c r="I649" s="170"/>
    </row>
    <row r="650" spans="2:10" ht="16.5" thickBot="1" x14ac:dyDescent="0.3">
      <c r="C650" s="100"/>
      <c r="G650" s="156"/>
      <c r="H650" s="232"/>
      <c r="I650" s="170"/>
    </row>
    <row r="651" spans="2:10" ht="16.5" thickBot="1" x14ac:dyDescent="0.3">
      <c r="C651" s="100"/>
      <c r="G651" s="156"/>
      <c r="H651" s="232"/>
      <c r="I651" s="170"/>
    </row>
    <row r="652" spans="2:10" ht="16.5" thickBot="1" x14ac:dyDescent="0.3">
      <c r="C652" s="100"/>
      <c r="G652" s="156"/>
      <c r="H652" s="225"/>
      <c r="I652" s="170"/>
    </row>
    <row r="653" spans="2:10" ht="16.5" thickBot="1" x14ac:dyDescent="0.3">
      <c r="C653" s="100"/>
      <c r="G653" s="156"/>
      <c r="H653" s="225"/>
      <c r="I653" s="170"/>
    </row>
    <row r="654" spans="2:10" ht="16.5" thickBot="1" x14ac:dyDescent="0.3">
      <c r="C654" s="100"/>
      <c r="G654" s="156"/>
      <c r="H654" s="225"/>
      <c r="I654" s="170"/>
    </row>
    <row r="655" spans="2:10" ht="16.5" thickBot="1" x14ac:dyDescent="0.3">
      <c r="C655" s="100"/>
      <c r="G655" s="156"/>
      <c r="H655" s="225"/>
      <c r="I655" s="170"/>
    </row>
    <row r="656" spans="2:10" ht="16.5" thickBot="1" x14ac:dyDescent="0.3">
      <c r="C656" s="100"/>
      <c r="G656" s="156"/>
      <c r="H656" s="225"/>
      <c r="I656" s="170"/>
    </row>
    <row r="657" spans="3:9" ht="16.5" thickBot="1" x14ac:dyDescent="0.3">
      <c r="C657" s="100"/>
      <c r="G657" s="156"/>
      <c r="H657" s="225"/>
      <c r="I657" s="170"/>
    </row>
    <row r="658" spans="3:9" ht="16.5" thickBot="1" x14ac:dyDescent="0.3">
      <c r="C658" s="100"/>
      <c r="G658" s="156"/>
      <c r="H658" s="225"/>
      <c r="I658" s="170"/>
    </row>
    <row r="659" spans="3:9" ht="16.5" thickBot="1" x14ac:dyDescent="0.3">
      <c r="C659" s="100"/>
      <c r="G659" s="156"/>
      <c r="H659" s="225"/>
      <c r="I659" s="170"/>
    </row>
    <row r="660" spans="3:9" ht="16.5" thickBot="1" x14ac:dyDescent="0.3">
      <c r="C660" s="100"/>
      <c r="G660" s="156"/>
      <c r="H660" s="225"/>
      <c r="I660" s="170"/>
    </row>
    <row r="661" spans="3:9" ht="16.5" thickBot="1" x14ac:dyDescent="0.3">
      <c r="C661" s="100"/>
      <c r="G661" s="156"/>
      <c r="H661" s="225"/>
      <c r="I661" s="170"/>
    </row>
    <row r="662" spans="3:9" ht="16.5" thickBot="1" x14ac:dyDescent="0.3">
      <c r="C662" s="100"/>
      <c r="G662" s="156"/>
      <c r="H662" s="225"/>
      <c r="I662" s="170"/>
    </row>
    <row r="663" spans="3:9" ht="16.5" thickBot="1" x14ac:dyDescent="0.3">
      <c r="C663" s="100"/>
      <c r="G663" s="156"/>
      <c r="H663" s="225"/>
      <c r="I663" s="170"/>
    </row>
    <row r="664" spans="3:9" ht="16.5" thickBot="1" x14ac:dyDescent="0.3">
      <c r="C664" s="100"/>
      <c r="G664" s="156"/>
      <c r="H664" s="225"/>
      <c r="I664" s="170"/>
    </row>
    <row r="665" spans="3:9" ht="16.5" thickBot="1" x14ac:dyDescent="0.3">
      <c r="C665" s="100"/>
      <c r="G665" s="156"/>
      <c r="H665" s="232"/>
      <c r="I665" s="170"/>
    </row>
    <row r="666" spans="3:9" ht="16.5" thickBot="1" x14ac:dyDescent="0.3">
      <c r="C666" s="100"/>
      <c r="G666" s="156"/>
      <c r="H666" s="232"/>
      <c r="I666" s="170"/>
    </row>
    <row r="667" spans="3:9" ht="16.5" thickBot="1" x14ac:dyDescent="0.3">
      <c r="C667" s="100"/>
      <c r="G667" s="156"/>
      <c r="H667" s="232"/>
      <c r="I667" s="170"/>
    </row>
    <row r="668" spans="3:9" ht="16.5" thickBot="1" x14ac:dyDescent="0.3">
      <c r="C668" s="100"/>
      <c r="G668" s="156"/>
      <c r="H668" s="225"/>
      <c r="I668" s="170"/>
    </row>
    <row r="669" spans="3:9" ht="16.5" thickBot="1" x14ac:dyDescent="0.3">
      <c r="C669" s="100"/>
      <c r="G669" s="156"/>
      <c r="H669" s="225"/>
      <c r="I669" s="170"/>
    </row>
    <row r="670" spans="3:9" ht="16.5" thickBot="1" x14ac:dyDescent="0.3">
      <c r="C670" s="100"/>
      <c r="G670" s="156"/>
      <c r="H670" s="225"/>
      <c r="I670" s="170"/>
    </row>
    <row r="671" spans="3:9" ht="16.5" thickBot="1" x14ac:dyDescent="0.3">
      <c r="C671" s="100"/>
      <c r="G671" s="156"/>
      <c r="H671" s="225"/>
      <c r="I671" s="170"/>
    </row>
    <row r="672" spans="3:9" ht="16.5" thickBot="1" x14ac:dyDescent="0.3">
      <c r="C672" s="100"/>
      <c r="G672" s="156"/>
      <c r="H672" s="225"/>
      <c r="I672" s="170"/>
    </row>
    <row r="673" spans="3:9" ht="16.5" thickBot="1" x14ac:dyDescent="0.3">
      <c r="C673" s="100"/>
      <c r="G673" s="156"/>
      <c r="H673" s="225"/>
      <c r="I673" s="170"/>
    </row>
    <row r="674" spans="3:9" ht="16.5" thickBot="1" x14ac:dyDescent="0.3">
      <c r="C674" s="100"/>
      <c r="G674" s="156"/>
      <c r="H674" s="225"/>
      <c r="I674" s="170"/>
    </row>
    <row r="675" spans="3:9" ht="16.5" thickBot="1" x14ac:dyDescent="0.3">
      <c r="C675" s="100"/>
      <c r="G675" s="156"/>
      <c r="H675" s="225"/>
      <c r="I675" s="170"/>
    </row>
    <row r="676" spans="3:9" ht="16.5" thickBot="1" x14ac:dyDescent="0.3">
      <c r="C676" s="100"/>
      <c r="G676" s="156"/>
      <c r="H676" s="225"/>
      <c r="I676" s="170"/>
    </row>
    <row r="677" spans="3:9" ht="16.5" thickBot="1" x14ac:dyDescent="0.3">
      <c r="C677" s="100"/>
      <c r="G677" s="156"/>
      <c r="H677" s="225"/>
      <c r="I677" s="170"/>
    </row>
    <row r="678" spans="3:9" ht="16.5" thickBot="1" x14ac:dyDescent="0.3">
      <c r="C678" s="100"/>
      <c r="G678" s="156"/>
      <c r="H678" s="225"/>
      <c r="I678" s="170"/>
    </row>
    <row r="679" spans="3:9" ht="16.5" thickBot="1" x14ac:dyDescent="0.3">
      <c r="C679" s="100"/>
      <c r="G679" s="156"/>
      <c r="H679" s="225"/>
      <c r="I679" s="170"/>
    </row>
    <row r="680" spans="3:9" ht="16.5" thickBot="1" x14ac:dyDescent="0.3">
      <c r="C680" s="100"/>
      <c r="G680" s="156"/>
      <c r="H680" s="225"/>
      <c r="I680" s="170"/>
    </row>
    <row r="681" spans="3:9" ht="16.5" thickBot="1" x14ac:dyDescent="0.3">
      <c r="C681" s="100"/>
      <c r="G681" s="156"/>
      <c r="H681" s="232"/>
      <c r="I681" s="170"/>
    </row>
    <row r="682" spans="3:9" ht="16.5" thickBot="1" x14ac:dyDescent="0.3">
      <c r="C682" s="100"/>
      <c r="G682" s="156"/>
      <c r="H682" s="232"/>
      <c r="I682" s="170"/>
    </row>
    <row r="683" spans="3:9" ht="16.5" thickBot="1" x14ac:dyDescent="0.3">
      <c r="C683" s="100"/>
      <c r="G683" s="156"/>
      <c r="H683" s="232"/>
      <c r="I683" s="170"/>
    </row>
    <row r="684" spans="3:9" ht="16.5" thickBot="1" x14ac:dyDescent="0.3">
      <c r="C684" s="100"/>
      <c r="G684" s="156"/>
      <c r="H684" s="225"/>
      <c r="I684" s="170"/>
    </row>
    <row r="685" spans="3:9" ht="16.5" thickBot="1" x14ac:dyDescent="0.3">
      <c r="C685" s="100"/>
      <c r="G685" s="156"/>
      <c r="H685" s="225"/>
      <c r="I685" s="170"/>
    </row>
    <row r="686" spans="3:9" ht="16.5" thickBot="1" x14ac:dyDescent="0.3">
      <c r="C686" s="100"/>
      <c r="G686" s="156"/>
      <c r="H686" s="225"/>
      <c r="I686" s="170"/>
    </row>
    <row r="687" spans="3:9" ht="16.5" thickBot="1" x14ac:dyDescent="0.3">
      <c r="C687" s="100"/>
      <c r="G687" s="156"/>
      <c r="H687" s="225"/>
      <c r="I687" s="170"/>
    </row>
    <row r="688" spans="3:9" ht="16.5" thickBot="1" x14ac:dyDescent="0.3">
      <c r="C688" s="100"/>
      <c r="G688" s="156"/>
      <c r="H688" s="225"/>
      <c r="I688" s="170"/>
    </row>
    <row r="689" spans="3:9" ht="16.5" thickBot="1" x14ac:dyDescent="0.3">
      <c r="C689" s="100"/>
      <c r="G689" s="156"/>
      <c r="H689" s="225"/>
      <c r="I689" s="170"/>
    </row>
    <row r="690" spans="3:9" ht="16.5" thickBot="1" x14ac:dyDescent="0.3">
      <c r="C690" s="100"/>
      <c r="G690" s="156"/>
      <c r="H690" s="225"/>
      <c r="I690" s="170"/>
    </row>
    <row r="691" spans="3:9" ht="16.5" thickBot="1" x14ac:dyDescent="0.3">
      <c r="C691" s="100"/>
      <c r="G691" s="156"/>
      <c r="H691" s="225"/>
      <c r="I691" s="170"/>
    </row>
    <row r="692" spans="3:9" ht="16.5" thickBot="1" x14ac:dyDescent="0.3">
      <c r="C692" s="100"/>
      <c r="G692" s="156"/>
      <c r="H692" s="225"/>
      <c r="I692" s="170"/>
    </row>
    <row r="693" spans="3:9" ht="16.5" thickBot="1" x14ac:dyDescent="0.3">
      <c r="C693" s="100"/>
      <c r="G693" s="156"/>
      <c r="H693" s="225"/>
      <c r="I693" s="170"/>
    </row>
    <row r="694" spans="3:9" ht="16.5" thickBot="1" x14ac:dyDescent="0.3">
      <c r="C694" s="100"/>
      <c r="G694" s="156"/>
      <c r="H694" s="225"/>
      <c r="I694" s="170"/>
    </row>
    <row r="695" spans="3:9" ht="16.5" thickBot="1" x14ac:dyDescent="0.3">
      <c r="C695" s="100"/>
      <c r="G695" s="156"/>
      <c r="H695" s="225"/>
      <c r="I695" s="170"/>
    </row>
    <row r="696" spans="3:9" ht="16.5" thickBot="1" x14ac:dyDescent="0.3">
      <c r="C696" s="100"/>
      <c r="G696" s="156"/>
      <c r="H696" s="225"/>
      <c r="I696" s="170"/>
    </row>
    <row r="697" spans="3:9" ht="16.5" thickBot="1" x14ac:dyDescent="0.3">
      <c r="C697" s="100"/>
      <c r="G697" s="156"/>
      <c r="H697" s="225"/>
      <c r="I697" s="170"/>
    </row>
    <row r="698" spans="3:9" ht="16.5" thickBot="1" x14ac:dyDescent="0.3">
      <c r="C698" s="100"/>
      <c r="G698" s="156"/>
      <c r="H698" s="225"/>
      <c r="I698" s="170"/>
    </row>
    <row r="699" spans="3:9" ht="16.5" thickBot="1" x14ac:dyDescent="0.3">
      <c r="C699" s="100"/>
      <c r="G699" s="156"/>
      <c r="H699" s="225"/>
      <c r="I699" s="170"/>
    </row>
    <row r="700" spans="3:9" ht="16.5" thickBot="1" x14ac:dyDescent="0.3">
      <c r="C700" s="100"/>
      <c r="G700" s="156"/>
      <c r="H700" s="225"/>
      <c r="I700" s="170"/>
    </row>
    <row r="701" spans="3:9" ht="16.5" thickBot="1" x14ac:dyDescent="0.3">
      <c r="C701" s="100"/>
      <c r="G701" s="156"/>
      <c r="H701" s="225"/>
      <c r="I701" s="170"/>
    </row>
    <row r="702" spans="3:9" ht="16.5" thickBot="1" x14ac:dyDescent="0.3">
      <c r="C702" s="100"/>
      <c r="G702" s="156"/>
      <c r="H702" s="225"/>
      <c r="I702" s="170"/>
    </row>
    <row r="703" spans="3:9" ht="16.5" thickBot="1" x14ac:dyDescent="0.3">
      <c r="C703" s="100"/>
      <c r="G703" s="156"/>
      <c r="H703" s="225"/>
      <c r="I703" s="170"/>
    </row>
    <row r="704" spans="3:9" ht="16.5" thickBot="1" x14ac:dyDescent="0.3">
      <c r="C704" s="100"/>
      <c r="G704" s="156"/>
      <c r="H704" s="225"/>
      <c r="I704" s="170"/>
    </row>
    <row r="705" spans="3:9" ht="16.5" thickBot="1" x14ac:dyDescent="0.3">
      <c r="C705" s="100"/>
      <c r="G705" s="156"/>
      <c r="H705" s="225"/>
      <c r="I705" s="170"/>
    </row>
    <row r="706" spans="3:9" ht="16.5" thickBot="1" x14ac:dyDescent="0.3">
      <c r="C706" s="100"/>
      <c r="G706" s="156"/>
      <c r="H706" s="225"/>
      <c r="I706" s="170"/>
    </row>
    <row r="707" spans="3:9" x14ac:dyDescent="0.25">
      <c r="C707" s="100"/>
      <c r="G707" s="156"/>
      <c r="H707" s="97"/>
      <c r="I707" s="97"/>
    </row>
    <row r="708" spans="3:9" x14ac:dyDescent="0.25">
      <c r="C708" s="100"/>
      <c r="G708" s="156"/>
      <c r="H708" s="97"/>
      <c r="I708" s="97"/>
    </row>
    <row r="709" spans="3:9" x14ac:dyDescent="0.25">
      <c r="C709" s="100"/>
      <c r="G709" s="156"/>
      <c r="H709" s="97"/>
    </row>
    <row r="710" spans="3:9" x14ac:dyDescent="0.25">
      <c r="C710" s="100"/>
      <c r="G710" s="156"/>
      <c r="H710" s="97"/>
    </row>
    <row r="711" spans="3:9" x14ac:dyDescent="0.25">
      <c r="C711" s="100"/>
      <c r="G711" s="156"/>
      <c r="H711" s="97"/>
    </row>
    <row r="712" spans="3:9" x14ac:dyDescent="0.25">
      <c r="C712" s="100"/>
      <c r="G712" s="156"/>
      <c r="H712" s="97"/>
    </row>
    <row r="713" spans="3:9" x14ac:dyDescent="0.25">
      <c r="C713" s="100"/>
      <c r="G713" s="156"/>
      <c r="H713" s="97"/>
    </row>
    <row r="714" spans="3:9" x14ac:dyDescent="0.25">
      <c r="C714" s="100"/>
      <c r="G714" s="156"/>
      <c r="H714" s="97"/>
    </row>
    <row r="715" spans="3:9" x14ac:dyDescent="0.25">
      <c r="C715" s="100"/>
      <c r="G715" s="156"/>
      <c r="H715" s="97"/>
    </row>
    <row r="716" spans="3:9" x14ac:dyDescent="0.25">
      <c r="C716" s="100"/>
      <c r="G716" s="156"/>
      <c r="H716" s="97"/>
    </row>
    <row r="717" spans="3:9" x14ac:dyDescent="0.25">
      <c r="C717" s="100"/>
      <c r="G717" s="156"/>
      <c r="H717" s="97"/>
    </row>
    <row r="718" spans="3:9" x14ac:dyDescent="0.25">
      <c r="C718" s="100"/>
      <c r="G718" s="156"/>
      <c r="H718" s="97"/>
    </row>
    <row r="719" spans="3:9" x14ac:dyDescent="0.25">
      <c r="C719" s="100"/>
      <c r="G719" s="156"/>
      <c r="H719" s="97"/>
    </row>
    <row r="720" spans="3:9" x14ac:dyDescent="0.25">
      <c r="C720" s="100"/>
      <c r="G720" s="156"/>
      <c r="H720" s="97"/>
    </row>
    <row r="721" spans="3:8" x14ac:dyDescent="0.25">
      <c r="C721" s="100"/>
      <c r="G721" s="156"/>
      <c r="H721" s="97"/>
    </row>
    <row r="722" spans="3:8" x14ac:dyDescent="0.25">
      <c r="C722" s="100"/>
      <c r="G722" s="156"/>
      <c r="H722" s="97"/>
    </row>
    <row r="723" spans="3:8" x14ac:dyDescent="0.25">
      <c r="C723" s="100"/>
      <c r="G723" s="156"/>
      <c r="H723" s="97"/>
    </row>
    <row r="724" spans="3:8" x14ac:dyDescent="0.25">
      <c r="C724" s="100"/>
      <c r="G724" s="156"/>
      <c r="H724" s="97"/>
    </row>
    <row r="725" spans="3:8" x14ac:dyDescent="0.25">
      <c r="C725" s="100"/>
      <c r="G725" s="156"/>
      <c r="H725" s="97"/>
    </row>
    <row r="726" spans="3:8" x14ac:dyDescent="0.25">
      <c r="C726" s="100"/>
      <c r="G726" s="156"/>
      <c r="H726" s="97"/>
    </row>
    <row r="727" spans="3:8" x14ac:dyDescent="0.25">
      <c r="C727" s="100"/>
      <c r="G727" s="156"/>
      <c r="H727" s="97"/>
    </row>
    <row r="728" spans="3:8" x14ac:dyDescent="0.25">
      <c r="C728" s="100"/>
      <c r="G728" s="156"/>
      <c r="H728" s="97"/>
    </row>
    <row r="729" spans="3:8" x14ac:dyDescent="0.25">
      <c r="C729" s="100"/>
      <c r="G729" s="156"/>
      <c r="H729" s="97"/>
    </row>
    <row r="730" spans="3:8" x14ac:dyDescent="0.25">
      <c r="C730" s="100"/>
      <c r="G730" s="156"/>
      <c r="H730" s="97"/>
    </row>
    <row r="731" spans="3:8" x14ac:dyDescent="0.25">
      <c r="C731" s="100"/>
      <c r="G731" s="156"/>
      <c r="H731" s="97"/>
    </row>
    <row r="732" spans="3:8" x14ac:dyDescent="0.25">
      <c r="C732" s="100"/>
      <c r="G732" s="156"/>
      <c r="H732" s="97"/>
    </row>
    <row r="733" spans="3:8" x14ac:dyDescent="0.25">
      <c r="C733" s="100"/>
      <c r="G733" s="156"/>
      <c r="H733" s="97"/>
    </row>
    <row r="734" spans="3:8" x14ac:dyDescent="0.25">
      <c r="C734" s="100"/>
      <c r="G734" s="156"/>
      <c r="H734" s="97"/>
    </row>
    <row r="735" spans="3:8" x14ac:dyDescent="0.25">
      <c r="C735" s="100"/>
      <c r="G735" s="156"/>
      <c r="H735" s="97"/>
    </row>
    <row r="736" spans="3:8" x14ac:dyDescent="0.25">
      <c r="C736" s="100"/>
      <c r="G736" s="156"/>
      <c r="H736" s="97"/>
    </row>
    <row r="737" spans="3:8" x14ac:dyDescent="0.25">
      <c r="C737" s="100"/>
      <c r="G737" s="156"/>
      <c r="H737" s="97"/>
    </row>
    <row r="738" spans="3:8" x14ac:dyDescent="0.25">
      <c r="C738" s="100"/>
      <c r="G738" s="156"/>
      <c r="H738" s="97"/>
    </row>
    <row r="739" spans="3:8" x14ac:dyDescent="0.25">
      <c r="C739" s="100"/>
      <c r="G739" s="156"/>
      <c r="H739" s="97"/>
    </row>
    <row r="740" spans="3:8" x14ac:dyDescent="0.25">
      <c r="C740" s="100"/>
      <c r="G740" s="156"/>
      <c r="H740" s="97"/>
    </row>
    <row r="741" spans="3:8" x14ac:dyDescent="0.25">
      <c r="C741" s="100"/>
      <c r="G741" s="156"/>
      <c r="H741" s="97"/>
    </row>
    <row r="742" spans="3:8" x14ac:dyDescent="0.25">
      <c r="C742" s="100"/>
      <c r="G742" s="156"/>
      <c r="H742" s="97"/>
    </row>
    <row r="743" spans="3:8" x14ac:dyDescent="0.25">
      <c r="C743" s="100"/>
      <c r="G743" s="156"/>
      <c r="H743" s="97"/>
    </row>
    <row r="744" spans="3:8" x14ac:dyDescent="0.25">
      <c r="C744" s="100"/>
      <c r="G744" s="156"/>
      <c r="H744" s="97"/>
    </row>
    <row r="745" spans="3:8" x14ac:dyDescent="0.25">
      <c r="C745" s="100"/>
      <c r="G745" s="156"/>
      <c r="H745" s="97"/>
    </row>
    <row r="746" spans="3:8" x14ac:dyDescent="0.25">
      <c r="C746" s="100"/>
      <c r="G746" s="156"/>
      <c r="H746" s="97"/>
    </row>
    <row r="747" spans="3:8" x14ac:dyDescent="0.25">
      <c r="C747" s="100"/>
      <c r="G747" s="156"/>
      <c r="H747" s="97"/>
    </row>
    <row r="748" spans="3:8" x14ac:dyDescent="0.25">
      <c r="C748" s="100"/>
      <c r="G748" s="156"/>
      <c r="H748" s="97"/>
    </row>
    <row r="749" spans="3:8" x14ac:dyDescent="0.25">
      <c r="C749" s="100"/>
      <c r="G749" s="156"/>
      <c r="H749" s="97"/>
    </row>
    <row r="750" spans="3:8" x14ac:dyDescent="0.25">
      <c r="C750" s="100"/>
      <c r="G750" s="156"/>
      <c r="H750" s="97"/>
    </row>
    <row r="751" spans="3:8" x14ac:dyDescent="0.25">
      <c r="C751" s="100"/>
      <c r="G751" s="156"/>
      <c r="H751" s="97"/>
    </row>
    <row r="752" spans="3:8" x14ac:dyDescent="0.25">
      <c r="C752" s="100"/>
      <c r="G752" s="156"/>
      <c r="H752" s="97"/>
    </row>
    <row r="753" spans="3:8" x14ac:dyDescent="0.25">
      <c r="C753" s="100"/>
      <c r="G753" s="156"/>
      <c r="H753" s="97"/>
    </row>
    <row r="754" spans="3:8" x14ac:dyDescent="0.25">
      <c r="C754" s="100"/>
      <c r="G754" s="156"/>
      <c r="H754" s="97"/>
    </row>
    <row r="755" spans="3:8" x14ac:dyDescent="0.25">
      <c r="C755" s="100"/>
      <c r="G755" s="156"/>
      <c r="H755" s="97"/>
    </row>
    <row r="756" spans="3:8" x14ac:dyDescent="0.25">
      <c r="C756" s="100"/>
      <c r="G756" s="156"/>
      <c r="H756" s="97"/>
    </row>
    <row r="757" spans="3:8" x14ac:dyDescent="0.25">
      <c r="C757" s="100"/>
      <c r="G757" s="156"/>
      <c r="H757" s="97"/>
    </row>
    <row r="758" spans="3:8" x14ac:dyDescent="0.25">
      <c r="C758" s="100"/>
      <c r="G758" s="156"/>
      <c r="H758" s="97"/>
    </row>
    <row r="759" spans="3:8" x14ac:dyDescent="0.25">
      <c r="C759" s="100"/>
      <c r="G759" s="156"/>
      <c r="H759" s="97"/>
    </row>
    <row r="760" spans="3:8" x14ac:dyDescent="0.25">
      <c r="C760" s="100"/>
      <c r="G760" s="156"/>
      <c r="H760" s="97"/>
    </row>
    <row r="761" spans="3:8" x14ac:dyDescent="0.25">
      <c r="C761" s="100"/>
      <c r="G761" s="156"/>
      <c r="H761" s="97"/>
    </row>
    <row r="762" spans="3:8" x14ac:dyDescent="0.25">
      <c r="C762" s="100"/>
      <c r="G762" s="156"/>
      <c r="H762" s="97"/>
    </row>
    <row r="763" spans="3:8" x14ac:dyDescent="0.25">
      <c r="C763" s="100"/>
      <c r="G763" s="156"/>
      <c r="H763" s="97"/>
    </row>
    <row r="764" spans="3:8" x14ac:dyDescent="0.25">
      <c r="C764" s="100"/>
      <c r="G764" s="156"/>
      <c r="H764" s="97"/>
    </row>
    <row r="765" spans="3:8" x14ac:dyDescent="0.25">
      <c r="C765" s="100"/>
      <c r="G765" s="156"/>
      <c r="H765" s="97"/>
    </row>
    <row r="766" spans="3:8" x14ac:dyDescent="0.25">
      <c r="C766" s="100"/>
      <c r="G766" s="156"/>
      <c r="H766" s="97"/>
    </row>
    <row r="767" spans="3:8" x14ac:dyDescent="0.25">
      <c r="C767" s="100"/>
      <c r="G767" s="156"/>
      <c r="H767" s="97"/>
    </row>
    <row r="768" spans="3:8" x14ac:dyDescent="0.25">
      <c r="C768" s="100"/>
      <c r="G768" s="156"/>
      <c r="H768" s="97"/>
    </row>
    <row r="769" spans="3:8" x14ac:dyDescent="0.25">
      <c r="C769" s="100"/>
      <c r="G769" s="156"/>
      <c r="H769" s="97"/>
    </row>
    <row r="770" spans="3:8" x14ac:dyDescent="0.25">
      <c r="C770" s="100"/>
      <c r="G770" s="156"/>
      <c r="H770" s="97"/>
    </row>
    <row r="771" spans="3:8" x14ac:dyDescent="0.25">
      <c r="C771" s="100"/>
      <c r="G771" s="156"/>
      <c r="H771" s="97"/>
    </row>
    <row r="772" spans="3:8" x14ac:dyDescent="0.25">
      <c r="C772" s="100"/>
      <c r="G772" s="156"/>
      <c r="H772" s="97"/>
    </row>
    <row r="773" spans="3:8" x14ac:dyDescent="0.25">
      <c r="C773" s="100"/>
      <c r="G773" s="156"/>
      <c r="H773" s="97"/>
    </row>
    <row r="774" spans="3:8" x14ac:dyDescent="0.25">
      <c r="C774" s="100"/>
      <c r="G774" s="156"/>
      <c r="H774" s="97"/>
    </row>
    <row r="775" spans="3:8" x14ac:dyDescent="0.25">
      <c r="C775" s="100"/>
      <c r="G775" s="156"/>
      <c r="H775" s="97"/>
    </row>
    <row r="776" spans="3:8" x14ac:dyDescent="0.25">
      <c r="C776" s="100"/>
      <c r="G776" s="156"/>
      <c r="H776" s="97"/>
    </row>
    <row r="777" spans="3:8" x14ac:dyDescent="0.25">
      <c r="C777" s="100"/>
      <c r="G777" s="156"/>
      <c r="H777" s="97"/>
    </row>
    <row r="778" spans="3:8" x14ac:dyDescent="0.25">
      <c r="C778" s="100"/>
      <c r="G778" s="156"/>
      <c r="H778" s="97"/>
    </row>
    <row r="779" spans="3:8" x14ac:dyDescent="0.25">
      <c r="C779" s="100"/>
      <c r="G779" s="156"/>
      <c r="H779" s="97"/>
    </row>
    <row r="780" spans="3:8" x14ac:dyDescent="0.25">
      <c r="C780" s="100"/>
      <c r="G780" s="156"/>
      <c r="H780" s="97"/>
    </row>
    <row r="781" spans="3:8" x14ac:dyDescent="0.25">
      <c r="C781" s="100"/>
      <c r="G781" s="156"/>
      <c r="H781" s="97"/>
    </row>
    <row r="782" spans="3:8" x14ac:dyDescent="0.25">
      <c r="C782" s="100"/>
      <c r="G782" s="156"/>
      <c r="H782" s="97"/>
    </row>
    <row r="783" spans="3:8" x14ac:dyDescent="0.25">
      <c r="C783" s="100"/>
      <c r="G783" s="156"/>
      <c r="H783" s="97"/>
    </row>
    <row r="784" spans="3:8" x14ac:dyDescent="0.25">
      <c r="C784" s="100"/>
      <c r="G784" s="156"/>
      <c r="H784" s="97"/>
    </row>
    <row r="785" spans="3:8" x14ac:dyDescent="0.25">
      <c r="C785" s="100"/>
      <c r="G785" s="156"/>
      <c r="H785" s="97"/>
    </row>
    <row r="786" spans="3:8" x14ac:dyDescent="0.25">
      <c r="C786" s="100"/>
      <c r="G786" s="156"/>
      <c r="H786" s="97"/>
    </row>
    <row r="787" spans="3:8" x14ac:dyDescent="0.25">
      <c r="C787" s="100"/>
      <c r="G787" s="156"/>
      <c r="H787" s="97"/>
    </row>
    <row r="788" spans="3:8" x14ac:dyDescent="0.25">
      <c r="C788" s="100"/>
      <c r="G788" s="156"/>
      <c r="H788" s="97"/>
    </row>
    <row r="789" spans="3:8" x14ac:dyDescent="0.25">
      <c r="C789" s="100"/>
      <c r="G789" s="156"/>
      <c r="H789" s="97"/>
    </row>
    <row r="790" spans="3:8" x14ac:dyDescent="0.25">
      <c r="C790" s="100"/>
      <c r="G790" s="156"/>
      <c r="H790" s="97"/>
    </row>
    <row r="791" spans="3:8" x14ac:dyDescent="0.25">
      <c r="C791" s="100"/>
      <c r="G791" s="156"/>
      <c r="H791" s="97"/>
    </row>
    <row r="792" spans="3:8" x14ac:dyDescent="0.25">
      <c r="C792" s="100"/>
      <c r="G792" s="156"/>
      <c r="H792" s="97"/>
    </row>
    <row r="793" spans="3:8" x14ac:dyDescent="0.25">
      <c r="C793" s="100"/>
      <c r="G793" s="156"/>
      <c r="H793" s="97"/>
    </row>
    <row r="794" spans="3:8" x14ac:dyDescent="0.25">
      <c r="C794" s="100"/>
      <c r="G794" s="156"/>
      <c r="H794" s="97"/>
    </row>
    <row r="795" spans="3:8" x14ac:dyDescent="0.25">
      <c r="C795" s="100"/>
      <c r="G795" s="156"/>
      <c r="H795" s="97"/>
    </row>
    <row r="796" spans="3:8" x14ac:dyDescent="0.25">
      <c r="C796" s="100"/>
      <c r="G796" s="156"/>
      <c r="H796" s="97"/>
    </row>
    <row r="797" spans="3:8" x14ac:dyDescent="0.25">
      <c r="C797" s="100"/>
      <c r="G797" s="156"/>
      <c r="H797" s="97"/>
    </row>
    <row r="798" spans="3:8" x14ac:dyDescent="0.25">
      <c r="C798" s="100"/>
      <c r="G798" s="156"/>
      <c r="H798" s="97"/>
    </row>
    <row r="799" spans="3:8" x14ac:dyDescent="0.25">
      <c r="C799" s="100"/>
      <c r="G799" s="156"/>
      <c r="H799" s="97"/>
    </row>
    <row r="800" spans="3:8" x14ac:dyDescent="0.25">
      <c r="C800" s="100"/>
      <c r="G800" s="156"/>
      <c r="H800" s="97"/>
    </row>
    <row r="801" spans="3:8" x14ac:dyDescent="0.25">
      <c r="C801" s="100"/>
      <c r="G801" s="156"/>
      <c r="H801" s="97"/>
    </row>
    <row r="802" spans="3:8" x14ac:dyDescent="0.25">
      <c r="C802" s="100"/>
      <c r="G802" s="156"/>
      <c r="H802" s="97"/>
    </row>
    <row r="803" spans="3:8" x14ac:dyDescent="0.25">
      <c r="C803" s="100"/>
      <c r="G803" s="156"/>
      <c r="H803" s="97"/>
    </row>
    <row r="804" spans="3:8" x14ac:dyDescent="0.25">
      <c r="C804" s="100"/>
      <c r="G804" s="156"/>
      <c r="H804" s="97"/>
    </row>
    <row r="805" spans="3:8" x14ac:dyDescent="0.25">
      <c r="C805" s="100"/>
      <c r="G805" s="156"/>
      <c r="H805" s="97"/>
    </row>
    <row r="806" spans="3:8" x14ac:dyDescent="0.25">
      <c r="C806" s="100"/>
      <c r="G806" s="156"/>
      <c r="H806" s="97"/>
    </row>
    <row r="807" spans="3:8" x14ac:dyDescent="0.25">
      <c r="C807" s="100"/>
      <c r="G807" s="156"/>
      <c r="H807" s="97"/>
    </row>
    <row r="808" spans="3:8" x14ac:dyDescent="0.25">
      <c r="C808" s="100"/>
      <c r="G808" s="156"/>
      <c r="H808" s="97"/>
    </row>
    <row r="809" spans="3:8" x14ac:dyDescent="0.25">
      <c r="C809" s="100"/>
      <c r="G809" s="156"/>
      <c r="H809" s="97"/>
    </row>
    <row r="810" spans="3:8" x14ac:dyDescent="0.25">
      <c r="C810" s="100"/>
      <c r="G810" s="156"/>
      <c r="H810" s="97"/>
    </row>
    <row r="811" spans="3:8" x14ac:dyDescent="0.25">
      <c r="C811" s="100"/>
      <c r="G811" s="156"/>
      <c r="H811" s="97"/>
    </row>
    <row r="812" spans="3:8" x14ac:dyDescent="0.25">
      <c r="C812" s="100"/>
      <c r="G812" s="156"/>
      <c r="H812" s="97"/>
    </row>
    <row r="813" spans="3:8" x14ac:dyDescent="0.25">
      <c r="C813" s="100"/>
      <c r="G813" s="156"/>
      <c r="H813" s="97"/>
    </row>
    <row r="814" spans="3:8" x14ac:dyDescent="0.25">
      <c r="C814" s="100"/>
      <c r="G814" s="156"/>
      <c r="H814" s="97"/>
    </row>
    <row r="815" spans="3:8" x14ac:dyDescent="0.25">
      <c r="C815" s="100"/>
      <c r="G815" s="156"/>
      <c r="H815" s="97"/>
    </row>
    <row r="816" spans="3:8" x14ac:dyDescent="0.25">
      <c r="C816" s="100"/>
      <c r="G816" s="156"/>
      <c r="H816" s="97"/>
    </row>
    <row r="817" spans="3:8" x14ac:dyDescent="0.25">
      <c r="C817" s="100"/>
      <c r="G817" s="156"/>
      <c r="H817" s="97"/>
    </row>
    <row r="818" spans="3:8" x14ac:dyDescent="0.25">
      <c r="C818" s="100"/>
      <c r="G818" s="156"/>
      <c r="H818" s="97"/>
    </row>
    <row r="819" spans="3:8" x14ac:dyDescent="0.25">
      <c r="C819" s="100"/>
      <c r="G819" s="156"/>
      <c r="H819" s="97"/>
    </row>
    <row r="820" spans="3:8" x14ac:dyDescent="0.25">
      <c r="C820" s="100"/>
      <c r="G820" s="156"/>
      <c r="H820" s="97"/>
    </row>
    <row r="821" spans="3:8" x14ac:dyDescent="0.25">
      <c r="C821" s="100"/>
      <c r="G821" s="156"/>
      <c r="H821" s="97"/>
    </row>
    <row r="822" spans="3:8" x14ac:dyDescent="0.25">
      <c r="C822" s="100"/>
      <c r="G822" s="156"/>
      <c r="H822" s="97"/>
    </row>
    <row r="823" spans="3:8" x14ac:dyDescent="0.25">
      <c r="C823" s="100"/>
      <c r="G823" s="156"/>
      <c r="H823" s="97"/>
    </row>
    <row r="824" spans="3:8" x14ac:dyDescent="0.25">
      <c r="C824" s="100"/>
      <c r="G824" s="156"/>
      <c r="H824" s="97"/>
    </row>
    <row r="825" spans="3:8" x14ac:dyDescent="0.25">
      <c r="C825" s="100"/>
      <c r="G825" s="156"/>
      <c r="H825" s="97"/>
    </row>
    <row r="826" spans="3:8" x14ac:dyDescent="0.25">
      <c r="C826" s="100"/>
      <c r="G826" s="156"/>
      <c r="H826" s="97"/>
    </row>
    <row r="827" spans="3:8" x14ac:dyDescent="0.25">
      <c r="C827" s="100"/>
      <c r="G827" s="156"/>
      <c r="H827" s="97"/>
    </row>
    <row r="828" spans="3:8" x14ac:dyDescent="0.25">
      <c r="C828" s="100"/>
      <c r="G828" s="156"/>
      <c r="H828" s="97"/>
    </row>
    <row r="829" spans="3:8" x14ac:dyDescent="0.25">
      <c r="C829" s="100"/>
      <c r="G829" s="156"/>
      <c r="H829" s="97"/>
    </row>
    <row r="830" spans="3:8" x14ac:dyDescent="0.25">
      <c r="C830" s="100"/>
      <c r="G830" s="156"/>
      <c r="H830" s="97"/>
    </row>
    <row r="831" spans="3:8" x14ac:dyDescent="0.25">
      <c r="C831" s="100"/>
      <c r="G831" s="156"/>
      <c r="H831" s="97"/>
    </row>
    <row r="832" spans="3:8" x14ac:dyDescent="0.25">
      <c r="C832" s="100"/>
      <c r="G832" s="156"/>
      <c r="H832" s="100"/>
    </row>
    <row r="833" spans="3:8" x14ac:dyDescent="0.25">
      <c r="C833" s="100"/>
      <c r="G833" s="156"/>
      <c r="H833" s="100"/>
    </row>
    <row r="834" spans="3:8" x14ac:dyDescent="0.25">
      <c r="C834" s="100"/>
      <c r="G834" s="156"/>
      <c r="H834" s="100"/>
    </row>
    <row r="835" spans="3:8" x14ac:dyDescent="0.25">
      <c r="C835" s="100"/>
      <c r="G835" s="156"/>
      <c r="H835" s="100"/>
    </row>
    <row r="836" spans="3:8" x14ac:dyDescent="0.25">
      <c r="C836" s="100"/>
      <c r="G836" s="156"/>
      <c r="H836" s="100"/>
    </row>
    <row r="837" spans="3:8" x14ac:dyDescent="0.25">
      <c r="C837" s="100"/>
      <c r="G837" s="156"/>
      <c r="H837" s="100"/>
    </row>
    <row r="838" spans="3:8" x14ac:dyDescent="0.25">
      <c r="C838" s="100"/>
      <c r="G838" s="156"/>
      <c r="H838" s="100"/>
    </row>
    <row r="839" spans="3:8" x14ac:dyDescent="0.25">
      <c r="C839" s="100"/>
      <c r="G839" s="156"/>
      <c r="H839" s="100"/>
    </row>
    <row r="840" spans="3:8" x14ac:dyDescent="0.25">
      <c r="C840" s="100"/>
      <c r="G840" s="156"/>
      <c r="H840" s="100"/>
    </row>
    <row r="841" spans="3:8" x14ac:dyDescent="0.25">
      <c r="C841" s="100"/>
      <c r="G841" s="156"/>
      <c r="H841" s="100"/>
    </row>
    <row r="842" spans="3:8" x14ac:dyDescent="0.25">
      <c r="C842" s="100"/>
      <c r="G842" s="156"/>
      <c r="H842" s="100"/>
    </row>
    <row r="843" spans="3:8" x14ac:dyDescent="0.25">
      <c r="C843" s="100"/>
      <c r="G843" s="156"/>
      <c r="H843" s="100"/>
    </row>
    <row r="844" spans="3:8" x14ac:dyDescent="0.25">
      <c r="C844" s="100"/>
      <c r="G844" s="156"/>
      <c r="H844" s="100"/>
    </row>
    <row r="845" spans="3:8" x14ac:dyDescent="0.25">
      <c r="C845" s="100"/>
      <c r="G845" s="156"/>
      <c r="H845" s="100"/>
    </row>
    <row r="846" spans="3:8" x14ac:dyDescent="0.25">
      <c r="C846" s="100"/>
      <c r="G846" s="156"/>
      <c r="H846" s="100"/>
    </row>
    <row r="847" spans="3:8" x14ac:dyDescent="0.25">
      <c r="C847" s="100"/>
      <c r="G847" s="156"/>
      <c r="H847" s="100"/>
    </row>
    <row r="848" spans="3:8" x14ac:dyDescent="0.25">
      <c r="C848" s="100"/>
      <c r="G848" s="156"/>
      <c r="H848" s="100"/>
    </row>
    <row r="849" spans="3:8" x14ac:dyDescent="0.25">
      <c r="C849" s="100"/>
      <c r="G849" s="156"/>
      <c r="H849" s="100"/>
    </row>
    <row r="850" spans="3:8" x14ac:dyDescent="0.25">
      <c r="C850" s="100"/>
      <c r="G850" s="156"/>
      <c r="H850" s="100"/>
    </row>
    <row r="851" spans="3:8" x14ac:dyDescent="0.25">
      <c r="C851" s="100"/>
      <c r="G851" s="156"/>
      <c r="H851" s="100"/>
    </row>
    <row r="852" spans="3:8" x14ac:dyDescent="0.25">
      <c r="C852" s="100"/>
      <c r="G852" s="156"/>
      <c r="H852" s="100"/>
    </row>
    <row r="853" spans="3:8" x14ac:dyDescent="0.25">
      <c r="C853" s="100"/>
      <c r="G853" s="156"/>
      <c r="H853" s="100"/>
    </row>
    <row r="854" spans="3:8" x14ac:dyDescent="0.25">
      <c r="C854" s="100"/>
      <c r="G854" s="156"/>
      <c r="H854" s="100"/>
    </row>
    <row r="855" spans="3:8" x14ac:dyDescent="0.25">
      <c r="C855" s="100"/>
      <c r="G855" s="156"/>
      <c r="H855" s="100"/>
    </row>
    <row r="856" spans="3:8" x14ac:dyDescent="0.25">
      <c r="C856" s="100"/>
      <c r="G856" s="156"/>
      <c r="H856" s="100"/>
    </row>
    <row r="857" spans="3:8" x14ac:dyDescent="0.25">
      <c r="C857" s="100"/>
      <c r="G857" s="156"/>
      <c r="H857" s="100"/>
    </row>
    <row r="858" spans="3:8" x14ac:dyDescent="0.25">
      <c r="C858" s="100"/>
      <c r="G858" s="156"/>
      <c r="H858" s="100"/>
    </row>
    <row r="859" spans="3:8" x14ac:dyDescent="0.25">
      <c r="C859" s="100"/>
      <c r="G859" s="156"/>
      <c r="H859" s="100"/>
    </row>
    <row r="860" spans="3:8" x14ac:dyDescent="0.25">
      <c r="C860" s="100"/>
      <c r="G860" s="156"/>
      <c r="H860" s="100"/>
    </row>
    <row r="861" spans="3:8" x14ac:dyDescent="0.25">
      <c r="C861" s="100"/>
      <c r="G861" s="156"/>
      <c r="H861" s="100"/>
    </row>
    <row r="862" spans="3:8" x14ac:dyDescent="0.25">
      <c r="C862" s="100"/>
      <c r="G862" s="156"/>
      <c r="H862" s="100"/>
    </row>
    <row r="863" spans="3:8" x14ac:dyDescent="0.25">
      <c r="C863" s="100"/>
      <c r="G863" s="156"/>
      <c r="H863" s="100"/>
    </row>
    <row r="864" spans="3:8" x14ac:dyDescent="0.25">
      <c r="C864" s="100"/>
      <c r="G864" s="156"/>
      <c r="H864" s="100"/>
    </row>
    <row r="865" spans="3:8" x14ac:dyDescent="0.25">
      <c r="C865" s="100"/>
      <c r="G865" s="156"/>
      <c r="H865" s="100"/>
    </row>
    <row r="866" spans="3:8" x14ac:dyDescent="0.25">
      <c r="C866" s="100"/>
      <c r="G866" s="156"/>
      <c r="H866" s="100"/>
    </row>
    <row r="867" spans="3:8" x14ac:dyDescent="0.25">
      <c r="C867" s="100"/>
      <c r="G867" s="156"/>
      <c r="H867" s="100"/>
    </row>
    <row r="868" spans="3:8" x14ac:dyDescent="0.25">
      <c r="C868" s="100"/>
      <c r="G868" s="156"/>
      <c r="H868" s="100"/>
    </row>
    <row r="869" spans="3:8" x14ac:dyDescent="0.25">
      <c r="C869" s="100"/>
      <c r="G869" s="156"/>
      <c r="H869" s="100"/>
    </row>
    <row r="870" spans="3:8" x14ac:dyDescent="0.25">
      <c r="C870" s="100"/>
      <c r="G870" s="156"/>
      <c r="H870" s="100"/>
    </row>
    <row r="871" spans="3:8" x14ac:dyDescent="0.25">
      <c r="C871" s="100"/>
      <c r="G871" s="156"/>
      <c r="H871" s="100"/>
    </row>
    <row r="872" spans="3:8" x14ac:dyDescent="0.25">
      <c r="C872" s="100"/>
      <c r="G872" s="156"/>
      <c r="H872" s="100"/>
    </row>
    <row r="873" spans="3:8" x14ac:dyDescent="0.25">
      <c r="C873" s="100"/>
      <c r="G873" s="156"/>
      <c r="H873" s="100"/>
    </row>
    <row r="874" spans="3:8" x14ac:dyDescent="0.25">
      <c r="C874" s="100"/>
      <c r="G874" s="156"/>
      <c r="H874" s="100"/>
    </row>
    <row r="875" spans="3:8" x14ac:dyDescent="0.25">
      <c r="C875" s="100"/>
      <c r="G875" s="156"/>
      <c r="H875" s="100"/>
    </row>
    <row r="876" spans="3:8" x14ac:dyDescent="0.25">
      <c r="C876" s="100"/>
      <c r="G876" s="156"/>
      <c r="H876" s="100"/>
    </row>
    <row r="877" spans="3:8" x14ac:dyDescent="0.25">
      <c r="C877" s="100"/>
      <c r="G877" s="156"/>
      <c r="H877" s="100"/>
    </row>
    <row r="878" spans="3:8" x14ac:dyDescent="0.25">
      <c r="C878" s="100"/>
      <c r="G878" s="156"/>
      <c r="H878" s="100"/>
    </row>
    <row r="879" spans="3:8" x14ac:dyDescent="0.25">
      <c r="C879" s="100"/>
      <c r="G879" s="156"/>
      <c r="H879" s="100"/>
    </row>
    <row r="880" spans="3:8" x14ac:dyDescent="0.25">
      <c r="C880" s="100"/>
      <c r="G880" s="156"/>
      <c r="H880" s="100"/>
    </row>
    <row r="881" spans="3:8" x14ac:dyDescent="0.25">
      <c r="C881" s="100"/>
      <c r="G881" s="156"/>
      <c r="H881" s="100"/>
    </row>
    <row r="882" spans="3:8" x14ac:dyDescent="0.25">
      <c r="C882" s="100"/>
      <c r="G882" s="156"/>
      <c r="H882" s="100"/>
    </row>
    <row r="883" spans="3:8" x14ac:dyDescent="0.25">
      <c r="C883" s="100"/>
      <c r="G883" s="156"/>
      <c r="H883" s="100"/>
    </row>
    <row r="884" spans="3:8" x14ac:dyDescent="0.25">
      <c r="C884" s="100"/>
      <c r="G884" s="156"/>
      <c r="H884" s="100"/>
    </row>
    <row r="885" spans="3:8" x14ac:dyDescent="0.25">
      <c r="C885" s="100"/>
      <c r="G885" s="156"/>
      <c r="H885" s="100"/>
    </row>
    <row r="886" spans="3:8" x14ac:dyDescent="0.25">
      <c r="C886" s="100"/>
      <c r="G886" s="156"/>
      <c r="H886" s="100"/>
    </row>
    <row r="887" spans="3:8" x14ac:dyDescent="0.25">
      <c r="C887" s="100"/>
      <c r="G887" s="156"/>
      <c r="H887" s="100"/>
    </row>
    <row r="888" spans="3:8" x14ac:dyDescent="0.25">
      <c r="C888" s="100"/>
      <c r="G888" s="156"/>
      <c r="H888" s="100"/>
    </row>
    <row r="889" spans="3:8" x14ac:dyDescent="0.25">
      <c r="C889" s="100"/>
      <c r="G889" s="156"/>
      <c r="H889" s="100"/>
    </row>
    <row r="890" spans="3:8" x14ac:dyDescent="0.25">
      <c r="C890" s="100"/>
      <c r="G890" s="156"/>
      <c r="H890" s="100"/>
    </row>
    <row r="891" spans="3:8" x14ac:dyDescent="0.25">
      <c r="C891" s="100"/>
      <c r="G891" s="156"/>
      <c r="H891" s="100"/>
    </row>
    <row r="892" spans="3:8" x14ac:dyDescent="0.25">
      <c r="C892" s="100"/>
      <c r="G892" s="156"/>
      <c r="H892" s="100"/>
    </row>
    <row r="893" spans="3:8" x14ac:dyDescent="0.25">
      <c r="C893" s="100"/>
      <c r="G893" s="156"/>
      <c r="H893" s="100"/>
    </row>
    <row r="894" spans="3:8" x14ac:dyDescent="0.25">
      <c r="C894" s="100"/>
      <c r="G894" s="156"/>
      <c r="H894" s="100"/>
    </row>
    <row r="895" spans="3:8" x14ac:dyDescent="0.25">
      <c r="C895" s="100"/>
      <c r="G895" s="156"/>
      <c r="H895" s="100"/>
    </row>
    <row r="896" spans="3:8" x14ac:dyDescent="0.25">
      <c r="C896" s="100"/>
      <c r="G896" s="156"/>
      <c r="H896" s="100"/>
    </row>
    <row r="897" spans="3:8" x14ac:dyDescent="0.25">
      <c r="C897" s="100"/>
      <c r="G897" s="156"/>
      <c r="H897" s="100"/>
    </row>
    <row r="898" spans="3:8" x14ac:dyDescent="0.25">
      <c r="C898" s="100"/>
      <c r="G898" s="156"/>
      <c r="H898" s="100"/>
    </row>
    <row r="899" spans="3:8" x14ac:dyDescent="0.25">
      <c r="C899" s="100"/>
      <c r="G899" s="156"/>
      <c r="H899" s="100"/>
    </row>
    <row r="900" spans="3:8" x14ac:dyDescent="0.25">
      <c r="C900" s="100"/>
      <c r="G900" s="156"/>
      <c r="H900" s="100"/>
    </row>
    <row r="901" spans="3:8" x14ac:dyDescent="0.25">
      <c r="C901" s="100"/>
      <c r="G901" s="156"/>
      <c r="H901" s="100"/>
    </row>
    <row r="902" spans="3:8" x14ac:dyDescent="0.25">
      <c r="C902" s="100"/>
      <c r="G902" s="156"/>
      <c r="H902" s="100"/>
    </row>
    <row r="903" spans="3:8" x14ac:dyDescent="0.25">
      <c r="C903" s="100"/>
      <c r="G903" s="156"/>
      <c r="H903" s="100"/>
    </row>
    <row r="904" spans="3:8" x14ac:dyDescent="0.25">
      <c r="C904" s="100"/>
      <c r="G904" s="156"/>
      <c r="H904" s="100"/>
    </row>
    <row r="905" spans="3:8" x14ac:dyDescent="0.25">
      <c r="C905" s="100"/>
      <c r="G905" s="156"/>
      <c r="H905" s="100"/>
    </row>
    <row r="906" spans="3:8" x14ac:dyDescent="0.25">
      <c r="C906" s="100"/>
      <c r="G906" s="156"/>
      <c r="H906" s="100"/>
    </row>
    <row r="907" spans="3:8" x14ac:dyDescent="0.25">
      <c r="C907" s="100"/>
      <c r="G907" s="156"/>
      <c r="H907" s="100"/>
    </row>
    <row r="908" spans="3:8" x14ac:dyDescent="0.25">
      <c r="C908" s="100"/>
      <c r="G908" s="156"/>
      <c r="H908" s="100"/>
    </row>
    <row r="909" spans="3:8" x14ac:dyDescent="0.25">
      <c r="C909" s="100"/>
      <c r="G909" s="156"/>
      <c r="H909" s="100"/>
    </row>
    <row r="910" spans="3:8" x14ac:dyDescent="0.25">
      <c r="C910" s="100"/>
      <c r="G910" s="156"/>
      <c r="H910" s="100"/>
    </row>
    <row r="911" spans="3:8" x14ac:dyDescent="0.25">
      <c r="C911" s="100"/>
      <c r="G911" s="156"/>
      <c r="H911" s="100"/>
    </row>
    <row r="912" spans="3:8" x14ac:dyDescent="0.25">
      <c r="C912" s="100"/>
      <c r="G912" s="156"/>
      <c r="H912" s="100"/>
    </row>
    <row r="913" spans="3:8" x14ac:dyDescent="0.25">
      <c r="C913" s="100"/>
      <c r="G913" s="156"/>
      <c r="H913" s="100"/>
    </row>
    <row r="914" spans="3:8" x14ac:dyDescent="0.25">
      <c r="C914" s="100"/>
      <c r="G914" s="156"/>
      <c r="H914" s="100"/>
    </row>
    <row r="915" spans="3:8" x14ac:dyDescent="0.25">
      <c r="C915" s="100"/>
      <c r="G915" s="156"/>
      <c r="H915" s="100"/>
    </row>
    <row r="916" spans="3:8" x14ac:dyDescent="0.25">
      <c r="C916" s="100"/>
      <c r="G916" s="156"/>
      <c r="H916" s="100"/>
    </row>
    <row r="917" spans="3:8" x14ac:dyDescent="0.25">
      <c r="C917" s="100"/>
      <c r="G917" s="156"/>
      <c r="H917" s="100"/>
    </row>
    <row r="918" spans="3:8" x14ac:dyDescent="0.25">
      <c r="C918" s="100"/>
      <c r="G918" s="156"/>
      <c r="H918" s="100"/>
    </row>
    <row r="919" spans="3:8" x14ac:dyDescent="0.25">
      <c r="C919" s="100"/>
      <c r="G919" s="156"/>
      <c r="H919" s="100"/>
    </row>
    <row r="920" spans="3:8" x14ac:dyDescent="0.25">
      <c r="C920" s="100"/>
      <c r="G920" s="156"/>
      <c r="H920" s="100"/>
    </row>
    <row r="921" spans="3:8" x14ac:dyDescent="0.25">
      <c r="C921" s="100"/>
      <c r="G921" s="156"/>
      <c r="H921" s="100"/>
    </row>
    <row r="922" spans="3:8" x14ac:dyDescent="0.25">
      <c r="C922" s="100"/>
      <c r="G922" s="156"/>
      <c r="H922" s="100"/>
    </row>
    <row r="923" spans="3:8" x14ac:dyDescent="0.25">
      <c r="C923" s="100"/>
      <c r="G923" s="156"/>
      <c r="H923" s="100"/>
    </row>
    <row r="924" spans="3:8" x14ac:dyDescent="0.25">
      <c r="C924" s="100"/>
      <c r="G924" s="156"/>
      <c r="H924" s="100"/>
    </row>
    <row r="925" spans="3:8" x14ac:dyDescent="0.25">
      <c r="C925" s="100"/>
      <c r="G925" s="156"/>
      <c r="H925" s="100"/>
    </row>
    <row r="926" spans="3:8" x14ac:dyDescent="0.25">
      <c r="C926" s="100"/>
      <c r="G926" s="156"/>
      <c r="H926" s="100"/>
    </row>
    <row r="927" spans="3:8" x14ac:dyDescent="0.25">
      <c r="C927" s="100"/>
      <c r="G927" s="156"/>
      <c r="H927" s="100"/>
    </row>
    <row r="928" spans="3:8" x14ac:dyDescent="0.25">
      <c r="C928" s="100"/>
      <c r="G928" s="156"/>
      <c r="H928" s="100"/>
    </row>
    <row r="929" spans="3:8" x14ac:dyDescent="0.25">
      <c r="C929" s="100"/>
      <c r="G929" s="156"/>
      <c r="H929" s="100"/>
    </row>
    <row r="930" spans="3:8" x14ac:dyDescent="0.25">
      <c r="C930" s="100"/>
      <c r="G930" s="156"/>
      <c r="H930" s="100"/>
    </row>
    <row r="931" spans="3:8" x14ac:dyDescent="0.25">
      <c r="C931" s="100"/>
      <c r="G931" s="156"/>
      <c r="H931" s="100"/>
    </row>
    <row r="932" spans="3:8" x14ac:dyDescent="0.25">
      <c r="C932" s="100"/>
      <c r="G932" s="156"/>
      <c r="H932" s="100"/>
    </row>
    <row r="933" spans="3:8" x14ac:dyDescent="0.25">
      <c r="C933" s="100"/>
      <c r="G933" s="156"/>
      <c r="H933" s="100"/>
    </row>
    <row r="934" spans="3:8" x14ac:dyDescent="0.25">
      <c r="C934" s="100"/>
      <c r="G934" s="156"/>
      <c r="H934" s="100"/>
    </row>
    <row r="935" spans="3:8" x14ac:dyDescent="0.25">
      <c r="C935" s="100"/>
      <c r="G935" s="156"/>
      <c r="H935" s="100"/>
    </row>
    <row r="936" spans="3:8" x14ac:dyDescent="0.25">
      <c r="C936" s="100"/>
      <c r="G936" s="156"/>
      <c r="H936" s="100"/>
    </row>
    <row r="937" spans="3:8" x14ac:dyDescent="0.25">
      <c r="C937" s="100"/>
      <c r="G937" s="156"/>
      <c r="H937" s="100"/>
    </row>
    <row r="938" spans="3:8" x14ac:dyDescent="0.25">
      <c r="C938" s="100"/>
      <c r="G938" s="156"/>
      <c r="H938" s="100"/>
    </row>
    <row r="939" spans="3:8" x14ac:dyDescent="0.25">
      <c r="C939" s="100"/>
      <c r="G939" s="156"/>
      <c r="H939" s="100"/>
    </row>
    <row r="940" spans="3:8" x14ac:dyDescent="0.25">
      <c r="C940" s="100"/>
      <c r="G940" s="156"/>
      <c r="H940" s="100"/>
    </row>
    <row r="941" spans="3:8" x14ac:dyDescent="0.25">
      <c r="C941" s="100"/>
      <c r="G941" s="156"/>
      <c r="H941" s="100"/>
    </row>
    <row r="942" spans="3:8" x14ac:dyDescent="0.25">
      <c r="C942" s="100"/>
      <c r="G942" s="156"/>
      <c r="H942" s="100"/>
    </row>
    <row r="943" spans="3:8" x14ac:dyDescent="0.25">
      <c r="C943" s="100"/>
      <c r="G943" s="156"/>
      <c r="H943" s="100"/>
    </row>
    <row r="944" spans="3:8" x14ac:dyDescent="0.25">
      <c r="C944" s="100"/>
      <c r="G944" s="156"/>
      <c r="H944" s="100"/>
    </row>
    <row r="945" spans="3:8" x14ac:dyDescent="0.25">
      <c r="C945" s="100"/>
      <c r="G945" s="156"/>
      <c r="H945" s="100"/>
    </row>
    <row r="946" spans="3:8" x14ac:dyDescent="0.25">
      <c r="C946" s="100"/>
      <c r="G946" s="156"/>
      <c r="H946" s="100"/>
    </row>
    <row r="947" spans="3:8" x14ac:dyDescent="0.25">
      <c r="C947" s="100"/>
      <c r="G947" s="156"/>
      <c r="H947" s="100"/>
    </row>
    <row r="948" spans="3:8" x14ac:dyDescent="0.25">
      <c r="C948" s="100"/>
      <c r="G948" s="156"/>
      <c r="H948" s="100"/>
    </row>
    <row r="949" spans="3:8" x14ac:dyDescent="0.25">
      <c r="C949" s="100"/>
      <c r="G949" s="156"/>
      <c r="H949" s="100"/>
    </row>
    <row r="950" spans="3:8" x14ac:dyDescent="0.25">
      <c r="C950" s="100"/>
      <c r="G950" s="156"/>
      <c r="H950" s="100"/>
    </row>
    <row r="951" spans="3:8" x14ac:dyDescent="0.25">
      <c r="C951" s="100"/>
      <c r="G951" s="156"/>
      <c r="H951" s="100"/>
    </row>
    <row r="952" spans="3:8" x14ac:dyDescent="0.25">
      <c r="C952" s="100"/>
      <c r="G952" s="156"/>
      <c r="H952" s="100"/>
    </row>
    <row r="953" spans="3:8" x14ac:dyDescent="0.25">
      <c r="C953" s="100"/>
      <c r="G953" s="156"/>
      <c r="H953" s="100"/>
    </row>
    <row r="954" spans="3:8" x14ac:dyDescent="0.25">
      <c r="C954" s="100"/>
      <c r="G954" s="156"/>
      <c r="H954" s="100"/>
    </row>
    <row r="955" spans="3:8" x14ac:dyDescent="0.25">
      <c r="C955" s="100"/>
      <c r="G955" s="156"/>
      <c r="H955" s="100"/>
    </row>
    <row r="956" spans="3:8" x14ac:dyDescent="0.25">
      <c r="C956" s="100"/>
      <c r="G956" s="156"/>
      <c r="H956" s="100"/>
    </row>
    <row r="957" spans="3:8" x14ac:dyDescent="0.25">
      <c r="C957" s="100"/>
      <c r="G957" s="156"/>
      <c r="H957" s="100"/>
    </row>
    <row r="958" spans="3:8" x14ac:dyDescent="0.25">
      <c r="C958" s="100"/>
      <c r="G958" s="156"/>
      <c r="H958" s="100"/>
    </row>
    <row r="959" spans="3:8" x14ac:dyDescent="0.25">
      <c r="C959" s="100"/>
      <c r="G959" s="156"/>
      <c r="H959" s="100"/>
    </row>
    <row r="960" spans="3:8" x14ac:dyDescent="0.25">
      <c r="C960" s="100"/>
      <c r="G960" s="156"/>
      <c r="H960" s="100"/>
    </row>
    <row r="961" spans="3:8" x14ac:dyDescent="0.25">
      <c r="C961" s="100"/>
      <c r="G961" s="156"/>
      <c r="H961" s="100"/>
    </row>
    <row r="962" spans="3:8" x14ac:dyDescent="0.25">
      <c r="C962" s="100"/>
      <c r="G962" s="156"/>
      <c r="H962" s="100"/>
    </row>
    <row r="963" spans="3:8" x14ac:dyDescent="0.25">
      <c r="C963" s="100"/>
      <c r="G963" s="156"/>
      <c r="H963" s="100"/>
    </row>
    <row r="964" spans="3:8" x14ac:dyDescent="0.25">
      <c r="C964" s="100"/>
      <c r="G964" s="156"/>
      <c r="H964" s="100"/>
    </row>
    <row r="965" spans="3:8" x14ac:dyDescent="0.25">
      <c r="C965" s="100"/>
      <c r="G965" s="156"/>
      <c r="H965" s="100"/>
    </row>
    <row r="966" spans="3:8" x14ac:dyDescent="0.25">
      <c r="C966" s="100"/>
      <c r="G966" s="156"/>
      <c r="H966" s="100"/>
    </row>
    <row r="967" spans="3:8" x14ac:dyDescent="0.25">
      <c r="C967" s="100"/>
      <c r="G967" s="156"/>
      <c r="H967" s="100"/>
    </row>
    <row r="968" spans="3:8" x14ac:dyDescent="0.25">
      <c r="C968" s="100"/>
      <c r="G968" s="156"/>
      <c r="H968" s="100"/>
    </row>
    <row r="969" spans="3:8" x14ac:dyDescent="0.25">
      <c r="C969" s="100"/>
      <c r="G969" s="156"/>
      <c r="H969" s="100"/>
    </row>
    <row r="970" spans="3:8" x14ac:dyDescent="0.25">
      <c r="C970" s="100"/>
      <c r="G970" s="156"/>
      <c r="H970" s="100"/>
    </row>
    <row r="971" spans="3:8" x14ac:dyDescent="0.25">
      <c r="C971" s="100"/>
      <c r="G971" s="156"/>
      <c r="H971" s="100"/>
    </row>
    <row r="972" spans="3:8" x14ac:dyDescent="0.25">
      <c r="C972" s="100"/>
      <c r="G972" s="156"/>
      <c r="H972" s="100"/>
    </row>
    <row r="973" spans="3:8" x14ac:dyDescent="0.25">
      <c r="C973" s="100"/>
      <c r="G973" s="156"/>
      <c r="H973" s="100"/>
    </row>
    <row r="974" spans="3:8" x14ac:dyDescent="0.25">
      <c r="C974" s="100"/>
      <c r="G974" s="156"/>
      <c r="H974" s="100"/>
    </row>
    <row r="975" spans="3:8" x14ac:dyDescent="0.25">
      <c r="C975" s="100"/>
      <c r="G975" s="156"/>
      <c r="H975" s="100"/>
    </row>
    <row r="976" spans="3:8" x14ac:dyDescent="0.25">
      <c r="C976" s="100"/>
      <c r="G976" s="156"/>
      <c r="H976" s="100"/>
    </row>
    <row r="977" spans="3:8" x14ac:dyDescent="0.25">
      <c r="C977" s="100"/>
      <c r="G977" s="156"/>
      <c r="H977" s="100"/>
    </row>
    <row r="978" spans="3:8" x14ac:dyDescent="0.25">
      <c r="C978" s="100"/>
      <c r="G978" s="156"/>
      <c r="H978" s="100"/>
    </row>
    <row r="979" spans="3:8" x14ac:dyDescent="0.25">
      <c r="C979" s="100"/>
      <c r="G979" s="156"/>
      <c r="H979" s="100"/>
    </row>
    <row r="980" spans="3:8" x14ac:dyDescent="0.25">
      <c r="C980" s="100"/>
      <c r="G980" s="156"/>
      <c r="H980" s="100"/>
    </row>
    <row r="981" spans="3:8" x14ac:dyDescent="0.25">
      <c r="C981" s="100"/>
      <c r="G981" s="156"/>
      <c r="H981" s="100"/>
    </row>
    <row r="982" spans="3:8" x14ac:dyDescent="0.25">
      <c r="C982" s="100"/>
      <c r="G982" s="156"/>
      <c r="H982" s="100"/>
    </row>
    <row r="983" spans="3:8" x14ac:dyDescent="0.25">
      <c r="C983" s="100"/>
      <c r="G983" s="156"/>
      <c r="H983" s="100"/>
    </row>
    <row r="984" spans="3:8" x14ac:dyDescent="0.25">
      <c r="C984" s="100"/>
      <c r="G984" s="156"/>
      <c r="H984" s="100"/>
    </row>
    <row r="985" spans="3:8" x14ac:dyDescent="0.25">
      <c r="C985" s="100"/>
      <c r="G985" s="156"/>
      <c r="H985" s="100"/>
    </row>
    <row r="986" spans="3:8" x14ac:dyDescent="0.25">
      <c r="C986" s="100"/>
      <c r="G986" s="156"/>
      <c r="H986" s="100"/>
    </row>
    <row r="987" spans="3:8" x14ac:dyDescent="0.25">
      <c r="C987" s="100"/>
      <c r="G987" s="156"/>
      <c r="H987" s="100"/>
    </row>
    <row r="988" spans="3:8" x14ac:dyDescent="0.25">
      <c r="C988" s="100"/>
      <c r="G988" s="156"/>
      <c r="H988" s="100"/>
    </row>
    <row r="989" spans="3:8" x14ac:dyDescent="0.25">
      <c r="C989" s="100"/>
      <c r="G989" s="156"/>
      <c r="H989" s="100"/>
    </row>
    <row r="990" spans="3:8" x14ac:dyDescent="0.25">
      <c r="C990" s="100"/>
      <c r="G990" s="156"/>
      <c r="H990" s="100"/>
    </row>
    <row r="991" spans="3:8" x14ac:dyDescent="0.25">
      <c r="C991" s="100"/>
      <c r="G991" s="156"/>
      <c r="H991" s="100"/>
    </row>
    <row r="992" spans="3:8" x14ac:dyDescent="0.25">
      <c r="C992" s="100"/>
      <c r="G992" s="156"/>
      <c r="H992" s="100"/>
    </row>
    <row r="993" spans="3:8" x14ac:dyDescent="0.25">
      <c r="C993" s="100"/>
      <c r="G993" s="156"/>
      <c r="H993" s="100"/>
    </row>
    <row r="994" spans="3:8" x14ac:dyDescent="0.25">
      <c r="C994" s="100"/>
      <c r="G994" s="156"/>
      <c r="H994" s="100"/>
    </row>
    <row r="995" spans="3:8" x14ac:dyDescent="0.25">
      <c r="C995" s="100"/>
      <c r="G995" s="156"/>
      <c r="H995" s="100"/>
    </row>
    <row r="996" spans="3:8" x14ac:dyDescent="0.25">
      <c r="C996" s="100"/>
      <c r="G996" s="156"/>
      <c r="H996" s="100"/>
    </row>
    <row r="997" spans="3:8" x14ac:dyDescent="0.25">
      <c r="C997" s="100"/>
      <c r="G997" s="156"/>
      <c r="H997" s="100"/>
    </row>
    <row r="998" spans="3:8" x14ac:dyDescent="0.25">
      <c r="C998" s="100"/>
      <c r="G998" s="156"/>
      <c r="H998" s="100"/>
    </row>
    <row r="999" spans="3:8" x14ac:dyDescent="0.25">
      <c r="C999" s="100"/>
      <c r="G999" s="156"/>
      <c r="H999" s="100"/>
    </row>
    <row r="1000" spans="3:8" x14ac:dyDescent="0.25">
      <c r="C1000" s="100"/>
      <c r="G1000" s="156"/>
      <c r="H1000" s="100"/>
    </row>
    <row r="1001" spans="3:8" x14ac:dyDescent="0.25">
      <c r="C1001" s="100"/>
      <c r="G1001" s="156"/>
      <c r="H1001" s="100"/>
    </row>
    <row r="1002" spans="3:8" x14ac:dyDescent="0.25">
      <c r="C1002" s="100"/>
      <c r="G1002" s="156"/>
      <c r="H1002" s="100"/>
    </row>
    <row r="1003" spans="3:8" x14ac:dyDescent="0.25">
      <c r="C1003" s="100"/>
      <c r="G1003" s="156"/>
      <c r="H1003" s="100"/>
    </row>
    <row r="1004" spans="3:8" x14ac:dyDescent="0.25">
      <c r="C1004" s="100"/>
      <c r="G1004" s="156"/>
      <c r="H1004" s="100"/>
    </row>
    <row r="1005" spans="3:8" x14ac:dyDescent="0.25">
      <c r="C1005" s="100"/>
      <c r="G1005" s="156"/>
      <c r="H1005" s="100"/>
    </row>
    <row r="1006" spans="3:8" x14ac:dyDescent="0.25">
      <c r="C1006" s="100"/>
      <c r="G1006" s="156"/>
      <c r="H1006" s="100"/>
    </row>
    <row r="1007" spans="3:8" x14ac:dyDescent="0.25">
      <c r="C1007" s="100"/>
      <c r="G1007" s="156"/>
      <c r="H1007" s="100"/>
    </row>
    <row r="1008" spans="3:8" x14ac:dyDescent="0.25">
      <c r="C1008" s="100"/>
      <c r="G1008" s="156"/>
      <c r="H1008" s="100"/>
    </row>
    <row r="1009" spans="3:8" x14ac:dyDescent="0.25">
      <c r="C1009" s="100"/>
      <c r="G1009" s="156"/>
      <c r="H1009" s="100"/>
    </row>
    <row r="1010" spans="3:8" x14ac:dyDescent="0.25">
      <c r="C1010" s="100"/>
      <c r="G1010" s="156"/>
      <c r="H1010" s="100"/>
    </row>
    <row r="1011" spans="3:8" x14ac:dyDescent="0.25">
      <c r="C1011" s="100"/>
      <c r="G1011" s="156"/>
      <c r="H1011" s="100"/>
    </row>
    <row r="1012" spans="3:8" x14ac:dyDescent="0.25">
      <c r="C1012" s="100"/>
      <c r="G1012" s="156"/>
      <c r="H1012" s="100"/>
    </row>
    <row r="1013" spans="3:8" x14ac:dyDescent="0.25">
      <c r="C1013" s="100"/>
      <c r="G1013" s="156"/>
      <c r="H1013" s="100"/>
    </row>
    <row r="1014" spans="3:8" x14ac:dyDescent="0.25">
      <c r="C1014" s="100"/>
      <c r="G1014" s="156"/>
      <c r="H1014" s="100"/>
    </row>
    <row r="1015" spans="3:8" x14ac:dyDescent="0.25">
      <c r="C1015" s="100"/>
      <c r="G1015" s="156"/>
      <c r="H1015" s="100"/>
    </row>
    <row r="1016" spans="3:8" x14ac:dyDescent="0.25">
      <c r="C1016" s="100"/>
      <c r="G1016" s="156"/>
      <c r="H1016" s="100"/>
    </row>
    <row r="1017" spans="3:8" x14ac:dyDescent="0.25">
      <c r="C1017" s="100"/>
      <c r="G1017" s="156"/>
      <c r="H1017" s="100"/>
    </row>
    <row r="1018" spans="3:8" x14ac:dyDescent="0.25">
      <c r="C1018" s="100"/>
      <c r="G1018" s="156"/>
      <c r="H1018" s="100"/>
    </row>
    <row r="1019" spans="3:8" x14ac:dyDescent="0.25">
      <c r="C1019" s="100"/>
      <c r="G1019" s="156"/>
      <c r="H1019" s="100"/>
    </row>
    <row r="1020" spans="3:8" x14ac:dyDescent="0.25">
      <c r="C1020" s="100"/>
      <c r="G1020" s="156"/>
      <c r="H1020" s="100"/>
    </row>
    <row r="1021" spans="3:8" x14ac:dyDescent="0.25">
      <c r="C1021" s="100"/>
      <c r="G1021" s="156"/>
      <c r="H1021" s="100"/>
    </row>
    <row r="1022" spans="3:8" x14ac:dyDescent="0.25">
      <c r="C1022" s="100"/>
      <c r="G1022" s="156"/>
      <c r="H1022" s="100"/>
    </row>
    <row r="1023" spans="3:8" x14ac:dyDescent="0.25">
      <c r="C1023" s="100"/>
      <c r="G1023" s="156"/>
      <c r="H1023" s="100"/>
    </row>
    <row r="1024" spans="3:8" x14ac:dyDescent="0.25">
      <c r="C1024" s="100"/>
      <c r="G1024" s="156"/>
      <c r="H1024" s="100"/>
    </row>
    <row r="1025" spans="3:8" x14ac:dyDescent="0.25">
      <c r="C1025" s="100"/>
      <c r="G1025" s="156"/>
      <c r="H1025" s="100"/>
    </row>
    <row r="1026" spans="3:8" x14ac:dyDescent="0.25">
      <c r="C1026" s="100"/>
      <c r="G1026" s="156"/>
      <c r="H1026" s="100"/>
    </row>
    <row r="1027" spans="3:8" x14ac:dyDescent="0.25">
      <c r="C1027" s="100"/>
      <c r="G1027" s="156"/>
      <c r="H1027" s="100"/>
    </row>
    <row r="1028" spans="3:8" x14ac:dyDescent="0.25">
      <c r="C1028" s="100"/>
      <c r="G1028" s="156"/>
      <c r="H1028" s="100"/>
    </row>
    <row r="1029" spans="3:8" x14ac:dyDescent="0.25">
      <c r="C1029" s="100"/>
      <c r="G1029" s="156"/>
      <c r="H1029" s="100"/>
    </row>
    <row r="1030" spans="3:8" x14ac:dyDescent="0.25">
      <c r="C1030" s="100"/>
      <c r="G1030" s="156"/>
      <c r="H1030" s="100"/>
    </row>
    <row r="1031" spans="3:8" x14ac:dyDescent="0.25">
      <c r="C1031" s="100"/>
      <c r="G1031" s="156"/>
      <c r="H1031" s="100"/>
    </row>
    <row r="1032" spans="3:8" x14ac:dyDescent="0.25">
      <c r="C1032" s="100"/>
      <c r="G1032" s="156"/>
      <c r="H1032" s="100"/>
    </row>
    <row r="1033" spans="3:8" x14ac:dyDescent="0.25">
      <c r="C1033" s="100"/>
      <c r="G1033" s="156"/>
      <c r="H1033" s="100"/>
    </row>
    <row r="1034" spans="3:8" x14ac:dyDescent="0.25">
      <c r="C1034" s="100"/>
      <c r="G1034" s="156"/>
      <c r="H1034" s="100"/>
    </row>
    <row r="1035" spans="3:8" x14ac:dyDescent="0.25">
      <c r="C1035" s="100"/>
      <c r="G1035" s="156"/>
      <c r="H1035" s="100"/>
    </row>
    <row r="1036" spans="3:8" x14ac:dyDescent="0.25">
      <c r="C1036" s="100"/>
      <c r="G1036" s="156"/>
      <c r="H1036" s="100"/>
    </row>
    <row r="1037" spans="3:8" x14ac:dyDescent="0.25">
      <c r="C1037" s="100"/>
      <c r="G1037" s="156"/>
      <c r="H1037" s="100"/>
    </row>
    <row r="1038" spans="3:8" x14ac:dyDescent="0.25">
      <c r="C1038" s="100"/>
      <c r="G1038" s="156"/>
      <c r="H1038" s="100"/>
    </row>
    <row r="1039" spans="3:8" x14ac:dyDescent="0.25">
      <c r="C1039" s="100"/>
      <c r="G1039" s="156"/>
      <c r="H1039" s="100"/>
    </row>
    <row r="1040" spans="3:8" x14ac:dyDescent="0.25">
      <c r="C1040" s="100"/>
      <c r="G1040" s="156"/>
      <c r="H1040" s="100"/>
    </row>
    <row r="1041" spans="3:8" x14ac:dyDescent="0.25">
      <c r="C1041" s="100"/>
      <c r="G1041" s="156"/>
      <c r="H1041" s="100"/>
    </row>
    <row r="1042" spans="3:8" x14ac:dyDescent="0.25">
      <c r="C1042" s="100"/>
      <c r="G1042" s="156"/>
      <c r="H1042" s="100"/>
    </row>
    <row r="1043" spans="3:8" x14ac:dyDescent="0.25">
      <c r="C1043" s="100"/>
      <c r="G1043" s="156"/>
      <c r="H1043" s="100"/>
    </row>
    <row r="1044" spans="3:8" x14ac:dyDescent="0.25">
      <c r="C1044" s="100"/>
      <c r="G1044" s="156"/>
      <c r="H1044" s="100"/>
    </row>
    <row r="1045" spans="3:8" x14ac:dyDescent="0.25">
      <c r="C1045" s="100"/>
      <c r="G1045" s="156"/>
      <c r="H1045" s="100"/>
    </row>
    <row r="1046" spans="3:8" x14ac:dyDescent="0.25">
      <c r="C1046" s="100"/>
      <c r="G1046" s="156"/>
      <c r="H1046" s="100"/>
    </row>
    <row r="1047" spans="3:8" x14ac:dyDescent="0.25">
      <c r="C1047" s="100"/>
      <c r="G1047" s="156"/>
      <c r="H1047" s="100"/>
    </row>
    <row r="1048" spans="3:8" x14ac:dyDescent="0.25">
      <c r="C1048" s="100"/>
      <c r="G1048" s="156"/>
      <c r="H1048" s="100"/>
    </row>
    <row r="1049" spans="3:8" x14ac:dyDescent="0.25">
      <c r="C1049" s="100"/>
      <c r="G1049" s="156"/>
      <c r="H1049" s="100"/>
    </row>
    <row r="1050" spans="3:8" x14ac:dyDescent="0.25">
      <c r="C1050" s="100"/>
      <c r="G1050" s="156"/>
      <c r="H1050" s="100"/>
    </row>
    <row r="1051" spans="3:8" x14ac:dyDescent="0.25">
      <c r="C1051" s="100"/>
      <c r="G1051" s="156"/>
      <c r="H1051" s="100"/>
    </row>
    <row r="1052" spans="3:8" x14ac:dyDescent="0.25">
      <c r="C1052" s="100"/>
      <c r="G1052" s="156"/>
      <c r="H1052" s="100"/>
    </row>
    <row r="1053" spans="3:8" x14ac:dyDescent="0.25">
      <c r="C1053" s="100"/>
      <c r="G1053" s="156"/>
      <c r="H1053" s="100"/>
    </row>
    <row r="1054" spans="3:8" x14ac:dyDescent="0.25">
      <c r="C1054" s="100"/>
      <c r="G1054" s="156"/>
      <c r="H1054" s="100"/>
    </row>
    <row r="1055" spans="3:8" x14ac:dyDescent="0.25">
      <c r="C1055" s="100"/>
      <c r="G1055" s="156"/>
      <c r="H1055" s="100"/>
    </row>
    <row r="1056" spans="3:8" x14ac:dyDescent="0.25">
      <c r="C1056" s="100"/>
      <c r="G1056" s="156"/>
      <c r="H1056" s="100"/>
    </row>
    <row r="1057" spans="3:8" x14ac:dyDescent="0.25">
      <c r="C1057" s="100"/>
      <c r="G1057" s="156"/>
      <c r="H1057" s="100"/>
    </row>
    <row r="1058" spans="3:8" x14ac:dyDescent="0.25">
      <c r="C1058" s="100"/>
      <c r="G1058" s="156"/>
      <c r="H1058" s="100"/>
    </row>
    <row r="1059" spans="3:8" x14ac:dyDescent="0.25">
      <c r="C1059" s="100"/>
      <c r="G1059" s="156"/>
      <c r="H1059" s="100"/>
    </row>
    <row r="1060" spans="3:8" x14ac:dyDescent="0.25">
      <c r="C1060" s="100"/>
      <c r="G1060" s="156"/>
      <c r="H1060" s="100"/>
    </row>
    <row r="1061" spans="3:8" x14ac:dyDescent="0.25">
      <c r="C1061" s="100"/>
      <c r="G1061" s="156"/>
      <c r="H1061" s="100"/>
    </row>
    <row r="1062" spans="3:8" x14ac:dyDescent="0.25">
      <c r="C1062" s="100"/>
      <c r="G1062" s="156"/>
      <c r="H1062" s="100"/>
    </row>
    <row r="1063" spans="3:8" x14ac:dyDescent="0.25">
      <c r="C1063" s="100"/>
      <c r="G1063" s="156"/>
      <c r="H1063" s="100"/>
    </row>
    <row r="1064" spans="3:8" x14ac:dyDescent="0.25">
      <c r="C1064" s="100"/>
      <c r="G1064" s="156"/>
      <c r="H1064" s="100"/>
    </row>
    <row r="1065" spans="3:8" x14ac:dyDescent="0.25">
      <c r="C1065" s="100"/>
      <c r="G1065" s="156"/>
      <c r="H1065" s="100"/>
    </row>
    <row r="1066" spans="3:8" x14ac:dyDescent="0.25">
      <c r="C1066" s="100"/>
      <c r="G1066" s="156"/>
      <c r="H1066" s="100"/>
    </row>
    <row r="1067" spans="3:8" x14ac:dyDescent="0.25">
      <c r="C1067" s="100"/>
      <c r="G1067" s="156"/>
      <c r="H1067" s="100"/>
    </row>
    <row r="1068" spans="3:8" x14ac:dyDescent="0.25">
      <c r="C1068" s="100"/>
      <c r="G1068" s="156"/>
      <c r="H1068" s="100"/>
    </row>
    <row r="1069" spans="3:8" x14ac:dyDescent="0.25">
      <c r="C1069" s="100"/>
      <c r="G1069" s="156"/>
      <c r="H1069" s="100"/>
    </row>
    <row r="1070" spans="3:8" x14ac:dyDescent="0.25">
      <c r="C1070" s="100"/>
      <c r="G1070" s="156"/>
      <c r="H1070" s="100"/>
    </row>
    <row r="1071" spans="3:8" x14ac:dyDescent="0.25">
      <c r="C1071" s="100"/>
      <c r="G1071" s="156"/>
      <c r="H1071" s="100"/>
    </row>
    <row r="1072" spans="3:8" x14ac:dyDescent="0.25">
      <c r="C1072" s="100"/>
      <c r="G1072" s="156"/>
      <c r="H1072" s="100"/>
    </row>
    <row r="1073" spans="3:8" x14ac:dyDescent="0.25">
      <c r="C1073" s="100"/>
      <c r="G1073" s="156"/>
      <c r="H1073" s="100"/>
    </row>
    <row r="1074" spans="3:8" x14ac:dyDescent="0.25">
      <c r="C1074" s="100"/>
      <c r="G1074" s="156"/>
      <c r="H1074" s="100"/>
    </row>
    <row r="1075" spans="3:8" x14ac:dyDescent="0.25">
      <c r="C1075" s="100"/>
      <c r="G1075" s="156"/>
      <c r="H1075" s="100"/>
    </row>
    <row r="1076" spans="3:8" x14ac:dyDescent="0.25">
      <c r="C1076" s="100"/>
      <c r="G1076" s="156"/>
      <c r="H1076" s="100"/>
    </row>
    <row r="1077" spans="3:8" x14ac:dyDescent="0.25">
      <c r="C1077" s="100"/>
      <c r="G1077" s="156"/>
      <c r="H1077" s="100"/>
    </row>
    <row r="1078" spans="3:8" x14ac:dyDescent="0.25">
      <c r="C1078" s="100"/>
      <c r="G1078" s="156"/>
      <c r="H1078" s="100"/>
    </row>
    <row r="1079" spans="3:8" x14ac:dyDescent="0.25">
      <c r="C1079" s="100"/>
      <c r="G1079" s="156"/>
      <c r="H1079" s="100"/>
    </row>
    <row r="1080" spans="3:8" x14ac:dyDescent="0.25">
      <c r="C1080" s="100"/>
      <c r="G1080" s="156"/>
      <c r="H1080" s="100"/>
    </row>
    <row r="1081" spans="3:8" x14ac:dyDescent="0.25">
      <c r="C1081" s="100"/>
      <c r="G1081" s="156"/>
      <c r="H1081" s="100"/>
    </row>
    <row r="1082" spans="3:8" x14ac:dyDescent="0.25">
      <c r="C1082" s="100"/>
      <c r="G1082" s="156"/>
      <c r="H1082" s="100"/>
    </row>
    <row r="1083" spans="3:8" x14ac:dyDescent="0.25">
      <c r="C1083" s="100"/>
      <c r="G1083" s="156"/>
      <c r="H1083" s="100"/>
    </row>
    <row r="1084" spans="3:8" x14ac:dyDescent="0.25">
      <c r="C1084" s="100"/>
      <c r="G1084" s="156"/>
      <c r="H1084" s="100"/>
    </row>
    <row r="1085" spans="3:8" x14ac:dyDescent="0.25">
      <c r="C1085" s="100"/>
      <c r="G1085" s="156"/>
      <c r="H1085" s="100"/>
    </row>
    <row r="1086" spans="3:8" x14ac:dyDescent="0.25">
      <c r="C1086" s="100"/>
      <c r="G1086" s="156"/>
      <c r="H1086" s="100"/>
    </row>
    <row r="1087" spans="3:8" x14ac:dyDescent="0.25">
      <c r="C1087" s="100"/>
      <c r="G1087" s="156"/>
      <c r="H1087" s="100"/>
    </row>
    <row r="1088" spans="3:8" x14ac:dyDescent="0.25">
      <c r="C1088" s="100"/>
      <c r="G1088" s="156"/>
      <c r="H1088" s="100"/>
    </row>
    <row r="1089" spans="3:8" x14ac:dyDescent="0.25">
      <c r="C1089" s="100"/>
      <c r="G1089" s="156"/>
      <c r="H1089" s="100"/>
    </row>
    <row r="1090" spans="3:8" x14ac:dyDescent="0.25">
      <c r="C1090" s="100"/>
      <c r="G1090" s="156"/>
      <c r="H1090" s="100"/>
    </row>
    <row r="1091" spans="3:8" x14ac:dyDescent="0.25">
      <c r="C1091" s="100"/>
      <c r="G1091" s="156"/>
      <c r="H1091" s="100"/>
    </row>
    <row r="1092" spans="3:8" x14ac:dyDescent="0.25">
      <c r="C1092" s="100"/>
      <c r="G1092" s="156"/>
      <c r="H1092" s="100"/>
    </row>
    <row r="1093" spans="3:8" x14ac:dyDescent="0.25">
      <c r="C1093" s="100"/>
      <c r="G1093" s="156"/>
      <c r="H1093" s="100"/>
    </row>
    <row r="1094" spans="3:8" x14ac:dyDescent="0.25">
      <c r="C1094" s="100"/>
      <c r="G1094" s="156"/>
      <c r="H1094" s="100"/>
    </row>
    <row r="1095" spans="3:8" x14ac:dyDescent="0.25">
      <c r="C1095" s="100"/>
      <c r="G1095" s="156"/>
      <c r="H1095" s="100"/>
    </row>
    <row r="1096" spans="3:8" x14ac:dyDescent="0.25">
      <c r="C1096" s="100"/>
      <c r="G1096" s="156"/>
      <c r="H1096" s="100"/>
    </row>
    <row r="1097" spans="3:8" x14ac:dyDescent="0.25">
      <c r="C1097" s="100"/>
      <c r="G1097" s="156"/>
      <c r="H1097" s="100"/>
    </row>
    <row r="1098" spans="3:8" x14ac:dyDescent="0.25">
      <c r="C1098" s="100"/>
      <c r="G1098" s="156"/>
      <c r="H1098" s="100"/>
    </row>
    <row r="1099" spans="3:8" x14ac:dyDescent="0.25">
      <c r="C1099" s="100"/>
      <c r="G1099" s="156"/>
      <c r="H1099" s="100"/>
    </row>
    <row r="1100" spans="3:8" x14ac:dyDescent="0.25">
      <c r="C1100" s="100"/>
      <c r="G1100" s="156"/>
      <c r="H1100" s="100"/>
    </row>
    <row r="1101" spans="3:8" x14ac:dyDescent="0.25">
      <c r="C1101" s="100"/>
      <c r="G1101" s="156"/>
      <c r="H1101" s="100"/>
    </row>
    <row r="1102" spans="3:8" x14ac:dyDescent="0.25">
      <c r="C1102" s="100"/>
      <c r="G1102" s="156"/>
      <c r="H1102" s="100"/>
    </row>
    <row r="1103" spans="3:8" x14ac:dyDescent="0.25">
      <c r="C1103" s="100"/>
      <c r="G1103" s="156"/>
      <c r="H1103" s="100"/>
    </row>
    <row r="1104" spans="3:8" x14ac:dyDescent="0.25">
      <c r="C1104" s="100"/>
      <c r="G1104" s="156"/>
      <c r="H1104" s="100"/>
    </row>
    <row r="1105" spans="3:8" x14ac:dyDescent="0.25">
      <c r="C1105" s="100"/>
      <c r="G1105" s="156"/>
      <c r="H1105" s="100"/>
    </row>
    <row r="1106" spans="3:8" x14ac:dyDescent="0.25">
      <c r="C1106" s="100"/>
      <c r="G1106" s="156"/>
      <c r="H1106" s="100"/>
    </row>
    <row r="1107" spans="3:8" x14ac:dyDescent="0.25">
      <c r="C1107" s="100"/>
      <c r="G1107" s="156"/>
      <c r="H1107" s="100"/>
    </row>
    <row r="1108" spans="3:8" x14ac:dyDescent="0.25">
      <c r="C1108" s="100"/>
      <c r="G1108" s="156"/>
      <c r="H1108" s="100"/>
    </row>
    <row r="1109" spans="3:8" x14ac:dyDescent="0.25">
      <c r="C1109" s="100"/>
      <c r="G1109" s="156"/>
      <c r="H1109" s="100"/>
    </row>
    <row r="1110" spans="3:8" x14ac:dyDescent="0.25">
      <c r="C1110" s="100"/>
      <c r="G1110" s="156"/>
      <c r="H1110" s="100"/>
    </row>
    <row r="1111" spans="3:8" x14ac:dyDescent="0.25">
      <c r="C1111" s="100"/>
      <c r="G1111" s="156"/>
      <c r="H1111" s="100"/>
    </row>
    <row r="1112" spans="3:8" x14ac:dyDescent="0.25">
      <c r="C1112" s="100"/>
      <c r="G1112" s="156"/>
      <c r="H1112" s="100"/>
    </row>
    <row r="1113" spans="3:8" x14ac:dyDescent="0.25">
      <c r="C1113" s="100"/>
      <c r="G1113" s="156"/>
      <c r="H1113" s="100"/>
    </row>
    <row r="1114" spans="3:8" x14ac:dyDescent="0.25">
      <c r="C1114" s="100"/>
      <c r="G1114" s="156"/>
      <c r="H1114" s="100"/>
    </row>
    <row r="1115" spans="3:8" x14ac:dyDescent="0.25">
      <c r="C1115" s="100"/>
      <c r="G1115" s="156"/>
      <c r="H1115" s="100"/>
    </row>
    <row r="1116" spans="3:8" x14ac:dyDescent="0.25">
      <c r="C1116" s="100"/>
      <c r="G1116" s="156"/>
      <c r="H1116" s="100"/>
    </row>
    <row r="1117" spans="3:8" x14ac:dyDescent="0.25">
      <c r="C1117" s="100"/>
      <c r="G1117" s="156"/>
      <c r="H1117" s="100"/>
    </row>
    <row r="1118" spans="3:8" x14ac:dyDescent="0.25">
      <c r="C1118" s="100"/>
      <c r="G1118" s="156"/>
      <c r="H1118" s="100"/>
    </row>
    <row r="1119" spans="3:8" x14ac:dyDescent="0.25">
      <c r="C1119" s="100"/>
      <c r="G1119" s="156"/>
      <c r="H1119" s="100"/>
    </row>
    <row r="1120" spans="3:8" x14ac:dyDescent="0.25">
      <c r="C1120" s="100"/>
      <c r="G1120" s="156"/>
      <c r="H1120" s="100"/>
    </row>
    <row r="1121" spans="3:8" x14ac:dyDescent="0.25">
      <c r="C1121" s="100"/>
      <c r="G1121" s="156"/>
      <c r="H1121" s="100"/>
    </row>
    <row r="1122" spans="3:8" x14ac:dyDescent="0.25">
      <c r="C1122" s="100"/>
      <c r="G1122" s="156"/>
      <c r="H1122" s="100"/>
    </row>
    <row r="1123" spans="3:8" x14ac:dyDescent="0.25">
      <c r="C1123" s="100"/>
      <c r="G1123" s="156"/>
      <c r="H1123" s="100"/>
    </row>
    <row r="1124" spans="3:8" x14ac:dyDescent="0.25">
      <c r="C1124" s="100"/>
      <c r="G1124" s="156"/>
      <c r="H1124" s="100"/>
    </row>
    <row r="1125" spans="3:8" x14ac:dyDescent="0.25">
      <c r="C1125" s="100"/>
      <c r="G1125" s="156"/>
      <c r="H1125" s="100"/>
    </row>
    <row r="1126" spans="3:8" x14ac:dyDescent="0.25">
      <c r="C1126" s="100"/>
      <c r="G1126" s="156"/>
      <c r="H1126" s="100"/>
    </row>
    <row r="1127" spans="3:8" x14ac:dyDescent="0.25">
      <c r="C1127" s="100"/>
      <c r="G1127" s="156"/>
      <c r="H1127" s="100"/>
    </row>
    <row r="1128" spans="3:8" x14ac:dyDescent="0.25">
      <c r="C1128" s="100"/>
      <c r="G1128" s="156"/>
      <c r="H1128" s="100"/>
    </row>
    <row r="1129" spans="3:8" x14ac:dyDescent="0.25">
      <c r="C1129" s="100"/>
      <c r="G1129" s="156"/>
      <c r="H1129" s="100"/>
    </row>
    <row r="1130" spans="3:8" x14ac:dyDescent="0.25">
      <c r="C1130" s="100"/>
      <c r="G1130" s="156"/>
      <c r="H1130" s="100"/>
    </row>
    <row r="1131" spans="3:8" x14ac:dyDescent="0.25">
      <c r="C1131" s="100"/>
      <c r="G1131" s="156"/>
      <c r="H1131" s="100"/>
    </row>
    <row r="1132" spans="3:8" x14ac:dyDescent="0.25">
      <c r="C1132" s="100"/>
      <c r="G1132" s="156"/>
      <c r="H1132" s="100"/>
    </row>
    <row r="1133" spans="3:8" x14ac:dyDescent="0.25">
      <c r="C1133" s="100"/>
      <c r="G1133" s="156"/>
      <c r="H1133" s="100"/>
    </row>
    <row r="1134" spans="3:8" x14ac:dyDescent="0.25">
      <c r="C1134" s="100"/>
      <c r="G1134" s="156"/>
      <c r="H1134" s="100"/>
    </row>
    <row r="1135" spans="3:8" x14ac:dyDescent="0.25">
      <c r="C1135" s="100"/>
      <c r="G1135" s="156"/>
      <c r="H1135" s="100"/>
    </row>
    <row r="1136" spans="3:8" x14ac:dyDescent="0.25">
      <c r="C1136" s="100"/>
      <c r="G1136" s="156"/>
      <c r="H1136" s="100"/>
    </row>
    <row r="1137" spans="3:8" x14ac:dyDescent="0.25">
      <c r="C1137" s="100"/>
      <c r="G1137" s="156"/>
      <c r="H1137" s="100"/>
    </row>
    <row r="1138" spans="3:8" x14ac:dyDescent="0.25">
      <c r="C1138" s="100"/>
      <c r="G1138" s="156"/>
      <c r="H1138" s="100"/>
    </row>
    <row r="1139" spans="3:8" x14ac:dyDescent="0.25">
      <c r="C1139" s="100"/>
      <c r="G1139" s="156"/>
      <c r="H1139" s="100"/>
    </row>
    <row r="1140" spans="3:8" x14ac:dyDescent="0.25">
      <c r="C1140" s="100"/>
      <c r="G1140" s="156"/>
      <c r="H1140" s="100"/>
    </row>
    <row r="1141" spans="3:8" x14ac:dyDescent="0.25">
      <c r="C1141" s="100"/>
      <c r="G1141" s="156"/>
      <c r="H1141" s="100"/>
    </row>
    <row r="1142" spans="3:8" x14ac:dyDescent="0.25">
      <c r="C1142" s="100"/>
      <c r="G1142" s="156"/>
      <c r="H1142" s="100"/>
    </row>
    <row r="1143" spans="3:8" x14ac:dyDescent="0.25">
      <c r="C1143" s="100"/>
      <c r="G1143" s="156"/>
      <c r="H1143" s="100"/>
    </row>
    <row r="1144" spans="3:8" x14ac:dyDescent="0.25">
      <c r="C1144" s="100"/>
      <c r="G1144" s="156"/>
      <c r="H1144" s="100"/>
    </row>
    <row r="1145" spans="3:8" x14ac:dyDescent="0.25">
      <c r="C1145" s="100"/>
      <c r="G1145" s="156"/>
      <c r="H1145" s="100"/>
    </row>
    <row r="1146" spans="3:8" x14ac:dyDescent="0.25">
      <c r="C1146" s="100"/>
      <c r="G1146" s="156"/>
      <c r="H1146" s="100"/>
    </row>
    <row r="1147" spans="3:8" x14ac:dyDescent="0.25">
      <c r="C1147" s="100"/>
      <c r="G1147" s="156"/>
      <c r="H1147" s="100"/>
    </row>
    <row r="1148" spans="3:8" x14ac:dyDescent="0.25">
      <c r="C1148" s="100"/>
      <c r="G1148" s="156"/>
      <c r="H1148" s="100"/>
    </row>
    <row r="1149" spans="3:8" x14ac:dyDescent="0.25">
      <c r="C1149" s="100"/>
      <c r="G1149" s="156"/>
      <c r="H1149" s="100"/>
    </row>
    <row r="1150" spans="3:8" x14ac:dyDescent="0.25">
      <c r="C1150" s="100"/>
      <c r="G1150" s="156"/>
      <c r="H1150" s="100"/>
    </row>
    <row r="1151" spans="3:8" x14ac:dyDescent="0.25">
      <c r="C1151" s="100"/>
      <c r="G1151" s="156"/>
      <c r="H1151" s="100"/>
    </row>
    <row r="1152" spans="3:8" x14ac:dyDescent="0.25">
      <c r="C1152" s="100"/>
      <c r="G1152" s="156"/>
      <c r="H1152" s="100"/>
    </row>
    <row r="1153" spans="3:8" x14ac:dyDescent="0.25">
      <c r="C1153" s="100"/>
      <c r="G1153" s="156"/>
      <c r="H1153" s="100"/>
    </row>
    <row r="1154" spans="3:8" x14ac:dyDescent="0.25">
      <c r="C1154" s="100"/>
      <c r="G1154" s="156"/>
      <c r="H1154" s="100"/>
    </row>
    <row r="1155" spans="3:8" x14ac:dyDescent="0.25">
      <c r="C1155" s="100"/>
      <c r="G1155" s="156"/>
      <c r="H1155" s="100"/>
    </row>
    <row r="1156" spans="3:8" x14ac:dyDescent="0.25">
      <c r="C1156" s="100"/>
      <c r="G1156" s="156"/>
      <c r="H1156" s="100"/>
    </row>
    <row r="1157" spans="3:8" x14ac:dyDescent="0.25">
      <c r="C1157" s="100"/>
      <c r="G1157" s="156"/>
      <c r="H1157" s="100"/>
    </row>
    <row r="1158" spans="3:8" x14ac:dyDescent="0.25">
      <c r="C1158" s="100"/>
      <c r="G1158" s="156"/>
      <c r="H1158" s="100"/>
    </row>
    <row r="1159" spans="3:8" x14ac:dyDescent="0.25">
      <c r="C1159" s="100"/>
      <c r="G1159" s="156"/>
      <c r="H1159" s="100"/>
    </row>
    <row r="1160" spans="3:8" x14ac:dyDescent="0.25">
      <c r="C1160" s="100"/>
      <c r="G1160" s="156"/>
      <c r="H1160" s="100"/>
    </row>
    <row r="1161" spans="3:8" x14ac:dyDescent="0.25">
      <c r="C1161" s="100"/>
      <c r="G1161" s="156"/>
      <c r="H1161" s="100"/>
    </row>
    <row r="1162" spans="3:8" x14ac:dyDescent="0.25">
      <c r="C1162" s="100"/>
      <c r="G1162" s="156"/>
      <c r="H1162" s="100"/>
    </row>
    <row r="1163" spans="3:8" x14ac:dyDescent="0.25">
      <c r="C1163" s="100"/>
      <c r="G1163" s="156"/>
      <c r="H1163" s="100"/>
    </row>
    <row r="1164" spans="3:8" x14ac:dyDescent="0.25">
      <c r="C1164" s="100"/>
      <c r="G1164" s="156"/>
      <c r="H1164" s="100"/>
    </row>
    <row r="1165" spans="3:8" x14ac:dyDescent="0.25">
      <c r="C1165" s="100"/>
      <c r="G1165" s="156"/>
      <c r="H1165" s="100"/>
    </row>
    <row r="1166" spans="3:8" x14ac:dyDescent="0.25">
      <c r="C1166" s="100"/>
      <c r="G1166" s="156"/>
      <c r="H1166" s="100"/>
    </row>
    <row r="1167" spans="3:8" x14ac:dyDescent="0.25">
      <c r="C1167" s="100"/>
      <c r="G1167" s="156"/>
      <c r="H1167" s="100"/>
    </row>
    <row r="1168" spans="3:8" x14ac:dyDescent="0.25">
      <c r="C1168" s="100"/>
      <c r="G1168" s="156"/>
      <c r="H1168" s="100"/>
    </row>
    <row r="1169" spans="3:8" x14ac:dyDescent="0.25">
      <c r="C1169" s="100"/>
      <c r="G1169" s="156"/>
      <c r="H1169" s="100"/>
    </row>
    <row r="1170" spans="3:8" x14ac:dyDescent="0.25">
      <c r="C1170" s="100"/>
      <c r="G1170" s="156"/>
      <c r="H1170" s="100"/>
    </row>
    <row r="1171" spans="3:8" x14ac:dyDescent="0.25">
      <c r="C1171" s="100"/>
      <c r="G1171" s="156"/>
      <c r="H1171" s="100"/>
    </row>
    <row r="1172" spans="3:8" x14ac:dyDescent="0.25">
      <c r="C1172" s="100"/>
      <c r="G1172" s="156"/>
      <c r="H1172" s="100"/>
    </row>
    <row r="1173" spans="3:8" x14ac:dyDescent="0.25">
      <c r="C1173" s="100"/>
      <c r="G1173" s="156"/>
      <c r="H1173" s="100"/>
    </row>
    <row r="1174" spans="3:8" x14ac:dyDescent="0.25">
      <c r="C1174" s="100"/>
      <c r="G1174" s="156"/>
      <c r="H1174" s="100"/>
    </row>
    <row r="1175" spans="3:8" x14ac:dyDescent="0.25">
      <c r="C1175" s="100"/>
      <c r="G1175" s="156"/>
      <c r="H1175" s="100"/>
    </row>
    <row r="1176" spans="3:8" x14ac:dyDescent="0.25">
      <c r="C1176" s="100"/>
      <c r="G1176" s="156"/>
      <c r="H1176" s="100"/>
    </row>
    <row r="1177" spans="3:8" x14ac:dyDescent="0.25">
      <c r="C1177" s="100"/>
      <c r="G1177" s="156"/>
      <c r="H1177" s="100"/>
    </row>
    <row r="1178" spans="3:8" x14ac:dyDescent="0.25">
      <c r="C1178" s="100"/>
      <c r="G1178" s="156"/>
      <c r="H1178" s="100"/>
    </row>
    <row r="1179" spans="3:8" x14ac:dyDescent="0.25">
      <c r="C1179" s="100"/>
      <c r="G1179" s="156"/>
      <c r="H1179" s="100"/>
    </row>
    <row r="1180" spans="3:8" x14ac:dyDescent="0.25">
      <c r="C1180" s="100"/>
      <c r="G1180" s="156"/>
      <c r="H1180" s="100"/>
    </row>
    <row r="1181" spans="3:8" x14ac:dyDescent="0.25">
      <c r="C1181" s="100"/>
      <c r="G1181" s="156"/>
      <c r="H1181" s="100"/>
    </row>
    <row r="1182" spans="3:8" x14ac:dyDescent="0.25">
      <c r="C1182" s="100"/>
      <c r="G1182" s="156"/>
      <c r="H1182" s="100"/>
    </row>
    <row r="1183" spans="3:8" x14ac:dyDescent="0.25">
      <c r="C1183" s="100"/>
      <c r="G1183" s="156"/>
      <c r="H1183" s="100"/>
    </row>
    <row r="1184" spans="3:8" x14ac:dyDescent="0.25">
      <c r="C1184" s="100"/>
      <c r="G1184" s="156"/>
      <c r="H1184" s="100"/>
    </row>
    <row r="1185" spans="3:8" x14ac:dyDescent="0.25">
      <c r="C1185" s="100"/>
      <c r="G1185" s="156"/>
      <c r="H1185" s="100"/>
    </row>
    <row r="1186" spans="3:8" x14ac:dyDescent="0.25">
      <c r="C1186" s="100"/>
      <c r="G1186" s="156"/>
      <c r="H1186" s="100"/>
    </row>
    <row r="1187" spans="3:8" x14ac:dyDescent="0.25">
      <c r="C1187" s="100"/>
      <c r="G1187" s="156"/>
      <c r="H1187" s="100"/>
    </row>
    <row r="1188" spans="3:8" x14ac:dyDescent="0.25">
      <c r="C1188" s="100"/>
      <c r="G1188" s="156"/>
      <c r="H1188" s="100"/>
    </row>
    <row r="1189" spans="3:8" x14ac:dyDescent="0.25">
      <c r="C1189" s="100"/>
      <c r="G1189" s="156"/>
      <c r="H1189" s="100"/>
    </row>
    <row r="1190" spans="3:8" x14ac:dyDescent="0.25">
      <c r="C1190" s="100"/>
      <c r="G1190" s="156"/>
      <c r="H1190" s="100"/>
    </row>
    <row r="1191" spans="3:8" x14ac:dyDescent="0.25">
      <c r="C1191" s="100"/>
      <c r="G1191" s="156"/>
      <c r="H1191" s="100"/>
    </row>
    <row r="1192" spans="3:8" x14ac:dyDescent="0.25">
      <c r="C1192" s="100"/>
      <c r="G1192" s="156"/>
      <c r="H1192" s="100"/>
    </row>
    <row r="1193" spans="3:8" x14ac:dyDescent="0.25">
      <c r="C1193" s="100"/>
      <c r="G1193" s="156"/>
      <c r="H1193" s="100"/>
    </row>
    <row r="1194" spans="3:8" x14ac:dyDescent="0.25">
      <c r="C1194" s="100"/>
      <c r="G1194" s="156"/>
      <c r="H1194" s="100"/>
    </row>
    <row r="1195" spans="3:8" x14ac:dyDescent="0.25">
      <c r="C1195" s="100"/>
      <c r="G1195" s="156"/>
      <c r="H1195" s="100"/>
    </row>
    <row r="1196" spans="3:8" x14ac:dyDescent="0.25">
      <c r="C1196" s="100"/>
      <c r="G1196" s="156"/>
      <c r="H1196" s="100"/>
    </row>
    <row r="1197" spans="3:8" x14ac:dyDescent="0.25">
      <c r="C1197" s="100"/>
      <c r="G1197" s="156"/>
      <c r="H1197" s="100"/>
    </row>
    <row r="1198" spans="3:8" x14ac:dyDescent="0.25">
      <c r="C1198" s="100"/>
      <c r="G1198" s="156"/>
      <c r="H1198" s="100"/>
    </row>
    <row r="1199" spans="3:8" x14ac:dyDescent="0.25">
      <c r="C1199" s="100"/>
      <c r="G1199" s="156"/>
      <c r="H1199" s="100"/>
    </row>
    <row r="1200" spans="3:8" x14ac:dyDescent="0.25">
      <c r="C1200" s="100"/>
      <c r="G1200" s="156"/>
      <c r="H1200" s="100"/>
    </row>
    <row r="1201" spans="3:8" x14ac:dyDescent="0.25">
      <c r="C1201" s="100"/>
      <c r="G1201" s="156"/>
      <c r="H1201" s="100"/>
    </row>
    <row r="1202" spans="3:8" x14ac:dyDescent="0.25">
      <c r="C1202" s="100"/>
      <c r="G1202" s="156"/>
      <c r="H1202" s="100"/>
    </row>
    <row r="1203" spans="3:8" x14ac:dyDescent="0.25">
      <c r="C1203" s="100"/>
      <c r="G1203" s="156"/>
      <c r="H1203" s="100"/>
    </row>
    <row r="1204" spans="3:8" x14ac:dyDescent="0.25">
      <c r="C1204" s="100"/>
      <c r="G1204" s="156"/>
      <c r="H1204" s="100"/>
    </row>
    <row r="1205" spans="3:8" x14ac:dyDescent="0.25">
      <c r="C1205" s="100"/>
      <c r="G1205" s="156"/>
      <c r="H1205" s="100"/>
    </row>
    <row r="1206" spans="3:8" x14ac:dyDescent="0.25">
      <c r="C1206" s="100"/>
      <c r="G1206" s="156"/>
      <c r="H1206" s="100"/>
    </row>
    <row r="1207" spans="3:8" x14ac:dyDescent="0.25">
      <c r="C1207" s="100"/>
      <c r="G1207" s="156"/>
      <c r="H1207" s="100"/>
    </row>
    <row r="1208" spans="3:8" x14ac:dyDescent="0.25">
      <c r="C1208" s="100"/>
      <c r="G1208" s="156"/>
      <c r="H1208" s="100"/>
    </row>
    <row r="1209" spans="3:8" x14ac:dyDescent="0.25">
      <c r="C1209" s="100"/>
      <c r="G1209" s="156"/>
      <c r="H1209" s="100"/>
    </row>
    <row r="1210" spans="3:8" x14ac:dyDescent="0.25">
      <c r="C1210" s="100"/>
      <c r="G1210" s="156"/>
      <c r="H1210" s="100"/>
    </row>
    <row r="1211" spans="3:8" x14ac:dyDescent="0.25">
      <c r="C1211" s="100"/>
      <c r="G1211" s="156"/>
      <c r="H1211" s="100"/>
    </row>
    <row r="1212" spans="3:8" x14ac:dyDescent="0.25">
      <c r="C1212" s="100"/>
      <c r="G1212" s="156"/>
      <c r="H1212" s="100"/>
    </row>
    <row r="1213" spans="3:8" x14ac:dyDescent="0.25">
      <c r="C1213" s="100"/>
      <c r="G1213" s="156"/>
      <c r="H1213" s="100"/>
    </row>
    <row r="1214" spans="3:8" x14ac:dyDescent="0.25">
      <c r="C1214" s="100"/>
      <c r="G1214" s="156"/>
      <c r="H1214" s="100"/>
    </row>
    <row r="1215" spans="3:8" x14ac:dyDescent="0.25">
      <c r="C1215" s="100"/>
      <c r="G1215" s="156"/>
      <c r="H1215" s="100"/>
    </row>
    <row r="1216" spans="3:8" x14ac:dyDescent="0.25">
      <c r="C1216" s="100"/>
      <c r="G1216" s="156"/>
      <c r="H1216" s="100"/>
    </row>
    <row r="1217" spans="3:8" x14ac:dyDescent="0.25">
      <c r="C1217" s="100"/>
      <c r="G1217" s="156"/>
      <c r="H1217" s="100"/>
    </row>
    <row r="1218" spans="3:8" x14ac:dyDescent="0.25">
      <c r="C1218" s="100"/>
      <c r="G1218" s="156"/>
      <c r="H1218" s="100"/>
    </row>
    <row r="1219" spans="3:8" x14ac:dyDescent="0.25">
      <c r="C1219" s="100"/>
      <c r="G1219" s="156"/>
      <c r="H1219" s="100"/>
    </row>
    <row r="1220" spans="3:8" x14ac:dyDescent="0.25">
      <c r="C1220" s="100"/>
      <c r="G1220" s="156"/>
      <c r="H1220" s="100"/>
    </row>
    <row r="1221" spans="3:8" x14ac:dyDescent="0.25">
      <c r="C1221" s="100"/>
      <c r="G1221" s="156"/>
      <c r="H1221" s="100"/>
    </row>
    <row r="1222" spans="3:8" x14ac:dyDescent="0.25">
      <c r="C1222" s="100"/>
      <c r="G1222" s="156"/>
      <c r="H1222" s="100"/>
    </row>
    <row r="1223" spans="3:8" x14ac:dyDescent="0.25">
      <c r="C1223" s="100"/>
      <c r="G1223" s="156"/>
      <c r="H1223" s="100"/>
    </row>
    <row r="1224" spans="3:8" x14ac:dyDescent="0.25">
      <c r="C1224" s="100"/>
      <c r="G1224" s="156"/>
      <c r="H1224" s="100"/>
    </row>
    <row r="1225" spans="3:8" x14ac:dyDescent="0.25">
      <c r="C1225" s="100"/>
      <c r="G1225" s="156"/>
      <c r="H1225" s="100"/>
    </row>
    <row r="1226" spans="3:8" x14ac:dyDescent="0.25">
      <c r="C1226" s="100"/>
      <c r="G1226" s="156"/>
      <c r="H1226" s="100"/>
    </row>
    <row r="1227" spans="3:8" x14ac:dyDescent="0.25">
      <c r="C1227" s="100"/>
      <c r="G1227" s="156"/>
      <c r="H1227" s="100"/>
    </row>
    <row r="1228" spans="3:8" x14ac:dyDescent="0.25">
      <c r="C1228" s="100"/>
      <c r="G1228" s="156"/>
      <c r="H1228" s="100"/>
    </row>
    <row r="1229" spans="3:8" x14ac:dyDescent="0.25">
      <c r="C1229" s="100"/>
      <c r="G1229" s="156"/>
      <c r="H1229" s="100"/>
    </row>
    <row r="1230" spans="3:8" x14ac:dyDescent="0.25">
      <c r="C1230" s="100"/>
      <c r="G1230" s="156"/>
      <c r="H1230" s="100"/>
    </row>
    <row r="1231" spans="3:8" x14ac:dyDescent="0.25">
      <c r="C1231" s="100"/>
      <c r="G1231" s="156"/>
      <c r="H1231" s="100"/>
    </row>
    <row r="1232" spans="3:8" x14ac:dyDescent="0.25">
      <c r="C1232" s="100"/>
      <c r="G1232" s="156"/>
      <c r="H1232" s="100"/>
    </row>
    <row r="1233" spans="3:8" x14ac:dyDescent="0.25">
      <c r="C1233" s="100"/>
      <c r="G1233" s="156"/>
      <c r="H1233" s="100"/>
    </row>
    <row r="1234" spans="3:8" x14ac:dyDescent="0.25">
      <c r="C1234" s="100"/>
      <c r="G1234" s="156"/>
      <c r="H1234" s="100"/>
    </row>
    <row r="1235" spans="3:8" x14ac:dyDescent="0.25">
      <c r="C1235" s="100"/>
      <c r="G1235" s="156"/>
      <c r="H1235" s="100"/>
    </row>
    <row r="1236" spans="3:8" x14ac:dyDescent="0.25">
      <c r="C1236" s="100"/>
      <c r="G1236" s="156"/>
      <c r="H1236" s="100"/>
    </row>
    <row r="1237" spans="3:8" x14ac:dyDescent="0.25">
      <c r="C1237" s="100"/>
      <c r="G1237" s="156"/>
      <c r="H1237" s="100"/>
    </row>
    <row r="1238" spans="3:8" x14ac:dyDescent="0.25">
      <c r="C1238" s="100"/>
      <c r="G1238" s="156"/>
      <c r="H1238" s="100"/>
    </row>
    <row r="1239" spans="3:8" x14ac:dyDescent="0.25">
      <c r="C1239" s="100"/>
      <c r="G1239" s="156"/>
      <c r="H1239" s="100"/>
    </row>
    <row r="1240" spans="3:8" x14ac:dyDescent="0.25">
      <c r="C1240" s="100"/>
      <c r="G1240" s="156"/>
      <c r="H1240" s="100"/>
    </row>
    <row r="1241" spans="3:8" x14ac:dyDescent="0.25">
      <c r="C1241" s="100"/>
      <c r="G1241" s="156"/>
      <c r="H1241" s="100"/>
    </row>
    <row r="1242" spans="3:8" x14ac:dyDescent="0.25">
      <c r="C1242" s="100"/>
      <c r="G1242" s="156"/>
      <c r="H1242" s="100"/>
    </row>
    <row r="1243" spans="3:8" x14ac:dyDescent="0.25">
      <c r="C1243" s="100"/>
      <c r="G1243" s="156"/>
      <c r="H1243" s="100"/>
    </row>
    <row r="1244" spans="3:8" x14ac:dyDescent="0.25">
      <c r="C1244" s="100"/>
      <c r="G1244" s="156"/>
      <c r="H1244" s="100"/>
    </row>
    <row r="1245" spans="3:8" x14ac:dyDescent="0.25">
      <c r="C1245" s="100"/>
      <c r="G1245" s="156"/>
      <c r="H1245" s="100"/>
    </row>
    <row r="1246" spans="3:8" x14ac:dyDescent="0.25">
      <c r="C1246" s="100"/>
      <c r="G1246" s="156"/>
      <c r="H1246" s="100"/>
    </row>
    <row r="1247" spans="3:8" x14ac:dyDescent="0.25">
      <c r="C1247" s="100"/>
      <c r="G1247" s="156"/>
      <c r="H1247" s="100"/>
    </row>
    <row r="1248" spans="3:8" x14ac:dyDescent="0.25">
      <c r="C1248" s="100"/>
      <c r="G1248" s="156"/>
      <c r="H1248" s="100"/>
    </row>
    <row r="1249" spans="3:8" x14ac:dyDescent="0.25">
      <c r="C1249" s="100"/>
      <c r="G1249" s="156"/>
      <c r="H1249" s="100"/>
    </row>
    <row r="1250" spans="3:8" x14ac:dyDescent="0.25">
      <c r="C1250" s="100"/>
      <c r="G1250" s="156"/>
      <c r="H1250" s="100"/>
    </row>
    <row r="1251" spans="3:8" x14ac:dyDescent="0.25">
      <c r="C1251" s="100"/>
      <c r="G1251" s="156"/>
      <c r="H1251" s="100"/>
    </row>
    <row r="1252" spans="3:8" x14ac:dyDescent="0.25">
      <c r="C1252" s="100"/>
      <c r="G1252" s="156"/>
      <c r="H1252" s="100"/>
    </row>
    <row r="1253" spans="3:8" x14ac:dyDescent="0.25">
      <c r="C1253" s="100"/>
      <c r="G1253" s="156"/>
      <c r="H1253" s="100"/>
    </row>
    <row r="1254" spans="3:8" x14ac:dyDescent="0.25">
      <c r="C1254" s="100"/>
      <c r="G1254" s="156"/>
      <c r="H1254" s="100"/>
    </row>
    <row r="1255" spans="3:8" x14ac:dyDescent="0.25">
      <c r="C1255" s="100"/>
      <c r="G1255" s="156"/>
      <c r="H1255" s="100"/>
    </row>
    <row r="1256" spans="3:8" x14ac:dyDescent="0.25">
      <c r="C1256" s="100"/>
      <c r="G1256" s="156"/>
      <c r="H1256" s="100"/>
    </row>
    <row r="1257" spans="3:8" x14ac:dyDescent="0.25">
      <c r="C1257" s="100"/>
      <c r="G1257" s="156"/>
      <c r="H1257" s="100"/>
    </row>
    <row r="1258" spans="3:8" x14ac:dyDescent="0.25">
      <c r="C1258" s="100"/>
      <c r="G1258" s="156"/>
      <c r="H1258" s="100"/>
    </row>
    <row r="1259" spans="3:8" x14ac:dyDescent="0.25">
      <c r="C1259" s="100"/>
      <c r="G1259" s="156"/>
      <c r="H1259" s="100"/>
    </row>
    <row r="1260" spans="3:8" x14ac:dyDescent="0.25">
      <c r="C1260" s="100"/>
      <c r="G1260" s="156"/>
      <c r="H1260" s="100"/>
    </row>
    <row r="1261" spans="3:8" x14ac:dyDescent="0.25">
      <c r="C1261" s="100"/>
      <c r="G1261" s="156"/>
      <c r="H1261" s="100"/>
    </row>
    <row r="1262" spans="3:8" x14ac:dyDescent="0.25">
      <c r="C1262" s="100"/>
      <c r="G1262" s="156"/>
      <c r="H1262" s="100"/>
    </row>
    <row r="1263" spans="3:8" x14ac:dyDescent="0.25">
      <c r="C1263" s="100"/>
      <c r="G1263" s="156"/>
      <c r="H1263" s="100"/>
    </row>
    <row r="1264" spans="3:8" x14ac:dyDescent="0.25">
      <c r="C1264" s="100"/>
      <c r="G1264" s="156"/>
      <c r="H1264" s="100"/>
    </row>
    <row r="1265" spans="3:8" x14ac:dyDescent="0.25">
      <c r="C1265" s="100"/>
      <c r="G1265" s="156"/>
      <c r="H1265" s="100"/>
    </row>
    <row r="1266" spans="3:8" x14ac:dyDescent="0.25">
      <c r="C1266" s="100"/>
      <c r="G1266" s="156"/>
      <c r="H1266" s="100"/>
    </row>
    <row r="1267" spans="3:8" x14ac:dyDescent="0.25">
      <c r="C1267" s="100"/>
      <c r="G1267" s="156"/>
      <c r="H1267" s="100"/>
    </row>
    <row r="1268" spans="3:8" x14ac:dyDescent="0.25">
      <c r="C1268" s="100"/>
      <c r="G1268" s="156"/>
      <c r="H1268" s="100"/>
    </row>
    <row r="1269" spans="3:8" x14ac:dyDescent="0.25">
      <c r="C1269" s="100"/>
      <c r="G1269" s="156"/>
      <c r="H1269" s="100"/>
    </row>
    <row r="1270" spans="3:8" x14ac:dyDescent="0.25">
      <c r="C1270" s="100"/>
      <c r="G1270" s="156"/>
      <c r="H1270" s="100"/>
    </row>
    <row r="1271" spans="3:8" x14ac:dyDescent="0.25">
      <c r="C1271" s="100"/>
      <c r="G1271" s="156"/>
      <c r="H1271" s="100"/>
    </row>
    <row r="1272" spans="3:8" x14ac:dyDescent="0.25">
      <c r="C1272" s="100"/>
      <c r="G1272" s="156"/>
      <c r="H1272" s="100"/>
    </row>
    <row r="1273" spans="3:8" x14ac:dyDescent="0.25">
      <c r="C1273" s="100"/>
      <c r="G1273" s="156"/>
      <c r="H1273" s="100"/>
    </row>
    <row r="1274" spans="3:8" x14ac:dyDescent="0.25">
      <c r="C1274" s="100"/>
      <c r="G1274" s="156"/>
      <c r="H1274" s="100"/>
    </row>
    <row r="1275" spans="3:8" x14ac:dyDescent="0.25">
      <c r="C1275" s="100"/>
      <c r="G1275" s="156"/>
      <c r="H1275" s="100"/>
    </row>
    <row r="1276" spans="3:8" x14ac:dyDescent="0.25">
      <c r="C1276" s="100"/>
      <c r="G1276" s="156"/>
      <c r="H1276" s="100"/>
    </row>
    <row r="1277" spans="3:8" x14ac:dyDescent="0.25">
      <c r="C1277" s="100"/>
      <c r="G1277" s="156"/>
      <c r="H1277" s="100"/>
    </row>
    <row r="1278" spans="3:8" x14ac:dyDescent="0.25">
      <c r="C1278" s="100"/>
      <c r="G1278" s="156"/>
      <c r="H1278" s="100"/>
    </row>
    <row r="1279" spans="3:8" x14ac:dyDescent="0.25">
      <c r="C1279" s="100"/>
      <c r="G1279" s="156"/>
      <c r="H1279" s="100"/>
    </row>
    <row r="1280" spans="3:8" x14ac:dyDescent="0.25">
      <c r="C1280" s="100"/>
      <c r="G1280" s="156"/>
      <c r="H1280" s="100"/>
    </row>
    <row r="1281" spans="3:8" x14ac:dyDescent="0.25">
      <c r="C1281" s="100"/>
      <c r="G1281" s="156"/>
      <c r="H1281" s="100"/>
    </row>
    <row r="1282" spans="3:8" x14ac:dyDescent="0.25">
      <c r="C1282" s="100"/>
      <c r="G1282" s="156"/>
      <c r="H1282" s="100"/>
    </row>
    <row r="1283" spans="3:8" x14ac:dyDescent="0.25">
      <c r="C1283" s="100"/>
      <c r="G1283" s="156"/>
      <c r="H1283" s="100"/>
    </row>
    <row r="1284" spans="3:8" x14ac:dyDescent="0.25">
      <c r="C1284" s="100"/>
      <c r="G1284" s="156"/>
      <c r="H1284" s="100"/>
    </row>
    <row r="1285" spans="3:8" x14ac:dyDescent="0.25">
      <c r="C1285" s="100"/>
      <c r="G1285" s="156"/>
      <c r="H1285" s="100"/>
    </row>
    <row r="1286" spans="3:8" x14ac:dyDescent="0.25">
      <c r="C1286" s="100"/>
      <c r="G1286" s="156"/>
      <c r="H1286" s="100"/>
    </row>
    <row r="1287" spans="3:8" x14ac:dyDescent="0.25">
      <c r="C1287" s="100"/>
      <c r="G1287" s="156"/>
      <c r="H1287" s="100"/>
    </row>
    <row r="1288" spans="3:8" x14ac:dyDescent="0.25">
      <c r="C1288" s="100"/>
      <c r="G1288" s="156"/>
      <c r="H1288" s="100"/>
    </row>
    <row r="1289" spans="3:8" x14ac:dyDescent="0.25">
      <c r="C1289" s="100"/>
      <c r="G1289" s="156"/>
      <c r="H1289" s="100"/>
    </row>
    <row r="1290" spans="3:8" x14ac:dyDescent="0.25">
      <c r="C1290" s="100"/>
      <c r="G1290" s="156"/>
      <c r="H1290" s="100"/>
    </row>
    <row r="1291" spans="3:8" x14ac:dyDescent="0.25">
      <c r="C1291" s="100"/>
      <c r="G1291" s="156"/>
      <c r="H1291" s="100"/>
    </row>
    <row r="1292" spans="3:8" x14ac:dyDescent="0.25">
      <c r="C1292" s="100"/>
      <c r="G1292" s="156"/>
      <c r="H1292" s="100"/>
    </row>
    <row r="1293" spans="3:8" x14ac:dyDescent="0.25">
      <c r="C1293" s="100"/>
      <c r="G1293" s="156"/>
      <c r="H1293" s="100"/>
    </row>
    <row r="1294" spans="3:8" x14ac:dyDescent="0.25">
      <c r="C1294" s="100"/>
      <c r="G1294" s="156"/>
      <c r="H1294" s="100"/>
    </row>
    <row r="1295" spans="3:8" x14ac:dyDescent="0.25">
      <c r="C1295" s="100"/>
      <c r="G1295" s="156"/>
      <c r="H1295" s="100"/>
    </row>
    <row r="1296" spans="3:8" x14ac:dyDescent="0.25">
      <c r="C1296" s="100"/>
      <c r="G1296" s="156"/>
      <c r="H1296" s="100"/>
    </row>
    <row r="1297" spans="3:8" x14ac:dyDescent="0.25">
      <c r="C1297" s="100"/>
      <c r="G1297" s="156"/>
      <c r="H1297" s="100"/>
    </row>
    <row r="1298" spans="3:8" x14ac:dyDescent="0.25">
      <c r="C1298" s="100"/>
      <c r="G1298" s="156"/>
      <c r="H1298" s="100"/>
    </row>
    <row r="1299" spans="3:8" x14ac:dyDescent="0.25">
      <c r="C1299" s="100"/>
      <c r="G1299" s="156"/>
      <c r="H1299" s="100"/>
    </row>
    <row r="1300" spans="3:8" x14ac:dyDescent="0.25">
      <c r="C1300" s="100"/>
      <c r="G1300" s="156"/>
      <c r="H1300" s="100"/>
    </row>
    <row r="1301" spans="3:8" x14ac:dyDescent="0.25">
      <c r="C1301" s="100"/>
      <c r="G1301" s="156"/>
      <c r="H1301" s="100"/>
    </row>
    <row r="1302" spans="3:8" x14ac:dyDescent="0.25">
      <c r="C1302" s="100"/>
      <c r="G1302" s="156"/>
      <c r="H1302" s="100"/>
    </row>
    <row r="1303" spans="3:8" x14ac:dyDescent="0.25">
      <c r="C1303" s="100"/>
      <c r="G1303" s="156"/>
      <c r="H1303" s="100"/>
    </row>
    <row r="1304" spans="3:8" x14ac:dyDescent="0.25">
      <c r="C1304" s="100"/>
      <c r="G1304" s="156"/>
      <c r="H1304" s="100"/>
    </row>
    <row r="1305" spans="3:8" x14ac:dyDescent="0.25">
      <c r="C1305" s="100"/>
      <c r="G1305" s="156"/>
      <c r="H1305" s="100"/>
    </row>
    <row r="1306" spans="3:8" x14ac:dyDescent="0.25">
      <c r="C1306" s="100"/>
      <c r="G1306" s="156"/>
      <c r="H1306" s="100"/>
    </row>
    <row r="1307" spans="3:8" x14ac:dyDescent="0.25">
      <c r="C1307" s="100"/>
      <c r="G1307" s="156"/>
      <c r="H1307" s="100"/>
    </row>
    <row r="1308" spans="3:8" x14ac:dyDescent="0.25">
      <c r="C1308" s="100"/>
      <c r="G1308" s="156"/>
      <c r="H1308" s="100"/>
    </row>
    <row r="1309" spans="3:8" x14ac:dyDescent="0.25">
      <c r="C1309" s="100"/>
      <c r="G1309" s="156"/>
      <c r="H1309" s="100"/>
    </row>
    <row r="1310" spans="3:8" x14ac:dyDescent="0.25">
      <c r="C1310" s="100"/>
      <c r="G1310" s="156"/>
      <c r="H1310" s="100"/>
    </row>
    <row r="1311" spans="3:8" x14ac:dyDescent="0.25">
      <c r="C1311" s="100"/>
      <c r="G1311" s="156"/>
      <c r="H1311" s="100"/>
    </row>
    <row r="1312" spans="3:8" x14ac:dyDescent="0.25">
      <c r="C1312" s="100"/>
      <c r="G1312" s="156"/>
      <c r="H1312" s="100"/>
    </row>
    <row r="1313" spans="3:8" x14ac:dyDescent="0.25">
      <c r="C1313" s="100"/>
      <c r="G1313" s="156"/>
      <c r="H1313" s="100"/>
    </row>
    <row r="1314" spans="3:8" x14ac:dyDescent="0.25">
      <c r="C1314" s="100"/>
      <c r="G1314" s="156"/>
      <c r="H1314" s="100"/>
    </row>
    <row r="1315" spans="3:8" x14ac:dyDescent="0.25">
      <c r="C1315" s="100"/>
      <c r="G1315" s="156"/>
      <c r="H1315" s="100"/>
    </row>
    <row r="1316" spans="3:8" x14ac:dyDescent="0.25">
      <c r="C1316" s="100"/>
      <c r="G1316" s="156"/>
      <c r="H1316" s="100"/>
    </row>
    <row r="1317" spans="3:8" x14ac:dyDescent="0.25">
      <c r="C1317" s="100"/>
      <c r="G1317" s="156"/>
      <c r="H1317" s="100"/>
    </row>
    <row r="1318" spans="3:8" x14ac:dyDescent="0.25">
      <c r="C1318" s="100"/>
      <c r="G1318" s="156"/>
      <c r="H1318" s="100"/>
    </row>
    <row r="1319" spans="3:8" x14ac:dyDescent="0.25">
      <c r="C1319" s="100"/>
      <c r="G1319" s="156"/>
      <c r="H1319" s="100"/>
    </row>
    <row r="1320" spans="3:8" x14ac:dyDescent="0.25">
      <c r="C1320" s="100"/>
      <c r="G1320" s="156"/>
      <c r="H1320" s="100"/>
    </row>
    <row r="1321" spans="3:8" x14ac:dyDescent="0.25">
      <c r="C1321" s="100"/>
      <c r="G1321" s="156"/>
      <c r="H1321" s="100"/>
    </row>
    <row r="1322" spans="3:8" x14ac:dyDescent="0.25">
      <c r="C1322" s="100"/>
      <c r="G1322" s="156"/>
      <c r="H1322" s="100"/>
    </row>
    <row r="1323" spans="3:8" x14ac:dyDescent="0.25">
      <c r="C1323" s="100"/>
      <c r="G1323" s="156"/>
      <c r="H1323" s="100"/>
    </row>
    <row r="1324" spans="3:8" x14ac:dyDescent="0.25">
      <c r="C1324" s="100"/>
      <c r="G1324" s="156"/>
      <c r="H1324" s="100"/>
    </row>
    <row r="1325" spans="3:8" x14ac:dyDescent="0.25">
      <c r="C1325" s="100"/>
      <c r="G1325" s="156"/>
      <c r="H1325" s="100"/>
    </row>
    <row r="1326" spans="3:8" x14ac:dyDescent="0.25">
      <c r="C1326" s="100"/>
      <c r="G1326" s="156"/>
      <c r="H1326" s="100"/>
    </row>
    <row r="1327" spans="3:8" x14ac:dyDescent="0.25">
      <c r="C1327" s="100"/>
      <c r="G1327" s="156"/>
      <c r="H1327" s="100"/>
    </row>
    <row r="1328" spans="3:8" x14ac:dyDescent="0.25">
      <c r="C1328" s="100"/>
      <c r="G1328" s="156"/>
      <c r="H1328" s="100"/>
    </row>
    <row r="1329" spans="3:8" x14ac:dyDescent="0.25">
      <c r="C1329" s="100"/>
      <c r="G1329" s="156"/>
      <c r="H1329" s="100"/>
    </row>
    <row r="1330" spans="3:8" x14ac:dyDescent="0.25">
      <c r="C1330" s="100"/>
      <c r="G1330" s="156"/>
      <c r="H1330" s="100"/>
    </row>
    <row r="1331" spans="3:8" x14ac:dyDescent="0.25">
      <c r="C1331" s="100"/>
      <c r="G1331" s="156"/>
      <c r="H1331" s="100"/>
    </row>
    <row r="1332" spans="3:8" x14ac:dyDescent="0.25">
      <c r="C1332" s="100"/>
      <c r="G1332" s="156"/>
      <c r="H1332" s="100"/>
    </row>
    <row r="1333" spans="3:8" x14ac:dyDescent="0.25">
      <c r="C1333" s="100"/>
      <c r="G1333" s="156"/>
      <c r="H1333" s="100"/>
    </row>
    <row r="1334" spans="3:8" x14ac:dyDescent="0.25">
      <c r="C1334" s="100"/>
      <c r="G1334" s="156"/>
      <c r="H1334" s="100"/>
    </row>
    <row r="1335" spans="3:8" x14ac:dyDescent="0.25">
      <c r="C1335" s="100"/>
      <c r="G1335" s="156"/>
      <c r="H1335" s="100"/>
    </row>
    <row r="1336" spans="3:8" x14ac:dyDescent="0.25">
      <c r="C1336" s="100"/>
      <c r="G1336" s="156"/>
      <c r="H1336" s="100"/>
    </row>
    <row r="1337" spans="3:8" x14ac:dyDescent="0.25">
      <c r="C1337" s="100"/>
      <c r="G1337" s="156"/>
      <c r="H1337" s="100"/>
    </row>
    <row r="1338" spans="3:8" x14ac:dyDescent="0.25">
      <c r="C1338" s="100"/>
      <c r="G1338" s="156"/>
      <c r="H1338" s="100"/>
    </row>
    <row r="1339" spans="3:8" x14ac:dyDescent="0.25">
      <c r="C1339" s="100"/>
      <c r="G1339" s="156"/>
      <c r="H1339" s="100"/>
    </row>
    <row r="1340" spans="3:8" x14ac:dyDescent="0.25">
      <c r="C1340" s="100"/>
      <c r="G1340" s="156"/>
      <c r="H1340" s="100"/>
    </row>
    <row r="1341" spans="3:8" x14ac:dyDescent="0.25">
      <c r="C1341" s="100"/>
      <c r="G1341" s="156"/>
      <c r="H1341" s="100"/>
    </row>
    <row r="1342" spans="3:8" x14ac:dyDescent="0.25">
      <c r="C1342" s="100"/>
      <c r="G1342" s="156"/>
      <c r="H1342" s="100"/>
    </row>
    <row r="1343" spans="3:8" x14ac:dyDescent="0.25">
      <c r="C1343" s="100"/>
      <c r="G1343" s="156"/>
      <c r="H1343" s="100"/>
    </row>
    <row r="1344" spans="3:8" x14ac:dyDescent="0.25">
      <c r="C1344" s="100"/>
      <c r="G1344" s="156"/>
      <c r="H1344" s="100"/>
    </row>
    <row r="1345" spans="3:8" x14ac:dyDescent="0.25">
      <c r="C1345" s="100"/>
      <c r="G1345" s="156"/>
      <c r="H1345" s="100"/>
    </row>
    <row r="1346" spans="3:8" x14ac:dyDescent="0.25">
      <c r="C1346" s="100"/>
      <c r="G1346" s="156"/>
      <c r="H1346" s="100"/>
    </row>
    <row r="1347" spans="3:8" x14ac:dyDescent="0.25">
      <c r="C1347" s="100"/>
      <c r="G1347" s="156"/>
      <c r="H1347" s="100"/>
    </row>
    <row r="1348" spans="3:8" x14ac:dyDescent="0.25">
      <c r="C1348" s="100"/>
      <c r="G1348" s="156"/>
      <c r="H1348" s="100"/>
    </row>
    <row r="1349" spans="3:8" x14ac:dyDescent="0.25">
      <c r="C1349" s="100"/>
      <c r="G1349" s="156"/>
      <c r="H1349" s="100"/>
    </row>
    <row r="1350" spans="3:8" x14ac:dyDescent="0.25">
      <c r="C1350" s="100"/>
      <c r="G1350" s="156"/>
      <c r="H1350" s="100"/>
    </row>
    <row r="1351" spans="3:8" x14ac:dyDescent="0.25">
      <c r="C1351" s="100"/>
      <c r="G1351" s="156"/>
      <c r="H1351" s="100"/>
    </row>
    <row r="1352" spans="3:8" x14ac:dyDescent="0.25">
      <c r="C1352" s="100"/>
      <c r="G1352" s="156"/>
      <c r="H1352" s="100"/>
    </row>
    <row r="1353" spans="3:8" x14ac:dyDescent="0.25">
      <c r="C1353" s="100"/>
      <c r="G1353" s="156"/>
      <c r="H1353" s="100"/>
    </row>
    <row r="1354" spans="3:8" x14ac:dyDescent="0.25">
      <c r="C1354" s="100"/>
      <c r="G1354" s="156"/>
      <c r="H1354" s="100"/>
    </row>
    <row r="1355" spans="3:8" x14ac:dyDescent="0.25">
      <c r="C1355" s="100"/>
      <c r="G1355" s="156"/>
      <c r="H1355" s="100"/>
    </row>
    <row r="1356" spans="3:8" x14ac:dyDescent="0.25">
      <c r="C1356" s="100"/>
      <c r="G1356" s="156"/>
      <c r="H1356" s="100"/>
    </row>
    <row r="1357" spans="3:8" x14ac:dyDescent="0.25">
      <c r="C1357" s="100"/>
      <c r="G1357" s="156"/>
      <c r="H1357" s="100"/>
    </row>
    <row r="1358" spans="3:8" x14ac:dyDescent="0.25">
      <c r="C1358" s="100"/>
      <c r="G1358" s="156"/>
      <c r="H1358" s="100"/>
    </row>
    <row r="1359" spans="3:8" x14ac:dyDescent="0.25">
      <c r="C1359" s="100"/>
      <c r="G1359" s="156"/>
      <c r="H1359" s="100"/>
    </row>
    <row r="1360" spans="3:8" x14ac:dyDescent="0.25">
      <c r="C1360" s="100"/>
      <c r="G1360" s="156"/>
      <c r="H1360" s="100"/>
    </row>
    <row r="1361" spans="3:8" x14ac:dyDescent="0.25">
      <c r="C1361" s="100"/>
      <c r="G1361" s="156"/>
      <c r="H1361" s="100"/>
    </row>
    <row r="1362" spans="3:8" x14ac:dyDescent="0.25">
      <c r="C1362" s="100"/>
      <c r="G1362" s="156"/>
      <c r="H1362" s="100"/>
    </row>
    <row r="1363" spans="3:8" x14ac:dyDescent="0.25">
      <c r="C1363" s="100"/>
      <c r="G1363" s="156"/>
      <c r="H1363" s="100"/>
    </row>
    <row r="1364" spans="3:8" x14ac:dyDescent="0.25">
      <c r="C1364" s="100"/>
      <c r="G1364" s="156"/>
      <c r="H1364" s="100"/>
    </row>
    <row r="1365" spans="3:8" x14ac:dyDescent="0.25">
      <c r="C1365" s="100"/>
      <c r="G1365" s="156"/>
      <c r="H1365" s="100"/>
    </row>
    <row r="1366" spans="3:8" x14ac:dyDescent="0.25">
      <c r="C1366" s="100"/>
      <c r="G1366" s="156"/>
      <c r="H1366" s="100"/>
    </row>
    <row r="1367" spans="3:8" x14ac:dyDescent="0.25">
      <c r="C1367" s="100"/>
      <c r="G1367" s="156"/>
      <c r="H1367" s="100"/>
    </row>
    <row r="1368" spans="3:8" x14ac:dyDescent="0.25">
      <c r="C1368" s="100"/>
      <c r="G1368" s="156"/>
      <c r="H1368" s="100"/>
    </row>
    <row r="1369" spans="3:8" x14ac:dyDescent="0.25">
      <c r="C1369" s="100"/>
      <c r="G1369" s="156"/>
      <c r="H1369" s="100"/>
    </row>
    <row r="1370" spans="3:8" x14ac:dyDescent="0.25">
      <c r="C1370" s="100"/>
      <c r="G1370" s="156"/>
      <c r="H1370" s="100"/>
    </row>
    <row r="1371" spans="3:8" x14ac:dyDescent="0.25">
      <c r="C1371" s="100"/>
      <c r="G1371" s="156"/>
      <c r="H1371" s="100"/>
    </row>
    <row r="1372" spans="3:8" x14ac:dyDescent="0.25">
      <c r="C1372" s="100"/>
      <c r="G1372" s="156"/>
      <c r="H1372" s="100"/>
    </row>
    <row r="1373" spans="3:8" x14ac:dyDescent="0.25">
      <c r="C1373" s="100"/>
      <c r="G1373" s="156"/>
      <c r="H1373" s="100"/>
    </row>
    <row r="1374" spans="3:8" x14ac:dyDescent="0.25">
      <c r="C1374" s="100"/>
      <c r="G1374" s="156"/>
      <c r="H1374" s="100"/>
    </row>
    <row r="1375" spans="3:8" x14ac:dyDescent="0.25">
      <c r="C1375" s="100"/>
      <c r="G1375" s="156"/>
      <c r="H1375" s="100"/>
    </row>
    <row r="1376" spans="3:8" x14ac:dyDescent="0.25">
      <c r="C1376" s="100"/>
      <c r="G1376" s="156"/>
      <c r="H1376" s="100"/>
    </row>
    <row r="1377" spans="3:8" x14ac:dyDescent="0.25">
      <c r="C1377" s="100"/>
      <c r="G1377" s="156"/>
      <c r="H1377" s="100"/>
    </row>
    <row r="1378" spans="3:8" x14ac:dyDescent="0.25">
      <c r="C1378" s="100"/>
      <c r="G1378" s="156"/>
      <c r="H1378" s="100"/>
    </row>
    <row r="1379" spans="3:8" x14ac:dyDescent="0.25">
      <c r="C1379" s="100"/>
      <c r="G1379" s="156"/>
      <c r="H1379" s="100"/>
    </row>
    <row r="1380" spans="3:8" x14ac:dyDescent="0.25">
      <c r="C1380" s="100"/>
      <c r="G1380" s="156"/>
      <c r="H1380" s="100"/>
    </row>
    <row r="1381" spans="3:8" x14ac:dyDescent="0.25">
      <c r="C1381" s="100"/>
      <c r="G1381" s="156"/>
      <c r="H1381" s="100"/>
    </row>
    <row r="1382" spans="3:8" x14ac:dyDescent="0.25">
      <c r="C1382" s="100"/>
      <c r="G1382" s="156"/>
      <c r="H1382" s="100"/>
    </row>
    <row r="1383" spans="3:8" x14ac:dyDescent="0.25">
      <c r="C1383" s="100"/>
      <c r="G1383" s="156"/>
      <c r="H1383" s="100"/>
    </row>
    <row r="1384" spans="3:8" x14ac:dyDescent="0.25">
      <c r="C1384" s="100"/>
      <c r="G1384" s="156"/>
      <c r="H1384" s="100"/>
    </row>
    <row r="1385" spans="3:8" x14ac:dyDescent="0.25">
      <c r="C1385" s="100"/>
      <c r="G1385" s="156"/>
      <c r="H1385" s="100"/>
    </row>
    <row r="1386" spans="3:8" x14ac:dyDescent="0.25">
      <c r="C1386" s="100"/>
      <c r="G1386" s="156"/>
      <c r="H1386" s="100"/>
    </row>
    <row r="1387" spans="3:8" x14ac:dyDescent="0.25">
      <c r="C1387" s="100"/>
      <c r="G1387" s="156"/>
      <c r="H1387" s="100"/>
    </row>
    <row r="1388" spans="3:8" x14ac:dyDescent="0.25">
      <c r="C1388" s="100"/>
      <c r="G1388" s="156"/>
      <c r="H1388" s="100"/>
    </row>
    <row r="1389" spans="3:8" x14ac:dyDescent="0.25">
      <c r="C1389" s="100"/>
      <c r="G1389" s="156"/>
      <c r="H1389" s="100"/>
    </row>
    <row r="1390" spans="3:8" x14ac:dyDescent="0.25">
      <c r="C1390" s="100"/>
      <c r="G1390" s="156"/>
      <c r="H1390" s="100"/>
    </row>
    <row r="1391" spans="3:8" x14ac:dyDescent="0.25">
      <c r="C1391" s="100"/>
      <c r="G1391" s="156"/>
      <c r="H1391" s="100"/>
    </row>
    <row r="1392" spans="3:8" x14ac:dyDescent="0.25">
      <c r="C1392" s="100"/>
      <c r="G1392" s="156"/>
      <c r="H1392" s="100"/>
    </row>
    <row r="1393" spans="3:8" x14ac:dyDescent="0.25">
      <c r="C1393" s="100"/>
      <c r="G1393" s="156"/>
      <c r="H1393" s="100"/>
    </row>
    <row r="1394" spans="3:8" x14ac:dyDescent="0.25">
      <c r="C1394" s="100"/>
      <c r="G1394" s="156"/>
      <c r="H1394" s="100"/>
    </row>
    <row r="1395" spans="3:8" x14ac:dyDescent="0.25">
      <c r="C1395" s="100"/>
      <c r="G1395" s="156"/>
      <c r="H1395" s="100"/>
    </row>
    <row r="1396" spans="3:8" x14ac:dyDescent="0.25">
      <c r="C1396" s="100"/>
      <c r="G1396" s="156"/>
      <c r="H1396" s="100"/>
    </row>
    <row r="1397" spans="3:8" x14ac:dyDescent="0.25">
      <c r="C1397" s="100"/>
      <c r="G1397" s="156"/>
      <c r="H1397" s="100"/>
    </row>
    <row r="1398" spans="3:8" x14ac:dyDescent="0.25">
      <c r="C1398" s="100"/>
      <c r="G1398" s="156"/>
      <c r="H1398" s="100"/>
    </row>
    <row r="1399" spans="3:8" x14ac:dyDescent="0.25">
      <c r="C1399" s="100"/>
      <c r="G1399" s="156"/>
      <c r="H1399" s="100"/>
    </row>
    <row r="1400" spans="3:8" x14ac:dyDescent="0.25">
      <c r="C1400" s="100"/>
      <c r="G1400" s="156"/>
      <c r="H1400" s="100"/>
    </row>
    <row r="1401" spans="3:8" x14ac:dyDescent="0.25">
      <c r="C1401" s="100"/>
      <c r="G1401" s="156"/>
      <c r="H1401" s="100"/>
    </row>
    <row r="1402" spans="3:8" x14ac:dyDescent="0.25">
      <c r="C1402" s="100"/>
      <c r="G1402" s="156"/>
      <c r="H1402" s="100"/>
    </row>
    <row r="1403" spans="3:8" x14ac:dyDescent="0.25">
      <c r="C1403" s="100"/>
      <c r="G1403" s="156"/>
      <c r="H1403" s="100"/>
    </row>
    <row r="1404" spans="3:8" x14ac:dyDescent="0.25">
      <c r="C1404" s="100"/>
      <c r="G1404" s="156"/>
      <c r="H1404" s="100"/>
    </row>
    <row r="1405" spans="3:8" x14ac:dyDescent="0.25">
      <c r="C1405" s="100"/>
      <c r="G1405" s="156"/>
      <c r="H1405" s="100"/>
    </row>
    <row r="1406" spans="3:8" x14ac:dyDescent="0.25">
      <c r="C1406" s="100"/>
      <c r="G1406" s="156"/>
      <c r="H1406" s="100"/>
    </row>
    <row r="1407" spans="3:8" x14ac:dyDescent="0.25">
      <c r="C1407" s="100"/>
      <c r="G1407" s="156"/>
      <c r="H1407" s="100"/>
    </row>
    <row r="1408" spans="3:8" x14ac:dyDescent="0.25">
      <c r="C1408" s="100"/>
      <c r="G1408" s="156"/>
      <c r="H1408" s="100"/>
    </row>
    <row r="1409" spans="3:8" x14ac:dyDescent="0.25">
      <c r="C1409" s="100"/>
      <c r="G1409" s="156"/>
      <c r="H1409" s="100"/>
    </row>
    <row r="1410" spans="3:8" x14ac:dyDescent="0.25">
      <c r="C1410" s="100"/>
      <c r="G1410" s="156"/>
      <c r="H1410" s="100"/>
    </row>
    <row r="1411" spans="3:8" x14ac:dyDescent="0.25">
      <c r="C1411" s="100"/>
      <c r="G1411" s="156"/>
      <c r="H1411" s="100"/>
    </row>
    <row r="1412" spans="3:8" x14ac:dyDescent="0.25">
      <c r="C1412" s="100"/>
      <c r="G1412" s="156"/>
      <c r="H1412" s="100"/>
    </row>
    <row r="1413" spans="3:8" x14ac:dyDescent="0.25">
      <c r="C1413" s="100"/>
      <c r="G1413" s="156"/>
      <c r="H1413" s="100"/>
    </row>
    <row r="1414" spans="3:8" x14ac:dyDescent="0.25">
      <c r="C1414" s="100"/>
      <c r="G1414" s="156"/>
      <c r="H1414" s="100"/>
    </row>
    <row r="1415" spans="3:8" x14ac:dyDescent="0.25">
      <c r="C1415" s="100"/>
      <c r="G1415" s="156"/>
      <c r="H1415" s="100"/>
    </row>
    <row r="1416" spans="3:8" x14ac:dyDescent="0.25">
      <c r="C1416" s="100"/>
      <c r="G1416" s="156"/>
      <c r="H1416" s="100"/>
    </row>
    <row r="1417" spans="3:8" x14ac:dyDescent="0.25">
      <c r="C1417" s="100"/>
      <c r="G1417" s="156"/>
      <c r="H1417" s="100"/>
    </row>
    <row r="1418" spans="3:8" x14ac:dyDescent="0.25">
      <c r="C1418" s="100"/>
      <c r="G1418" s="156"/>
      <c r="H1418" s="100"/>
    </row>
    <row r="1419" spans="3:8" x14ac:dyDescent="0.25">
      <c r="C1419" s="100"/>
      <c r="G1419" s="156"/>
      <c r="H1419" s="100"/>
    </row>
    <row r="1420" spans="3:8" x14ac:dyDescent="0.25">
      <c r="C1420" s="100"/>
      <c r="G1420" s="156"/>
      <c r="H1420" s="100"/>
    </row>
    <row r="1421" spans="3:8" x14ac:dyDescent="0.25">
      <c r="C1421" s="100"/>
      <c r="G1421" s="156"/>
      <c r="H1421" s="100"/>
    </row>
    <row r="1422" spans="3:8" x14ac:dyDescent="0.25">
      <c r="C1422" s="100"/>
      <c r="G1422" s="156"/>
      <c r="H1422" s="100"/>
    </row>
    <row r="1423" spans="3:8" x14ac:dyDescent="0.25">
      <c r="C1423" s="100"/>
      <c r="G1423" s="156"/>
      <c r="H1423" s="100"/>
    </row>
    <row r="1424" spans="3:8" x14ac:dyDescent="0.25">
      <c r="C1424" s="100"/>
      <c r="G1424" s="156"/>
      <c r="H1424" s="100"/>
    </row>
    <row r="1425" spans="3:8" x14ac:dyDescent="0.25">
      <c r="C1425" s="100"/>
      <c r="G1425" s="156"/>
      <c r="H1425" s="100"/>
    </row>
    <row r="1426" spans="3:8" x14ac:dyDescent="0.25">
      <c r="C1426" s="100"/>
      <c r="G1426" s="156"/>
      <c r="H1426" s="100"/>
    </row>
    <row r="1427" spans="3:8" x14ac:dyDescent="0.25">
      <c r="C1427" s="100"/>
      <c r="G1427" s="156"/>
      <c r="H1427" s="100"/>
    </row>
    <row r="1428" spans="3:8" x14ac:dyDescent="0.25">
      <c r="C1428" s="100"/>
      <c r="G1428" s="156"/>
      <c r="H1428" s="100"/>
    </row>
    <row r="1429" spans="3:8" x14ac:dyDescent="0.25">
      <c r="C1429" s="100"/>
      <c r="G1429" s="156"/>
      <c r="H1429" s="100"/>
    </row>
    <row r="1430" spans="3:8" x14ac:dyDescent="0.25">
      <c r="C1430" s="100"/>
      <c r="G1430" s="156"/>
      <c r="H1430" s="100"/>
    </row>
    <row r="1431" spans="3:8" x14ac:dyDescent="0.25">
      <c r="C1431" s="100"/>
      <c r="G1431" s="156"/>
      <c r="H1431" s="100"/>
    </row>
    <row r="1432" spans="3:8" x14ac:dyDescent="0.25">
      <c r="C1432" s="100"/>
      <c r="G1432" s="156"/>
      <c r="H1432" s="100"/>
    </row>
    <row r="1433" spans="3:8" x14ac:dyDescent="0.25">
      <c r="C1433" s="100"/>
      <c r="G1433" s="156"/>
      <c r="H1433" s="100"/>
    </row>
    <row r="1434" spans="3:8" x14ac:dyDescent="0.25">
      <c r="C1434" s="100"/>
      <c r="G1434" s="156"/>
      <c r="H1434" s="100"/>
    </row>
    <row r="1435" spans="3:8" x14ac:dyDescent="0.25">
      <c r="C1435" s="100"/>
      <c r="G1435" s="156"/>
      <c r="H1435" s="100"/>
    </row>
    <row r="1436" spans="3:8" x14ac:dyDescent="0.25">
      <c r="C1436" s="100"/>
      <c r="G1436" s="156"/>
      <c r="H1436" s="100"/>
    </row>
    <row r="1437" spans="3:8" x14ac:dyDescent="0.25">
      <c r="C1437" s="100"/>
      <c r="G1437" s="156"/>
      <c r="H1437" s="100"/>
    </row>
    <row r="1438" spans="3:8" x14ac:dyDescent="0.25">
      <c r="C1438" s="100"/>
      <c r="G1438" s="156"/>
      <c r="H1438" s="100"/>
    </row>
    <row r="1439" spans="3:8" x14ac:dyDescent="0.25">
      <c r="C1439" s="100"/>
      <c r="G1439" s="156"/>
      <c r="H1439" s="100"/>
    </row>
    <row r="1440" spans="3:8" x14ac:dyDescent="0.25">
      <c r="C1440" s="100"/>
      <c r="G1440" s="156"/>
      <c r="H1440" s="100"/>
    </row>
    <row r="1441" spans="3:8" x14ac:dyDescent="0.25">
      <c r="C1441" s="100"/>
      <c r="G1441" s="156"/>
      <c r="H1441" s="100"/>
    </row>
    <row r="1442" spans="3:8" x14ac:dyDescent="0.25">
      <c r="C1442" s="100"/>
      <c r="G1442" s="156"/>
      <c r="H1442" s="100"/>
    </row>
    <row r="1443" spans="3:8" x14ac:dyDescent="0.25">
      <c r="C1443" s="100"/>
      <c r="G1443" s="156"/>
      <c r="H1443" s="100"/>
    </row>
    <row r="1444" spans="3:8" x14ac:dyDescent="0.25">
      <c r="C1444" s="100"/>
      <c r="G1444" s="156"/>
      <c r="H1444" s="100"/>
    </row>
    <row r="1445" spans="3:8" x14ac:dyDescent="0.25">
      <c r="C1445" s="100"/>
      <c r="G1445" s="156"/>
      <c r="H1445" s="100"/>
    </row>
    <row r="1446" spans="3:8" x14ac:dyDescent="0.25">
      <c r="C1446" s="100"/>
      <c r="G1446" s="156"/>
      <c r="H1446" s="100"/>
    </row>
    <row r="1447" spans="3:8" x14ac:dyDescent="0.25">
      <c r="C1447" s="100"/>
      <c r="G1447" s="156"/>
      <c r="H1447" s="100"/>
    </row>
    <row r="1448" spans="3:8" x14ac:dyDescent="0.25">
      <c r="C1448" s="100"/>
      <c r="G1448" s="156"/>
      <c r="H1448" s="100"/>
    </row>
    <row r="1449" spans="3:8" x14ac:dyDescent="0.25">
      <c r="C1449" s="100"/>
      <c r="G1449" s="156"/>
      <c r="H1449" s="100"/>
    </row>
    <row r="1450" spans="3:8" x14ac:dyDescent="0.25">
      <c r="C1450" s="100"/>
      <c r="G1450" s="156"/>
      <c r="H1450" s="100"/>
    </row>
    <row r="1451" spans="3:8" x14ac:dyDescent="0.25">
      <c r="C1451" s="100"/>
      <c r="G1451" s="156"/>
      <c r="H1451" s="100"/>
    </row>
    <row r="1452" spans="3:8" x14ac:dyDescent="0.25">
      <c r="C1452" s="100"/>
      <c r="G1452" s="156"/>
      <c r="H1452" s="100"/>
    </row>
    <row r="1453" spans="3:8" x14ac:dyDescent="0.25">
      <c r="C1453" s="100"/>
      <c r="G1453" s="156"/>
      <c r="H1453" s="100"/>
    </row>
    <row r="1454" spans="3:8" x14ac:dyDescent="0.25">
      <c r="C1454" s="100"/>
      <c r="G1454" s="156"/>
      <c r="H1454" s="100"/>
    </row>
    <row r="1455" spans="3:8" x14ac:dyDescent="0.25">
      <c r="C1455" s="100"/>
      <c r="G1455" s="156"/>
      <c r="H1455" s="100"/>
    </row>
    <row r="1456" spans="3:8" x14ac:dyDescent="0.25">
      <c r="C1456" s="100"/>
      <c r="G1456" s="156"/>
      <c r="H1456" s="100"/>
    </row>
    <row r="1457" spans="3:8" x14ac:dyDescent="0.25">
      <c r="C1457" s="100"/>
      <c r="G1457" s="156"/>
      <c r="H1457" s="100"/>
    </row>
    <row r="1458" spans="3:8" x14ac:dyDescent="0.25">
      <c r="C1458" s="100"/>
      <c r="G1458" s="156"/>
      <c r="H1458" s="100"/>
    </row>
    <row r="1459" spans="3:8" x14ac:dyDescent="0.25">
      <c r="C1459" s="100"/>
      <c r="G1459" s="156"/>
      <c r="H1459" s="100"/>
    </row>
    <row r="1460" spans="3:8" x14ac:dyDescent="0.25">
      <c r="C1460" s="100"/>
      <c r="G1460" s="156"/>
      <c r="H1460" s="100"/>
    </row>
    <row r="1461" spans="3:8" x14ac:dyDescent="0.25">
      <c r="C1461" s="100"/>
      <c r="G1461" s="156"/>
      <c r="H1461" s="100"/>
    </row>
    <row r="1462" spans="3:8" x14ac:dyDescent="0.25">
      <c r="C1462" s="100"/>
      <c r="G1462" s="156"/>
      <c r="H1462" s="100"/>
    </row>
    <row r="1463" spans="3:8" x14ac:dyDescent="0.25">
      <c r="C1463" s="100"/>
      <c r="G1463" s="156"/>
      <c r="H1463" s="100"/>
    </row>
    <row r="1464" spans="3:8" x14ac:dyDescent="0.25">
      <c r="C1464" s="100"/>
      <c r="G1464" s="156"/>
      <c r="H1464" s="100"/>
    </row>
    <row r="1465" spans="3:8" x14ac:dyDescent="0.25">
      <c r="C1465" s="100"/>
      <c r="G1465" s="156"/>
      <c r="H1465" s="100"/>
    </row>
    <row r="1466" spans="3:8" x14ac:dyDescent="0.25">
      <c r="C1466" s="100"/>
      <c r="G1466" s="156"/>
      <c r="H1466" s="100"/>
    </row>
    <row r="1467" spans="3:8" x14ac:dyDescent="0.25">
      <c r="C1467" s="100"/>
      <c r="G1467" s="156"/>
      <c r="H1467" s="100"/>
    </row>
    <row r="1468" spans="3:8" x14ac:dyDescent="0.25">
      <c r="C1468" s="100"/>
      <c r="G1468" s="156"/>
      <c r="H1468" s="100"/>
    </row>
    <row r="1469" spans="3:8" x14ac:dyDescent="0.25">
      <c r="C1469" s="100"/>
      <c r="G1469" s="156"/>
      <c r="H1469" s="100"/>
    </row>
    <row r="1470" spans="3:8" x14ac:dyDescent="0.25">
      <c r="C1470" s="100"/>
      <c r="G1470" s="156"/>
      <c r="H1470" s="100"/>
    </row>
    <row r="1471" spans="3:8" x14ac:dyDescent="0.25">
      <c r="C1471" s="100"/>
      <c r="G1471" s="156"/>
      <c r="H1471" s="100"/>
    </row>
    <row r="1472" spans="3:8" x14ac:dyDescent="0.25">
      <c r="C1472" s="100"/>
      <c r="G1472" s="156"/>
      <c r="H1472" s="100"/>
    </row>
    <row r="1473" spans="3:8" x14ac:dyDescent="0.25">
      <c r="C1473" s="100"/>
      <c r="G1473" s="156"/>
      <c r="H1473" s="100"/>
    </row>
    <row r="1474" spans="3:8" x14ac:dyDescent="0.25">
      <c r="C1474" s="100"/>
      <c r="G1474" s="156"/>
      <c r="H1474" s="100"/>
    </row>
    <row r="1475" spans="3:8" x14ac:dyDescent="0.25">
      <c r="C1475" s="100"/>
      <c r="G1475" s="156"/>
      <c r="H1475" s="100"/>
    </row>
    <row r="1476" spans="3:8" x14ac:dyDescent="0.25">
      <c r="C1476" s="100"/>
      <c r="G1476" s="156"/>
      <c r="H1476" s="100"/>
    </row>
    <row r="1477" spans="3:8" x14ac:dyDescent="0.25">
      <c r="C1477" s="100"/>
      <c r="G1477" s="156"/>
      <c r="H1477" s="100"/>
    </row>
    <row r="1478" spans="3:8" x14ac:dyDescent="0.25">
      <c r="C1478" s="100"/>
      <c r="G1478" s="156"/>
      <c r="H1478" s="100"/>
    </row>
    <row r="1479" spans="3:8" x14ac:dyDescent="0.25">
      <c r="C1479" s="100"/>
      <c r="G1479" s="156"/>
      <c r="H1479" s="100"/>
    </row>
    <row r="1480" spans="3:8" x14ac:dyDescent="0.25">
      <c r="C1480" s="100"/>
      <c r="G1480" s="156"/>
      <c r="H1480" s="100"/>
    </row>
    <row r="1481" spans="3:8" x14ac:dyDescent="0.25">
      <c r="C1481" s="100"/>
      <c r="G1481" s="156"/>
      <c r="H1481" s="100"/>
    </row>
    <row r="1482" spans="3:8" x14ac:dyDescent="0.25">
      <c r="C1482" s="100"/>
      <c r="G1482" s="156"/>
      <c r="H1482" s="100"/>
    </row>
    <row r="1483" spans="3:8" x14ac:dyDescent="0.25">
      <c r="C1483" s="100"/>
      <c r="G1483" s="156"/>
      <c r="H1483" s="100"/>
    </row>
    <row r="1484" spans="3:8" x14ac:dyDescent="0.25">
      <c r="C1484" s="100"/>
      <c r="G1484" s="156"/>
      <c r="H1484" s="100"/>
    </row>
    <row r="1485" spans="3:8" x14ac:dyDescent="0.25">
      <c r="C1485" s="100"/>
      <c r="G1485" s="156"/>
      <c r="H1485" s="100"/>
    </row>
    <row r="1486" spans="3:8" x14ac:dyDescent="0.25">
      <c r="C1486" s="100"/>
      <c r="G1486" s="156"/>
      <c r="H1486" s="100"/>
    </row>
    <row r="1487" spans="3:8" x14ac:dyDescent="0.25">
      <c r="C1487" s="100"/>
      <c r="G1487" s="156"/>
      <c r="H1487" s="100"/>
    </row>
    <row r="1488" spans="3:8" x14ac:dyDescent="0.25">
      <c r="C1488" s="100"/>
      <c r="G1488" s="156"/>
      <c r="H1488" s="100"/>
    </row>
    <row r="1489" spans="3:8" x14ac:dyDescent="0.25">
      <c r="C1489" s="100"/>
      <c r="G1489" s="156"/>
      <c r="H1489" s="100"/>
    </row>
    <row r="1490" spans="3:8" x14ac:dyDescent="0.25">
      <c r="C1490" s="100"/>
      <c r="G1490" s="156"/>
      <c r="H1490" s="100"/>
    </row>
    <row r="1491" spans="3:8" x14ac:dyDescent="0.25">
      <c r="C1491" s="100"/>
      <c r="G1491" s="156"/>
      <c r="H1491" s="100"/>
    </row>
    <row r="1492" spans="3:8" x14ac:dyDescent="0.25">
      <c r="C1492" s="100"/>
      <c r="G1492" s="156"/>
      <c r="H1492" s="100"/>
    </row>
    <row r="1493" spans="3:8" x14ac:dyDescent="0.25">
      <c r="C1493" s="100"/>
      <c r="G1493" s="156"/>
      <c r="H1493" s="100"/>
    </row>
    <row r="1494" spans="3:8" x14ac:dyDescent="0.25">
      <c r="C1494" s="100"/>
      <c r="G1494" s="156"/>
      <c r="H1494" s="100"/>
    </row>
    <row r="1495" spans="3:8" x14ac:dyDescent="0.25">
      <c r="C1495" s="100"/>
      <c r="G1495" s="156"/>
      <c r="H1495" s="100"/>
    </row>
    <row r="1496" spans="3:8" x14ac:dyDescent="0.25">
      <c r="C1496" s="100"/>
      <c r="G1496" s="156"/>
      <c r="H1496" s="100"/>
    </row>
    <row r="1497" spans="3:8" x14ac:dyDescent="0.25">
      <c r="C1497" s="100"/>
      <c r="G1497" s="156"/>
      <c r="H1497" s="100"/>
    </row>
    <row r="1498" spans="3:8" x14ac:dyDescent="0.25">
      <c r="C1498" s="100"/>
      <c r="G1498" s="156"/>
      <c r="H1498" s="100"/>
    </row>
    <row r="1499" spans="3:8" x14ac:dyDescent="0.25">
      <c r="C1499" s="100"/>
      <c r="G1499" s="156"/>
      <c r="H1499" s="100"/>
    </row>
    <row r="1500" spans="3:8" x14ac:dyDescent="0.25">
      <c r="C1500" s="100"/>
      <c r="G1500" s="156"/>
      <c r="H1500" s="100"/>
    </row>
    <row r="1501" spans="3:8" x14ac:dyDescent="0.25">
      <c r="C1501" s="100"/>
      <c r="G1501" s="156"/>
      <c r="H1501" s="100"/>
    </row>
    <row r="1502" spans="3:8" x14ac:dyDescent="0.25">
      <c r="C1502" s="100"/>
      <c r="G1502" s="156"/>
      <c r="H1502" s="100"/>
    </row>
    <row r="1503" spans="3:8" x14ac:dyDescent="0.25">
      <c r="C1503" s="100"/>
      <c r="G1503" s="156"/>
      <c r="H1503" s="100"/>
    </row>
    <row r="1504" spans="3:8" x14ac:dyDescent="0.25">
      <c r="C1504" s="100"/>
      <c r="G1504" s="156"/>
      <c r="H1504" s="100"/>
    </row>
    <row r="1505" spans="3:8" x14ac:dyDescent="0.25">
      <c r="C1505" s="100"/>
      <c r="G1505" s="156"/>
      <c r="H1505" s="100"/>
    </row>
    <row r="1506" spans="3:8" x14ac:dyDescent="0.25">
      <c r="C1506" s="100"/>
      <c r="G1506" s="156"/>
      <c r="H1506" s="100"/>
    </row>
    <row r="1507" spans="3:8" x14ac:dyDescent="0.25">
      <c r="C1507" s="100"/>
      <c r="G1507" s="156"/>
      <c r="H1507" s="100"/>
    </row>
    <row r="1508" spans="3:8" x14ac:dyDescent="0.25">
      <c r="C1508" s="100"/>
      <c r="G1508" s="156"/>
      <c r="H1508" s="100"/>
    </row>
    <row r="1509" spans="3:8" x14ac:dyDescent="0.25">
      <c r="C1509" s="100"/>
      <c r="G1509" s="156"/>
      <c r="H1509" s="100"/>
    </row>
    <row r="1510" spans="3:8" x14ac:dyDescent="0.25">
      <c r="C1510" s="100"/>
      <c r="G1510" s="156"/>
      <c r="H1510" s="100"/>
    </row>
    <row r="1511" spans="3:8" x14ac:dyDescent="0.25">
      <c r="C1511" s="100"/>
      <c r="G1511" s="156"/>
      <c r="H1511" s="100"/>
    </row>
    <row r="1512" spans="3:8" x14ac:dyDescent="0.25">
      <c r="C1512" s="100"/>
      <c r="G1512" s="156"/>
      <c r="H1512" s="100"/>
    </row>
    <row r="1513" spans="3:8" x14ac:dyDescent="0.25">
      <c r="C1513" s="100"/>
      <c r="G1513" s="156"/>
      <c r="H1513" s="100"/>
    </row>
    <row r="1514" spans="3:8" x14ac:dyDescent="0.25">
      <c r="C1514" s="100"/>
      <c r="G1514" s="156"/>
      <c r="H1514" s="100"/>
    </row>
    <row r="1515" spans="3:8" x14ac:dyDescent="0.25">
      <c r="C1515" s="100"/>
      <c r="G1515" s="156"/>
      <c r="H1515" s="100"/>
    </row>
    <row r="1516" spans="3:8" x14ac:dyDescent="0.25">
      <c r="C1516" s="100"/>
      <c r="G1516" s="156"/>
      <c r="H1516" s="100"/>
    </row>
    <row r="1517" spans="3:8" x14ac:dyDescent="0.25">
      <c r="C1517" s="100"/>
      <c r="G1517" s="156"/>
      <c r="H1517" s="100"/>
    </row>
    <row r="1518" spans="3:8" x14ac:dyDescent="0.25">
      <c r="C1518" s="100"/>
      <c r="G1518" s="156"/>
      <c r="H1518" s="100"/>
    </row>
    <row r="1519" spans="3:8" x14ac:dyDescent="0.25">
      <c r="C1519" s="100"/>
      <c r="G1519" s="156"/>
      <c r="H1519" s="100"/>
    </row>
    <row r="1520" spans="3:8" x14ac:dyDescent="0.25">
      <c r="C1520" s="100"/>
      <c r="G1520" s="156"/>
      <c r="H1520" s="100"/>
    </row>
    <row r="1521" spans="3:8" x14ac:dyDescent="0.25">
      <c r="C1521" s="100"/>
      <c r="G1521" s="156"/>
      <c r="H1521" s="100"/>
    </row>
    <row r="1522" spans="3:8" x14ac:dyDescent="0.25">
      <c r="C1522" s="100"/>
      <c r="G1522" s="156"/>
      <c r="H1522" s="100"/>
    </row>
    <row r="1523" spans="3:8" x14ac:dyDescent="0.25">
      <c r="C1523" s="100"/>
      <c r="G1523" s="156"/>
      <c r="H1523" s="100"/>
    </row>
    <row r="1524" spans="3:8" x14ac:dyDescent="0.25">
      <c r="C1524" s="100"/>
      <c r="G1524" s="156"/>
      <c r="H1524" s="100"/>
    </row>
    <row r="1525" spans="3:8" x14ac:dyDescent="0.25">
      <c r="C1525" s="100"/>
      <c r="G1525" s="156"/>
      <c r="H1525" s="100"/>
    </row>
    <row r="1526" spans="3:8" x14ac:dyDescent="0.25">
      <c r="C1526" s="100"/>
      <c r="G1526" s="156"/>
      <c r="H1526" s="100"/>
    </row>
    <row r="1527" spans="3:8" x14ac:dyDescent="0.25">
      <c r="C1527" s="100"/>
      <c r="G1527" s="156"/>
      <c r="H1527" s="100"/>
    </row>
    <row r="1528" spans="3:8" x14ac:dyDescent="0.25">
      <c r="C1528" s="100"/>
      <c r="G1528" s="156"/>
      <c r="H1528" s="100"/>
    </row>
    <row r="1529" spans="3:8" x14ac:dyDescent="0.25">
      <c r="C1529" s="100"/>
      <c r="G1529" s="156"/>
      <c r="H1529" s="100"/>
    </row>
    <row r="1530" spans="3:8" x14ac:dyDescent="0.25">
      <c r="C1530" s="100"/>
      <c r="G1530" s="156"/>
      <c r="H1530" s="100"/>
    </row>
    <row r="1531" spans="3:8" x14ac:dyDescent="0.25">
      <c r="C1531" s="100"/>
      <c r="G1531" s="156"/>
      <c r="H1531" s="100"/>
    </row>
    <row r="1532" spans="3:8" x14ac:dyDescent="0.25">
      <c r="C1532" s="100"/>
      <c r="G1532" s="156"/>
      <c r="H1532" s="100"/>
    </row>
    <row r="1533" spans="3:8" x14ac:dyDescent="0.25">
      <c r="C1533" s="100"/>
      <c r="G1533" s="156"/>
      <c r="H1533" s="100"/>
    </row>
    <row r="1534" spans="3:8" x14ac:dyDescent="0.25">
      <c r="C1534" s="100"/>
      <c r="G1534" s="156"/>
      <c r="H1534" s="100"/>
    </row>
    <row r="1535" spans="3:8" x14ac:dyDescent="0.25">
      <c r="C1535" s="100"/>
      <c r="G1535" s="156"/>
      <c r="H1535" s="100"/>
    </row>
    <row r="1536" spans="3:8" x14ac:dyDescent="0.25">
      <c r="C1536" s="100"/>
      <c r="G1536" s="156"/>
      <c r="H1536" s="100"/>
    </row>
    <row r="1537" spans="3:8" x14ac:dyDescent="0.25">
      <c r="C1537" s="100"/>
      <c r="G1537" s="156"/>
      <c r="H1537" s="100"/>
    </row>
    <row r="1538" spans="3:8" x14ac:dyDescent="0.25">
      <c r="C1538" s="100"/>
      <c r="G1538" s="156"/>
      <c r="H1538" s="100"/>
    </row>
    <row r="1539" spans="3:8" x14ac:dyDescent="0.25">
      <c r="C1539" s="100"/>
      <c r="G1539" s="156"/>
      <c r="H1539" s="100"/>
    </row>
    <row r="1540" spans="3:8" x14ac:dyDescent="0.25">
      <c r="C1540" s="100"/>
      <c r="G1540" s="156"/>
      <c r="H1540" s="100"/>
    </row>
    <row r="1541" spans="3:8" x14ac:dyDescent="0.25">
      <c r="C1541" s="100"/>
      <c r="G1541" s="156"/>
      <c r="H1541" s="100"/>
    </row>
    <row r="1542" spans="3:8" x14ac:dyDescent="0.25">
      <c r="C1542" s="100"/>
      <c r="G1542" s="156"/>
      <c r="H1542" s="100"/>
    </row>
    <row r="1543" spans="3:8" x14ac:dyDescent="0.25">
      <c r="C1543" s="100"/>
      <c r="G1543" s="156"/>
      <c r="H1543" s="100"/>
    </row>
    <row r="1544" spans="3:8" x14ac:dyDescent="0.25">
      <c r="C1544" s="100"/>
      <c r="G1544" s="156"/>
      <c r="H1544" s="100"/>
    </row>
    <row r="1545" spans="3:8" x14ac:dyDescent="0.25">
      <c r="C1545" s="100"/>
      <c r="G1545" s="156"/>
      <c r="H1545" s="100"/>
    </row>
    <row r="1546" spans="3:8" x14ac:dyDescent="0.25">
      <c r="C1546" s="100"/>
      <c r="G1546" s="156"/>
      <c r="H1546" s="100"/>
    </row>
    <row r="1547" spans="3:8" x14ac:dyDescent="0.25">
      <c r="C1547" s="100"/>
      <c r="G1547" s="156"/>
      <c r="H1547" s="100"/>
    </row>
    <row r="1548" spans="3:8" x14ac:dyDescent="0.25">
      <c r="C1548" s="100"/>
      <c r="G1548" s="156"/>
      <c r="H1548" s="100"/>
    </row>
    <row r="1549" spans="3:8" x14ac:dyDescent="0.25">
      <c r="C1549" s="100"/>
      <c r="G1549" s="156"/>
      <c r="H1549" s="100"/>
    </row>
    <row r="1550" spans="3:8" x14ac:dyDescent="0.25">
      <c r="C1550" s="100"/>
      <c r="G1550" s="156"/>
      <c r="H1550" s="100"/>
    </row>
    <row r="1551" spans="3:8" x14ac:dyDescent="0.25">
      <c r="C1551" s="100"/>
      <c r="G1551" s="156"/>
      <c r="H1551" s="100"/>
    </row>
    <row r="1552" spans="3:8" x14ac:dyDescent="0.25">
      <c r="C1552" s="100"/>
      <c r="G1552" s="156"/>
      <c r="H1552" s="100"/>
    </row>
    <row r="1553" spans="3:8" x14ac:dyDescent="0.25">
      <c r="C1553" s="100"/>
      <c r="G1553" s="156"/>
      <c r="H1553" s="100"/>
    </row>
    <row r="1554" spans="3:8" x14ac:dyDescent="0.25">
      <c r="C1554" s="100"/>
      <c r="G1554" s="156"/>
      <c r="H1554" s="100"/>
    </row>
    <row r="1555" spans="3:8" x14ac:dyDescent="0.25">
      <c r="C1555" s="100"/>
      <c r="G1555" s="156"/>
      <c r="H1555" s="100"/>
    </row>
    <row r="1556" spans="3:8" x14ac:dyDescent="0.25">
      <c r="C1556" s="100"/>
      <c r="G1556" s="156"/>
      <c r="H1556" s="100"/>
    </row>
    <row r="1557" spans="3:8" x14ac:dyDescent="0.25">
      <c r="C1557" s="100"/>
      <c r="G1557" s="156"/>
      <c r="H1557" s="100"/>
    </row>
    <row r="1558" spans="3:8" x14ac:dyDescent="0.25">
      <c r="C1558" s="100"/>
      <c r="G1558" s="156"/>
      <c r="H1558" s="100"/>
    </row>
    <row r="1559" spans="3:8" x14ac:dyDescent="0.25">
      <c r="C1559" s="100"/>
      <c r="G1559" s="156"/>
      <c r="H1559" s="100"/>
    </row>
    <row r="1560" spans="3:8" x14ac:dyDescent="0.25">
      <c r="C1560" s="100"/>
      <c r="G1560" s="156"/>
      <c r="H1560" s="100"/>
    </row>
    <row r="1561" spans="3:8" x14ac:dyDescent="0.25">
      <c r="C1561" s="100"/>
      <c r="G1561" s="156"/>
      <c r="H1561" s="100"/>
    </row>
    <row r="1562" spans="3:8" x14ac:dyDescent="0.25">
      <c r="C1562" s="100"/>
      <c r="G1562" s="156"/>
      <c r="H1562" s="100"/>
    </row>
    <row r="1563" spans="3:8" x14ac:dyDescent="0.25">
      <c r="C1563" s="100"/>
      <c r="G1563" s="156"/>
      <c r="H1563" s="100"/>
    </row>
    <row r="1564" spans="3:8" x14ac:dyDescent="0.25">
      <c r="C1564" s="100"/>
      <c r="G1564" s="156"/>
      <c r="H1564" s="100"/>
    </row>
    <row r="1565" spans="3:8" x14ac:dyDescent="0.25">
      <c r="C1565" s="100"/>
      <c r="G1565" s="156"/>
      <c r="H1565" s="100"/>
    </row>
    <row r="1566" spans="3:8" x14ac:dyDescent="0.25">
      <c r="C1566" s="100"/>
      <c r="G1566" s="156"/>
      <c r="H1566" s="100"/>
    </row>
    <row r="1567" spans="3:8" x14ac:dyDescent="0.25">
      <c r="C1567" s="100"/>
      <c r="G1567" s="156"/>
      <c r="H1567" s="100"/>
    </row>
    <row r="1568" spans="3:8" x14ac:dyDescent="0.25">
      <c r="C1568" s="100"/>
      <c r="G1568" s="156"/>
      <c r="H1568" s="100"/>
    </row>
    <row r="1569" spans="3:8" x14ac:dyDescent="0.25">
      <c r="C1569" s="100"/>
      <c r="G1569" s="156"/>
      <c r="H1569" s="100"/>
    </row>
    <row r="1570" spans="3:8" x14ac:dyDescent="0.25">
      <c r="C1570" s="100"/>
      <c r="G1570" s="156"/>
      <c r="H1570" s="100"/>
    </row>
    <row r="1571" spans="3:8" x14ac:dyDescent="0.25">
      <c r="C1571" s="100"/>
      <c r="G1571" s="156"/>
      <c r="H1571" s="100"/>
    </row>
    <row r="1572" spans="3:8" x14ac:dyDescent="0.25">
      <c r="C1572" s="100"/>
      <c r="G1572" s="156"/>
      <c r="H1572" s="100"/>
    </row>
    <row r="1573" spans="3:8" x14ac:dyDescent="0.25">
      <c r="C1573" s="100"/>
      <c r="G1573" s="156"/>
      <c r="H1573" s="100"/>
    </row>
    <row r="1574" spans="3:8" x14ac:dyDescent="0.25">
      <c r="C1574" s="100"/>
      <c r="G1574" s="156"/>
      <c r="H1574" s="100"/>
    </row>
    <row r="1575" spans="3:8" x14ac:dyDescent="0.25">
      <c r="C1575" s="100"/>
      <c r="G1575" s="156"/>
      <c r="H1575" s="100"/>
    </row>
    <row r="1576" spans="3:8" x14ac:dyDescent="0.25">
      <c r="C1576" s="100"/>
      <c r="G1576" s="156"/>
      <c r="H1576" s="100"/>
    </row>
    <row r="1577" spans="3:8" x14ac:dyDescent="0.25">
      <c r="C1577" s="100"/>
      <c r="G1577" s="156"/>
      <c r="H1577" s="100"/>
    </row>
    <row r="1578" spans="3:8" x14ac:dyDescent="0.25">
      <c r="C1578" s="100"/>
      <c r="G1578" s="156"/>
      <c r="H1578" s="100"/>
    </row>
    <row r="1579" spans="3:8" x14ac:dyDescent="0.25">
      <c r="C1579" s="100"/>
      <c r="G1579" s="156"/>
      <c r="H1579" s="100"/>
    </row>
    <row r="1580" spans="3:8" x14ac:dyDescent="0.25">
      <c r="C1580" s="100"/>
      <c r="G1580" s="156"/>
      <c r="H1580" s="100"/>
    </row>
    <row r="1581" spans="3:8" x14ac:dyDescent="0.25">
      <c r="C1581" s="100"/>
      <c r="G1581" s="156"/>
      <c r="H1581" s="100"/>
    </row>
    <row r="1582" spans="3:8" x14ac:dyDescent="0.25">
      <c r="C1582" s="100"/>
      <c r="G1582" s="156"/>
      <c r="H1582" s="100"/>
    </row>
    <row r="1583" spans="3:8" x14ac:dyDescent="0.25">
      <c r="C1583" s="100"/>
      <c r="G1583" s="156"/>
      <c r="H1583" s="100"/>
    </row>
    <row r="1584" spans="3:8" x14ac:dyDescent="0.25">
      <c r="C1584" s="100"/>
      <c r="G1584" s="156"/>
      <c r="H1584" s="100"/>
    </row>
    <row r="1585" spans="3:8" x14ac:dyDescent="0.25">
      <c r="C1585" s="100"/>
      <c r="G1585" s="156"/>
      <c r="H1585" s="100"/>
    </row>
    <row r="1586" spans="3:8" x14ac:dyDescent="0.25">
      <c r="C1586" s="100"/>
      <c r="G1586" s="156"/>
      <c r="H1586" s="100"/>
    </row>
    <row r="1587" spans="3:8" x14ac:dyDescent="0.25">
      <c r="C1587" s="100"/>
      <c r="G1587" s="156"/>
      <c r="H1587" s="100"/>
    </row>
    <row r="1588" spans="3:8" x14ac:dyDescent="0.25">
      <c r="C1588" s="100"/>
      <c r="G1588" s="156"/>
      <c r="H1588" s="100"/>
    </row>
    <row r="1589" spans="3:8" x14ac:dyDescent="0.25">
      <c r="C1589" s="100"/>
      <c r="G1589" s="156"/>
      <c r="H1589" s="100"/>
    </row>
    <row r="1590" spans="3:8" x14ac:dyDescent="0.25">
      <c r="C1590" s="100"/>
      <c r="G1590" s="156"/>
      <c r="H1590" s="100"/>
    </row>
    <row r="1591" spans="3:8" x14ac:dyDescent="0.25">
      <c r="C1591" s="100"/>
      <c r="G1591" s="156"/>
      <c r="H1591" s="100"/>
    </row>
    <row r="1592" spans="3:8" x14ac:dyDescent="0.25">
      <c r="C1592" s="100"/>
      <c r="G1592" s="156"/>
      <c r="H1592" s="100"/>
    </row>
    <row r="1593" spans="3:8" x14ac:dyDescent="0.25">
      <c r="C1593" s="100"/>
      <c r="G1593" s="156"/>
      <c r="H1593" s="100"/>
    </row>
    <row r="1594" spans="3:8" x14ac:dyDescent="0.25">
      <c r="C1594" s="100"/>
      <c r="G1594" s="156"/>
      <c r="H1594" s="100"/>
    </row>
    <row r="1595" spans="3:8" x14ac:dyDescent="0.25">
      <c r="C1595" s="100"/>
      <c r="G1595" s="156"/>
      <c r="H1595" s="100"/>
    </row>
    <row r="1596" spans="3:8" x14ac:dyDescent="0.25">
      <c r="C1596" s="100"/>
      <c r="G1596" s="156"/>
      <c r="H1596" s="100"/>
    </row>
    <row r="1597" spans="3:8" x14ac:dyDescent="0.25">
      <c r="C1597" s="100"/>
      <c r="G1597" s="156"/>
      <c r="H1597" s="100"/>
    </row>
    <row r="1598" spans="3:8" x14ac:dyDescent="0.25">
      <c r="C1598" s="100"/>
      <c r="G1598" s="156"/>
      <c r="H1598" s="100"/>
    </row>
    <row r="1599" spans="3:8" x14ac:dyDescent="0.25">
      <c r="C1599" s="100"/>
      <c r="G1599" s="156"/>
      <c r="H1599" s="100"/>
    </row>
    <row r="1600" spans="3:8" x14ac:dyDescent="0.25">
      <c r="C1600" s="100"/>
      <c r="G1600" s="156"/>
      <c r="H1600" s="100"/>
    </row>
    <row r="1601" spans="3:8" x14ac:dyDescent="0.25">
      <c r="C1601" s="100"/>
      <c r="G1601" s="156"/>
      <c r="H1601" s="100"/>
    </row>
    <row r="1602" spans="3:8" x14ac:dyDescent="0.25">
      <c r="C1602" s="100"/>
      <c r="G1602" s="156"/>
      <c r="H1602" s="100"/>
    </row>
    <row r="1603" spans="3:8" x14ac:dyDescent="0.25">
      <c r="C1603" s="100"/>
      <c r="G1603" s="156"/>
      <c r="H1603" s="100"/>
    </row>
    <row r="1604" spans="3:8" x14ac:dyDescent="0.25">
      <c r="C1604" s="100"/>
      <c r="G1604" s="156"/>
      <c r="H1604" s="100"/>
    </row>
    <row r="1605" spans="3:8" x14ac:dyDescent="0.25">
      <c r="C1605" s="100"/>
      <c r="G1605" s="156"/>
      <c r="H1605" s="100"/>
    </row>
    <row r="1606" spans="3:8" x14ac:dyDescent="0.25">
      <c r="C1606" s="100"/>
      <c r="G1606" s="156"/>
      <c r="H1606" s="100"/>
    </row>
    <row r="1607" spans="3:8" x14ac:dyDescent="0.25">
      <c r="C1607" s="100"/>
      <c r="G1607" s="156"/>
      <c r="H1607" s="100"/>
    </row>
    <row r="1608" spans="3:8" x14ac:dyDescent="0.25">
      <c r="C1608" s="100"/>
      <c r="G1608" s="156"/>
      <c r="H1608" s="100"/>
    </row>
    <row r="1609" spans="3:8" x14ac:dyDescent="0.25">
      <c r="C1609" s="100"/>
      <c r="G1609" s="156"/>
      <c r="H1609" s="100"/>
    </row>
    <row r="1610" spans="3:8" x14ac:dyDescent="0.25">
      <c r="C1610" s="100"/>
      <c r="G1610" s="156"/>
      <c r="H1610" s="100"/>
    </row>
    <row r="1611" spans="3:8" x14ac:dyDescent="0.25">
      <c r="C1611" s="100"/>
      <c r="G1611" s="156"/>
      <c r="H1611" s="100"/>
    </row>
    <row r="1612" spans="3:8" x14ac:dyDescent="0.25">
      <c r="C1612" s="100"/>
      <c r="G1612" s="156"/>
      <c r="H1612" s="100"/>
    </row>
    <row r="1613" spans="3:8" x14ac:dyDescent="0.25">
      <c r="C1613" s="100"/>
      <c r="G1613" s="156"/>
      <c r="H1613" s="100"/>
    </row>
    <row r="1614" spans="3:8" x14ac:dyDescent="0.25">
      <c r="C1614" s="100"/>
      <c r="G1614" s="156"/>
      <c r="H1614" s="100"/>
    </row>
    <row r="1615" spans="3:8" x14ac:dyDescent="0.25">
      <c r="C1615" s="100"/>
      <c r="G1615" s="156"/>
      <c r="H1615" s="100"/>
    </row>
    <row r="1616" spans="3:8" x14ac:dyDescent="0.25">
      <c r="C1616" s="100"/>
      <c r="G1616" s="156"/>
      <c r="H1616" s="100"/>
    </row>
    <row r="1617" spans="3:8" x14ac:dyDescent="0.25">
      <c r="C1617" s="100"/>
      <c r="G1617" s="156"/>
      <c r="H1617" s="100"/>
    </row>
    <row r="1618" spans="3:8" x14ac:dyDescent="0.25">
      <c r="C1618" s="100"/>
      <c r="G1618" s="156"/>
      <c r="H1618" s="100"/>
    </row>
    <row r="1619" spans="3:8" x14ac:dyDescent="0.25">
      <c r="C1619" s="100"/>
      <c r="G1619" s="156"/>
      <c r="H1619" s="100"/>
    </row>
    <row r="1620" spans="3:8" x14ac:dyDescent="0.25">
      <c r="C1620" s="100"/>
      <c r="G1620" s="156"/>
      <c r="H1620" s="100"/>
    </row>
    <row r="1621" spans="3:8" x14ac:dyDescent="0.25">
      <c r="C1621" s="100"/>
      <c r="G1621" s="156"/>
      <c r="H1621" s="100"/>
    </row>
    <row r="1622" spans="3:8" x14ac:dyDescent="0.25">
      <c r="C1622" s="100"/>
      <c r="G1622" s="156"/>
      <c r="H1622" s="100"/>
    </row>
    <row r="1623" spans="3:8" x14ac:dyDescent="0.25">
      <c r="C1623" s="100"/>
      <c r="G1623" s="156"/>
      <c r="H1623" s="100"/>
    </row>
    <row r="1624" spans="3:8" x14ac:dyDescent="0.25">
      <c r="C1624" s="100"/>
      <c r="G1624" s="156"/>
      <c r="H1624" s="100"/>
    </row>
    <row r="1625" spans="3:8" x14ac:dyDescent="0.25">
      <c r="C1625" s="100"/>
      <c r="G1625" s="156"/>
      <c r="H1625" s="100"/>
    </row>
    <row r="1626" spans="3:8" x14ac:dyDescent="0.25">
      <c r="C1626" s="100"/>
      <c r="G1626" s="156"/>
      <c r="H1626" s="100"/>
    </row>
    <row r="1627" spans="3:8" x14ac:dyDescent="0.25">
      <c r="C1627" s="100"/>
      <c r="G1627" s="156"/>
      <c r="H1627" s="100"/>
    </row>
    <row r="1628" spans="3:8" x14ac:dyDescent="0.25">
      <c r="C1628" s="100"/>
      <c r="G1628" s="156"/>
      <c r="H1628" s="100"/>
    </row>
    <row r="1629" spans="3:8" x14ac:dyDescent="0.25">
      <c r="C1629" s="100"/>
      <c r="G1629" s="156"/>
      <c r="H1629" s="100"/>
    </row>
    <row r="1630" spans="3:8" x14ac:dyDescent="0.25">
      <c r="C1630" s="100"/>
      <c r="G1630" s="156"/>
      <c r="H1630" s="100"/>
    </row>
    <row r="1631" spans="3:8" x14ac:dyDescent="0.25">
      <c r="C1631" s="100"/>
      <c r="G1631" s="156"/>
      <c r="H1631" s="100"/>
    </row>
    <row r="1632" spans="3:8" x14ac:dyDescent="0.25">
      <c r="C1632" s="100"/>
      <c r="G1632" s="156"/>
      <c r="H1632" s="100"/>
    </row>
    <row r="1633" spans="3:8" x14ac:dyDescent="0.25">
      <c r="C1633" s="100"/>
      <c r="G1633" s="156"/>
      <c r="H1633" s="100"/>
    </row>
    <row r="1634" spans="3:8" x14ac:dyDescent="0.25">
      <c r="C1634" s="100"/>
      <c r="G1634" s="156"/>
      <c r="H1634" s="100"/>
    </row>
    <row r="1635" spans="3:8" x14ac:dyDescent="0.25">
      <c r="C1635" s="100"/>
      <c r="G1635" s="156"/>
      <c r="H1635" s="100"/>
    </row>
    <row r="1636" spans="3:8" x14ac:dyDescent="0.25">
      <c r="C1636" s="100"/>
      <c r="G1636" s="156"/>
      <c r="H1636" s="100"/>
    </row>
    <row r="1637" spans="3:8" x14ac:dyDescent="0.25">
      <c r="C1637" s="100"/>
      <c r="G1637" s="156"/>
      <c r="H1637" s="100"/>
    </row>
    <row r="1638" spans="3:8" x14ac:dyDescent="0.25">
      <c r="C1638" s="100"/>
      <c r="G1638" s="156"/>
      <c r="H1638" s="100"/>
    </row>
    <row r="1639" spans="3:8" x14ac:dyDescent="0.25">
      <c r="C1639" s="100"/>
      <c r="G1639" s="156"/>
      <c r="H1639" s="100"/>
    </row>
    <row r="1640" spans="3:8" x14ac:dyDescent="0.25">
      <c r="C1640" s="100"/>
      <c r="G1640" s="156"/>
      <c r="H1640" s="100"/>
    </row>
    <row r="1641" spans="3:8" x14ac:dyDescent="0.25">
      <c r="C1641" s="100"/>
      <c r="G1641" s="156"/>
      <c r="H1641" s="100"/>
    </row>
    <row r="1642" spans="3:8" x14ac:dyDescent="0.25">
      <c r="C1642" s="100"/>
      <c r="G1642" s="156"/>
      <c r="H1642" s="100"/>
    </row>
    <row r="1643" spans="3:8" x14ac:dyDescent="0.25">
      <c r="C1643" s="100"/>
      <c r="G1643" s="156"/>
      <c r="H1643" s="100"/>
    </row>
    <row r="1644" spans="3:8" x14ac:dyDescent="0.25">
      <c r="C1644" s="100"/>
      <c r="G1644" s="156"/>
      <c r="H1644" s="100"/>
    </row>
    <row r="1645" spans="3:8" x14ac:dyDescent="0.25">
      <c r="C1645" s="100"/>
      <c r="G1645" s="156"/>
      <c r="H1645" s="100"/>
    </row>
    <row r="1646" spans="3:8" x14ac:dyDescent="0.25">
      <c r="C1646" s="100"/>
      <c r="G1646" s="156"/>
      <c r="H1646" s="100"/>
    </row>
    <row r="1647" spans="3:8" x14ac:dyDescent="0.25">
      <c r="C1647" s="100"/>
      <c r="G1647" s="156"/>
      <c r="H1647" s="100"/>
    </row>
    <row r="1648" spans="3:8" x14ac:dyDescent="0.25">
      <c r="C1648" s="100"/>
      <c r="G1648" s="156"/>
      <c r="H1648" s="100"/>
    </row>
    <row r="1649" spans="3:8" x14ac:dyDescent="0.25">
      <c r="C1649" s="100"/>
      <c r="G1649" s="156"/>
      <c r="H1649" s="100"/>
    </row>
    <row r="1650" spans="3:8" x14ac:dyDescent="0.25">
      <c r="C1650" s="100"/>
      <c r="G1650" s="156"/>
      <c r="H1650" s="100"/>
    </row>
    <row r="1651" spans="3:8" x14ac:dyDescent="0.25">
      <c r="C1651" s="100"/>
      <c r="G1651" s="156"/>
      <c r="H1651" s="100"/>
    </row>
    <row r="1652" spans="3:8" x14ac:dyDescent="0.25">
      <c r="C1652" s="100"/>
      <c r="G1652" s="156"/>
      <c r="H1652" s="100"/>
    </row>
    <row r="1653" spans="3:8" x14ac:dyDescent="0.25">
      <c r="C1653" s="100"/>
      <c r="G1653" s="156"/>
      <c r="H1653" s="100"/>
    </row>
    <row r="1654" spans="3:8" x14ac:dyDescent="0.25">
      <c r="C1654" s="100"/>
      <c r="G1654" s="156"/>
      <c r="H1654" s="100"/>
    </row>
    <row r="1655" spans="3:8" x14ac:dyDescent="0.25">
      <c r="C1655" s="100"/>
      <c r="G1655" s="156"/>
      <c r="H1655" s="100"/>
    </row>
    <row r="1656" spans="3:8" x14ac:dyDescent="0.25">
      <c r="C1656" s="100"/>
      <c r="G1656" s="156"/>
      <c r="H1656" s="100"/>
    </row>
    <row r="1657" spans="3:8" x14ac:dyDescent="0.25">
      <c r="C1657" s="100"/>
      <c r="G1657" s="156"/>
      <c r="H1657" s="100"/>
    </row>
    <row r="1658" spans="3:8" x14ac:dyDescent="0.25">
      <c r="C1658" s="100"/>
      <c r="G1658" s="156"/>
      <c r="H1658" s="100"/>
    </row>
    <row r="1659" spans="3:8" x14ac:dyDescent="0.25">
      <c r="C1659" s="100"/>
      <c r="G1659" s="156"/>
      <c r="H1659" s="100"/>
    </row>
    <row r="1660" spans="3:8" x14ac:dyDescent="0.25">
      <c r="C1660" s="100"/>
      <c r="G1660" s="156"/>
      <c r="H1660" s="100"/>
    </row>
    <row r="1661" spans="3:8" x14ac:dyDescent="0.25">
      <c r="C1661" s="100"/>
      <c r="G1661" s="156"/>
      <c r="H1661" s="100"/>
    </row>
    <row r="1662" spans="3:8" x14ac:dyDescent="0.25">
      <c r="C1662" s="100"/>
      <c r="G1662" s="156"/>
      <c r="H1662" s="100"/>
    </row>
    <row r="1663" spans="3:8" x14ac:dyDescent="0.25">
      <c r="C1663" s="100"/>
      <c r="G1663" s="156"/>
      <c r="H1663" s="100"/>
    </row>
    <row r="1664" spans="3:8" x14ac:dyDescent="0.25">
      <c r="C1664" s="100"/>
      <c r="G1664" s="156"/>
      <c r="H1664" s="100"/>
    </row>
    <row r="1665" spans="3:8" x14ac:dyDescent="0.25">
      <c r="C1665" s="100"/>
      <c r="G1665" s="156"/>
      <c r="H1665" s="100"/>
    </row>
    <row r="1666" spans="3:8" x14ac:dyDescent="0.25">
      <c r="C1666" s="100"/>
      <c r="G1666" s="156"/>
      <c r="H1666" s="100"/>
    </row>
    <row r="1667" spans="3:8" x14ac:dyDescent="0.25">
      <c r="C1667" s="100"/>
      <c r="G1667" s="156"/>
      <c r="H1667" s="100"/>
    </row>
    <row r="1668" spans="3:8" x14ac:dyDescent="0.25">
      <c r="C1668" s="100"/>
      <c r="G1668" s="156"/>
      <c r="H1668" s="100"/>
    </row>
    <row r="1669" spans="3:8" x14ac:dyDescent="0.25">
      <c r="C1669" s="100"/>
      <c r="G1669" s="156"/>
      <c r="H1669" s="100"/>
    </row>
    <row r="1670" spans="3:8" x14ac:dyDescent="0.25">
      <c r="C1670" s="100"/>
      <c r="G1670" s="156"/>
      <c r="H1670" s="100"/>
    </row>
    <row r="1671" spans="3:8" x14ac:dyDescent="0.25">
      <c r="C1671" s="100"/>
      <c r="G1671" s="156"/>
      <c r="H1671" s="100"/>
    </row>
    <row r="1672" spans="3:8" x14ac:dyDescent="0.25">
      <c r="C1672" s="100"/>
      <c r="G1672" s="156"/>
      <c r="H1672" s="100"/>
    </row>
    <row r="1673" spans="3:8" x14ac:dyDescent="0.25">
      <c r="C1673" s="100"/>
      <c r="G1673" s="156"/>
      <c r="H1673" s="100"/>
    </row>
    <row r="1674" spans="3:8" x14ac:dyDescent="0.25">
      <c r="C1674" s="100"/>
      <c r="G1674" s="156"/>
      <c r="H1674" s="100"/>
    </row>
    <row r="1675" spans="3:8" x14ac:dyDescent="0.25">
      <c r="C1675" s="100"/>
      <c r="G1675" s="156"/>
      <c r="H1675" s="100"/>
    </row>
    <row r="1676" spans="3:8" x14ac:dyDescent="0.25">
      <c r="C1676" s="100"/>
      <c r="G1676" s="156"/>
      <c r="H1676" s="100"/>
    </row>
    <row r="1677" spans="3:8" x14ac:dyDescent="0.25">
      <c r="C1677" s="100"/>
      <c r="G1677" s="156"/>
      <c r="H1677" s="100"/>
    </row>
    <row r="1678" spans="3:8" x14ac:dyDescent="0.25">
      <c r="C1678" s="100"/>
      <c r="G1678" s="156"/>
      <c r="H1678" s="100"/>
    </row>
    <row r="1679" spans="3:8" x14ac:dyDescent="0.25">
      <c r="C1679" s="100"/>
      <c r="G1679" s="156"/>
      <c r="H1679" s="100"/>
    </row>
    <row r="1680" spans="3:8" x14ac:dyDescent="0.25">
      <c r="C1680" s="100"/>
      <c r="G1680" s="156"/>
      <c r="H1680" s="100"/>
    </row>
    <row r="1681" spans="3:8" x14ac:dyDescent="0.25">
      <c r="C1681" s="100"/>
      <c r="G1681" s="156"/>
      <c r="H1681" s="100"/>
    </row>
    <row r="1682" spans="3:8" x14ac:dyDescent="0.25">
      <c r="C1682" s="100"/>
      <c r="G1682" s="156"/>
      <c r="H1682" s="100"/>
    </row>
    <row r="1683" spans="3:8" x14ac:dyDescent="0.25">
      <c r="C1683" s="100"/>
      <c r="G1683" s="156"/>
      <c r="H1683" s="100"/>
    </row>
    <row r="1684" spans="3:8" x14ac:dyDescent="0.25">
      <c r="C1684" s="100"/>
      <c r="G1684" s="156"/>
      <c r="H1684" s="100"/>
    </row>
    <row r="1685" spans="3:8" x14ac:dyDescent="0.25">
      <c r="C1685" s="100"/>
      <c r="G1685" s="156"/>
      <c r="H1685" s="100"/>
    </row>
    <row r="1686" spans="3:8" x14ac:dyDescent="0.25">
      <c r="C1686" s="100"/>
      <c r="G1686" s="156"/>
      <c r="H1686" s="100"/>
    </row>
    <row r="1687" spans="3:8" x14ac:dyDescent="0.25">
      <c r="C1687" s="100"/>
      <c r="G1687" s="156"/>
      <c r="H1687" s="100"/>
    </row>
    <row r="1688" spans="3:8" x14ac:dyDescent="0.25">
      <c r="C1688" s="100"/>
      <c r="G1688" s="156"/>
      <c r="H1688" s="100"/>
    </row>
    <row r="1689" spans="3:8" x14ac:dyDescent="0.25">
      <c r="C1689" s="100"/>
      <c r="G1689" s="156"/>
      <c r="H1689" s="100"/>
    </row>
    <row r="1690" spans="3:8" x14ac:dyDescent="0.25">
      <c r="C1690" s="100"/>
      <c r="G1690" s="156"/>
      <c r="H1690" s="100"/>
    </row>
    <row r="1691" spans="3:8" x14ac:dyDescent="0.25">
      <c r="C1691" s="100"/>
      <c r="G1691" s="156"/>
      <c r="H1691" s="100"/>
    </row>
    <row r="1692" spans="3:8" x14ac:dyDescent="0.25">
      <c r="C1692" s="100"/>
      <c r="G1692" s="156"/>
      <c r="H1692" s="100"/>
    </row>
    <row r="1693" spans="3:8" x14ac:dyDescent="0.25">
      <c r="C1693" s="100"/>
      <c r="G1693" s="156"/>
      <c r="H1693" s="100"/>
    </row>
    <row r="1694" spans="3:8" x14ac:dyDescent="0.25">
      <c r="C1694" s="100"/>
      <c r="G1694" s="156"/>
      <c r="H1694" s="100"/>
    </row>
    <row r="1695" spans="3:8" x14ac:dyDescent="0.25">
      <c r="C1695" s="100"/>
      <c r="G1695" s="156"/>
      <c r="H1695" s="100"/>
    </row>
    <row r="1696" spans="3:8" x14ac:dyDescent="0.25">
      <c r="C1696" s="100"/>
      <c r="G1696" s="156"/>
      <c r="H1696" s="100"/>
    </row>
    <row r="1697" spans="3:8" x14ac:dyDescent="0.25">
      <c r="C1697" s="100"/>
      <c r="G1697" s="156"/>
      <c r="H1697" s="100"/>
    </row>
    <row r="1698" spans="3:8" x14ac:dyDescent="0.25">
      <c r="C1698" s="100"/>
      <c r="G1698" s="156"/>
      <c r="H1698" s="100"/>
    </row>
    <row r="1699" spans="3:8" x14ac:dyDescent="0.25">
      <c r="C1699" s="100"/>
      <c r="G1699" s="156"/>
      <c r="H1699" s="100"/>
    </row>
    <row r="1700" spans="3:8" x14ac:dyDescent="0.25">
      <c r="C1700" s="100"/>
      <c r="G1700" s="156"/>
      <c r="H1700" s="100"/>
    </row>
    <row r="1701" spans="3:8" x14ac:dyDescent="0.25">
      <c r="C1701" s="100"/>
      <c r="G1701" s="156"/>
      <c r="H1701" s="100"/>
    </row>
    <row r="1702" spans="3:8" x14ac:dyDescent="0.25">
      <c r="C1702" s="100"/>
      <c r="G1702" s="156"/>
      <c r="H1702" s="100"/>
    </row>
    <row r="1703" spans="3:8" x14ac:dyDescent="0.25">
      <c r="C1703" s="100"/>
      <c r="G1703" s="156"/>
      <c r="H1703" s="100"/>
    </row>
    <row r="1704" spans="3:8" x14ac:dyDescent="0.25">
      <c r="C1704" s="100"/>
      <c r="G1704" s="156"/>
      <c r="H1704" s="100"/>
    </row>
    <row r="1705" spans="3:8" x14ac:dyDescent="0.25">
      <c r="C1705" s="100"/>
      <c r="G1705" s="156"/>
      <c r="H1705" s="100"/>
    </row>
    <row r="1706" spans="3:8" x14ac:dyDescent="0.25">
      <c r="C1706" s="100"/>
      <c r="G1706" s="156"/>
      <c r="H1706" s="100"/>
    </row>
    <row r="1707" spans="3:8" x14ac:dyDescent="0.25">
      <c r="C1707" s="100"/>
      <c r="G1707" s="156"/>
      <c r="H1707" s="100"/>
    </row>
    <row r="1708" spans="3:8" x14ac:dyDescent="0.25">
      <c r="C1708" s="100"/>
      <c r="G1708" s="156"/>
      <c r="H1708" s="100"/>
    </row>
    <row r="1709" spans="3:8" x14ac:dyDescent="0.25">
      <c r="C1709" s="100"/>
      <c r="G1709" s="156"/>
      <c r="H1709" s="100"/>
    </row>
    <row r="1710" spans="3:8" x14ac:dyDescent="0.25">
      <c r="C1710" s="100"/>
      <c r="G1710" s="156"/>
      <c r="H1710" s="100"/>
    </row>
    <row r="1711" spans="3:8" x14ac:dyDescent="0.25">
      <c r="C1711" s="100"/>
      <c r="G1711" s="156"/>
      <c r="H1711" s="100"/>
    </row>
    <row r="1712" spans="3:8" x14ac:dyDescent="0.25">
      <c r="C1712" s="100"/>
      <c r="G1712" s="156"/>
      <c r="H1712" s="100"/>
    </row>
    <row r="1713" spans="3:8" x14ac:dyDescent="0.25">
      <c r="C1713" s="100"/>
      <c r="G1713" s="156"/>
      <c r="H1713" s="100"/>
    </row>
    <row r="1714" spans="3:8" x14ac:dyDescent="0.25">
      <c r="C1714" s="100"/>
      <c r="G1714" s="156"/>
      <c r="H1714" s="100"/>
    </row>
    <row r="1715" spans="3:8" x14ac:dyDescent="0.25">
      <c r="C1715" s="100"/>
      <c r="G1715" s="156"/>
      <c r="H1715" s="100"/>
    </row>
    <row r="1716" spans="3:8" x14ac:dyDescent="0.25">
      <c r="C1716" s="100"/>
      <c r="G1716" s="156"/>
      <c r="H1716" s="100"/>
    </row>
    <row r="1717" spans="3:8" x14ac:dyDescent="0.25">
      <c r="C1717" s="100"/>
      <c r="G1717" s="156"/>
      <c r="H1717" s="100"/>
    </row>
    <row r="1718" spans="3:8" x14ac:dyDescent="0.25">
      <c r="C1718" s="100"/>
      <c r="G1718" s="156"/>
      <c r="H1718" s="100"/>
    </row>
    <row r="1719" spans="3:8" x14ac:dyDescent="0.25">
      <c r="C1719" s="100"/>
      <c r="G1719" s="156"/>
      <c r="H1719" s="100"/>
    </row>
    <row r="1720" spans="3:8" x14ac:dyDescent="0.25">
      <c r="C1720" s="100"/>
      <c r="G1720" s="156"/>
      <c r="H1720" s="100"/>
    </row>
    <row r="1721" spans="3:8" x14ac:dyDescent="0.25">
      <c r="C1721" s="100"/>
      <c r="G1721" s="156"/>
      <c r="H1721" s="100"/>
    </row>
    <row r="1722" spans="3:8" x14ac:dyDescent="0.25">
      <c r="C1722" s="100"/>
      <c r="G1722" s="156"/>
      <c r="H1722" s="100"/>
    </row>
    <row r="1723" spans="3:8" x14ac:dyDescent="0.25">
      <c r="C1723" s="100"/>
      <c r="G1723" s="156"/>
      <c r="H1723" s="100"/>
    </row>
    <row r="1724" spans="3:8" x14ac:dyDescent="0.25">
      <c r="C1724" s="100"/>
      <c r="G1724" s="156"/>
      <c r="H1724" s="100"/>
    </row>
    <row r="1725" spans="3:8" x14ac:dyDescent="0.25">
      <c r="C1725" s="100"/>
      <c r="G1725" s="156"/>
      <c r="H1725" s="100"/>
    </row>
    <row r="1726" spans="3:8" x14ac:dyDescent="0.25">
      <c r="C1726" s="100"/>
      <c r="G1726" s="156"/>
      <c r="H1726" s="100"/>
    </row>
    <row r="1727" spans="3:8" x14ac:dyDescent="0.25">
      <c r="C1727" s="100"/>
      <c r="G1727" s="156"/>
      <c r="H1727" s="100"/>
    </row>
    <row r="1728" spans="3:8" x14ac:dyDescent="0.25">
      <c r="C1728" s="100"/>
      <c r="G1728" s="156"/>
      <c r="H1728" s="100"/>
    </row>
    <row r="1729" spans="3:8" x14ac:dyDescent="0.25">
      <c r="C1729" s="100"/>
      <c r="G1729" s="156"/>
      <c r="H1729" s="100"/>
    </row>
    <row r="1730" spans="3:8" x14ac:dyDescent="0.25">
      <c r="C1730" s="100"/>
      <c r="G1730" s="156"/>
      <c r="H1730" s="100"/>
    </row>
    <row r="1731" spans="3:8" x14ac:dyDescent="0.25">
      <c r="C1731" s="100"/>
      <c r="G1731" s="156"/>
      <c r="H1731" s="100"/>
    </row>
    <row r="1732" spans="3:8" x14ac:dyDescent="0.25">
      <c r="C1732" s="100"/>
      <c r="G1732" s="156"/>
      <c r="H1732" s="100"/>
    </row>
    <row r="1733" spans="3:8" x14ac:dyDescent="0.25">
      <c r="C1733" s="100"/>
      <c r="G1733" s="156"/>
      <c r="H1733" s="100"/>
    </row>
    <row r="1734" spans="3:8" x14ac:dyDescent="0.25">
      <c r="C1734" s="100"/>
      <c r="G1734" s="156"/>
      <c r="H1734" s="100"/>
    </row>
    <row r="1735" spans="3:8" x14ac:dyDescent="0.25">
      <c r="C1735" s="100"/>
      <c r="G1735" s="156"/>
      <c r="H1735" s="100"/>
    </row>
    <row r="1736" spans="3:8" x14ac:dyDescent="0.25">
      <c r="C1736" s="100"/>
      <c r="G1736" s="156"/>
      <c r="H1736" s="100"/>
    </row>
    <row r="1737" spans="3:8" x14ac:dyDescent="0.25">
      <c r="C1737" s="100"/>
      <c r="G1737" s="156"/>
      <c r="H1737" s="100"/>
    </row>
    <row r="1738" spans="3:8" x14ac:dyDescent="0.25">
      <c r="C1738" s="100"/>
      <c r="G1738" s="156"/>
      <c r="H1738" s="100"/>
    </row>
    <row r="1739" spans="3:8" x14ac:dyDescent="0.25">
      <c r="C1739" s="100"/>
      <c r="G1739" s="156"/>
      <c r="H1739" s="100"/>
    </row>
    <row r="1740" spans="3:8" x14ac:dyDescent="0.25">
      <c r="C1740" s="100"/>
      <c r="G1740" s="156"/>
      <c r="H1740" s="100"/>
    </row>
    <row r="1741" spans="3:8" x14ac:dyDescent="0.25">
      <c r="C1741" s="100"/>
      <c r="G1741" s="156"/>
      <c r="H1741" s="100"/>
    </row>
    <row r="1742" spans="3:8" x14ac:dyDescent="0.25">
      <c r="C1742" s="100"/>
      <c r="G1742" s="156"/>
      <c r="H1742" s="100"/>
    </row>
    <row r="1743" spans="3:8" x14ac:dyDescent="0.25">
      <c r="C1743" s="100"/>
      <c r="G1743" s="156"/>
      <c r="H1743" s="100"/>
    </row>
    <row r="1744" spans="3:8" x14ac:dyDescent="0.25">
      <c r="C1744" s="100"/>
      <c r="G1744" s="156"/>
      <c r="H1744" s="100"/>
    </row>
    <row r="1745" spans="3:8" x14ac:dyDescent="0.25">
      <c r="C1745" s="100"/>
      <c r="G1745" s="156"/>
      <c r="H1745" s="100"/>
    </row>
    <row r="1746" spans="3:8" x14ac:dyDescent="0.25">
      <c r="C1746" s="100"/>
      <c r="G1746" s="156"/>
      <c r="H1746" s="100"/>
    </row>
    <row r="1747" spans="3:8" x14ac:dyDescent="0.25">
      <c r="C1747" s="100"/>
      <c r="G1747" s="156"/>
      <c r="H1747" s="100"/>
    </row>
    <row r="1748" spans="3:8" x14ac:dyDescent="0.25">
      <c r="C1748" s="100"/>
      <c r="G1748" s="156"/>
      <c r="H1748" s="100"/>
    </row>
    <row r="1749" spans="3:8" x14ac:dyDescent="0.25">
      <c r="C1749" s="100"/>
      <c r="G1749" s="156"/>
      <c r="H1749" s="100"/>
    </row>
    <row r="1750" spans="3:8" x14ac:dyDescent="0.25">
      <c r="C1750" s="100"/>
      <c r="G1750" s="156"/>
      <c r="H1750" s="100"/>
    </row>
    <row r="1751" spans="3:8" x14ac:dyDescent="0.25">
      <c r="C1751" s="100"/>
      <c r="G1751" s="156"/>
      <c r="H1751" s="100"/>
    </row>
    <row r="1752" spans="3:8" x14ac:dyDescent="0.25">
      <c r="C1752" s="100"/>
      <c r="G1752" s="156"/>
      <c r="H1752" s="100"/>
    </row>
    <row r="1753" spans="3:8" x14ac:dyDescent="0.25">
      <c r="C1753" s="100"/>
      <c r="G1753" s="156"/>
      <c r="H1753" s="100"/>
    </row>
    <row r="1754" spans="3:8" x14ac:dyDescent="0.25">
      <c r="C1754" s="100"/>
      <c r="G1754" s="156"/>
      <c r="H1754" s="100"/>
    </row>
    <row r="1755" spans="3:8" x14ac:dyDescent="0.25">
      <c r="C1755" s="100"/>
      <c r="G1755" s="156"/>
      <c r="H1755" s="100"/>
    </row>
    <row r="1756" spans="3:8" x14ac:dyDescent="0.25">
      <c r="C1756" s="100"/>
      <c r="G1756" s="156"/>
      <c r="H1756" s="100"/>
    </row>
    <row r="1757" spans="3:8" x14ac:dyDescent="0.25">
      <c r="C1757" s="100"/>
      <c r="G1757" s="156"/>
      <c r="H1757" s="100"/>
    </row>
    <row r="1758" spans="3:8" x14ac:dyDescent="0.25">
      <c r="C1758" s="100"/>
      <c r="G1758" s="156"/>
      <c r="H1758" s="100"/>
    </row>
    <row r="1759" spans="3:8" x14ac:dyDescent="0.25">
      <c r="C1759" s="100"/>
      <c r="G1759" s="156"/>
      <c r="H1759" s="100"/>
    </row>
    <row r="1760" spans="3:8" x14ac:dyDescent="0.25">
      <c r="C1760" s="100"/>
      <c r="G1760" s="156"/>
      <c r="H1760" s="100"/>
    </row>
    <row r="1761" spans="3:8" x14ac:dyDescent="0.25">
      <c r="C1761" s="100"/>
      <c r="G1761" s="156"/>
      <c r="H1761" s="100"/>
    </row>
    <row r="1762" spans="3:8" x14ac:dyDescent="0.25">
      <c r="C1762" s="100"/>
      <c r="G1762" s="156"/>
      <c r="H1762" s="100"/>
    </row>
    <row r="1763" spans="3:8" x14ac:dyDescent="0.25">
      <c r="C1763" s="100"/>
      <c r="G1763" s="156"/>
      <c r="H1763" s="100"/>
    </row>
    <row r="1764" spans="3:8" x14ac:dyDescent="0.25">
      <c r="C1764" s="100"/>
      <c r="G1764" s="156"/>
      <c r="H1764" s="100"/>
    </row>
    <row r="1765" spans="3:8" x14ac:dyDescent="0.25">
      <c r="C1765" s="100"/>
      <c r="G1765" s="156"/>
      <c r="H1765" s="100"/>
    </row>
    <row r="1766" spans="3:8" x14ac:dyDescent="0.25">
      <c r="C1766" s="100"/>
      <c r="G1766" s="156"/>
      <c r="H1766" s="100"/>
    </row>
    <row r="1767" spans="3:8" x14ac:dyDescent="0.25">
      <c r="C1767" s="100"/>
      <c r="G1767" s="156"/>
      <c r="H1767" s="100"/>
    </row>
    <row r="1768" spans="3:8" x14ac:dyDescent="0.25">
      <c r="C1768" s="100"/>
      <c r="G1768" s="156"/>
      <c r="H1768" s="100"/>
    </row>
    <row r="1769" spans="3:8" x14ac:dyDescent="0.25">
      <c r="C1769" s="100"/>
      <c r="G1769" s="156"/>
      <c r="H1769" s="100"/>
    </row>
    <row r="1770" spans="3:8" x14ac:dyDescent="0.25">
      <c r="C1770" s="100"/>
      <c r="G1770" s="156"/>
      <c r="H1770" s="100"/>
    </row>
    <row r="1771" spans="3:8" x14ac:dyDescent="0.25">
      <c r="C1771" s="100"/>
      <c r="G1771" s="156"/>
      <c r="H1771" s="100"/>
    </row>
    <row r="1772" spans="3:8" x14ac:dyDescent="0.25">
      <c r="C1772" s="100"/>
      <c r="G1772" s="156"/>
      <c r="H1772" s="100"/>
    </row>
    <row r="1773" spans="3:8" x14ac:dyDescent="0.25">
      <c r="C1773" s="100"/>
      <c r="G1773" s="156"/>
      <c r="H1773" s="100"/>
    </row>
    <row r="1774" spans="3:8" x14ac:dyDescent="0.25">
      <c r="C1774" s="100"/>
      <c r="G1774" s="156"/>
      <c r="H1774" s="100"/>
    </row>
    <row r="1775" spans="3:8" x14ac:dyDescent="0.25">
      <c r="C1775" s="100"/>
      <c r="G1775" s="156"/>
      <c r="H1775" s="100"/>
    </row>
    <row r="1776" spans="3:8" x14ac:dyDescent="0.25">
      <c r="C1776" s="100"/>
      <c r="G1776" s="156"/>
      <c r="H1776" s="100"/>
    </row>
    <row r="1777" spans="3:8" x14ac:dyDescent="0.25">
      <c r="C1777" s="100"/>
      <c r="G1777" s="156"/>
      <c r="H1777" s="100"/>
    </row>
    <row r="1778" spans="3:8" x14ac:dyDescent="0.25">
      <c r="C1778" s="100"/>
      <c r="G1778" s="156"/>
      <c r="H1778" s="100"/>
    </row>
    <row r="1779" spans="3:8" x14ac:dyDescent="0.25">
      <c r="C1779" s="100"/>
      <c r="G1779" s="156"/>
      <c r="H1779" s="100"/>
    </row>
    <row r="1780" spans="3:8" x14ac:dyDescent="0.25">
      <c r="C1780" s="100"/>
      <c r="G1780" s="156"/>
      <c r="H1780" s="100"/>
    </row>
    <row r="1781" spans="3:8" x14ac:dyDescent="0.25">
      <c r="C1781" s="100"/>
      <c r="G1781" s="156"/>
      <c r="H1781" s="100"/>
    </row>
    <row r="1782" spans="3:8" x14ac:dyDescent="0.25">
      <c r="C1782" s="100"/>
      <c r="G1782" s="156"/>
      <c r="H1782" s="100"/>
    </row>
    <row r="1783" spans="3:8" x14ac:dyDescent="0.25">
      <c r="C1783" s="100"/>
      <c r="G1783" s="156"/>
      <c r="H1783" s="100"/>
    </row>
    <row r="1784" spans="3:8" x14ac:dyDescent="0.25">
      <c r="C1784" s="100"/>
      <c r="G1784" s="156"/>
      <c r="H1784" s="100"/>
    </row>
    <row r="1785" spans="3:8" x14ac:dyDescent="0.25">
      <c r="C1785" s="100"/>
      <c r="G1785" s="156"/>
      <c r="H1785" s="100"/>
    </row>
    <row r="1786" spans="3:8" x14ac:dyDescent="0.25">
      <c r="C1786" s="100"/>
      <c r="G1786" s="156"/>
      <c r="H1786" s="100"/>
    </row>
    <row r="1787" spans="3:8" x14ac:dyDescent="0.25">
      <c r="C1787" s="100"/>
      <c r="G1787" s="156"/>
      <c r="H1787" s="100"/>
    </row>
    <row r="1788" spans="3:8" x14ac:dyDescent="0.25">
      <c r="C1788" s="100"/>
      <c r="G1788" s="156"/>
      <c r="H1788" s="100"/>
    </row>
    <row r="1789" spans="3:8" x14ac:dyDescent="0.25">
      <c r="C1789" s="100"/>
      <c r="G1789" s="156"/>
      <c r="H1789" s="100"/>
    </row>
    <row r="1790" spans="3:8" x14ac:dyDescent="0.25">
      <c r="C1790" s="100"/>
      <c r="G1790" s="156"/>
      <c r="H1790" s="100"/>
    </row>
    <row r="1791" spans="3:8" x14ac:dyDescent="0.25">
      <c r="C1791" s="100"/>
      <c r="G1791" s="156"/>
      <c r="H1791" s="100"/>
    </row>
    <row r="1792" spans="3:8" x14ac:dyDescent="0.25">
      <c r="C1792" s="100"/>
      <c r="G1792" s="156"/>
      <c r="H1792" s="100"/>
    </row>
    <row r="1793" spans="3:8" x14ac:dyDescent="0.25">
      <c r="C1793" s="100"/>
      <c r="G1793" s="156"/>
      <c r="H1793" s="100"/>
    </row>
    <row r="1794" spans="3:8" x14ac:dyDescent="0.25">
      <c r="C1794" s="100"/>
      <c r="G1794" s="156"/>
      <c r="H1794" s="100"/>
    </row>
    <row r="1795" spans="3:8" x14ac:dyDescent="0.25">
      <c r="C1795" s="100"/>
      <c r="G1795" s="156"/>
      <c r="H1795" s="100"/>
    </row>
    <row r="1796" spans="3:8" x14ac:dyDescent="0.25">
      <c r="C1796" s="100"/>
      <c r="G1796" s="156"/>
      <c r="H1796" s="100"/>
    </row>
    <row r="1797" spans="3:8" x14ac:dyDescent="0.25">
      <c r="C1797" s="100"/>
      <c r="G1797" s="156"/>
      <c r="H1797" s="100"/>
    </row>
    <row r="1798" spans="3:8" x14ac:dyDescent="0.25">
      <c r="C1798" s="100"/>
      <c r="G1798" s="156"/>
      <c r="H1798" s="100"/>
    </row>
    <row r="1799" spans="3:8" x14ac:dyDescent="0.25">
      <c r="C1799" s="100"/>
      <c r="G1799" s="156"/>
      <c r="H1799" s="100"/>
    </row>
    <row r="1800" spans="3:8" x14ac:dyDescent="0.25">
      <c r="C1800" s="100"/>
      <c r="G1800" s="156"/>
      <c r="H1800" s="100"/>
    </row>
    <row r="1801" spans="3:8" x14ac:dyDescent="0.25">
      <c r="C1801" s="100"/>
      <c r="G1801" s="156"/>
      <c r="H1801" s="100"/>
    </row>
    <row r="1802" spans="3:8" x14ac:dyDescent="0.25">
      <c r="C1802" s="100"/>
      <c r="G1802" s="156"/>
      <c r="H1802" s="100"/>
    </row>
    <row r="1803" spans="3:8" x14ac:dyDescent="0.25">
      <c r="C1803" s="100"/>
      <c r="G1803" s="156"/>
      <c r="H1803" s="100"/>
    </row>
    <row r="1804" spans="3:8" x14ac:dyDescent="0.25">
      <c r="C1804" s="100"/>
      <c r="G1804" s="156"/>
      <c r="H1804" s="100"/>
    </row>
    <row r="1805" spans="3:8" x14ac:dyDescent="0.25">
      <c r="C1805" s="100"/>
      <c r="G1805" s="156"/>
      <c r="H1805" s="100"/>
    </row>
    <row r="1806" spans="3:8" x14ac:dyDescent="0.25">
      <c r="C1806" s="100"/>
      <c r="G1806" s="156"/>
      <c r="H1806" s="100"/>
    </row>
    <row r="1807" spans="3:8" x14ac:dyDescent="0.25">
      <c r="C1807" s="100"/>
      <c r="G1807" s="156"/>
      <c r="H1807" s="100"/>
    </row>
    <row r="1808" spans="3:8" x14ac:dyDescent="0.25">
      <c r="C1808" s="100"/>
      <c r="G1808" s="156"/>
      <c r="H1808" s="100"/>
    </row>
    <row r="1809" spans="3:8" x14ac:dyDescent="0.25">
      <c r="C1809" s="100"/>
      <c r="G1809" s="156"/>
      <c r="H1809" s="100"/>
    </row>
    <row r="1810" spans="3:8" x14ac:dyDescent="0.25">
      <c r="C1810" s="100"/>
      <c r="G1810" s="156"/>
      <c r="H1810" s="100"/>
    </row>
    <row r="1811" spans="3:8" x14ac:dyDescent="0.25">
      <c r="C1811" s="100"/>
      <c r="G1811" s="156"/>
      <c r="H1811" s="100"/>
    </row>
    <row r="1812" spans="3:8" x14ac:dyDescent="0.25">
      <c r="C1812" s="100"/>
      <c r="G1812" s="156"/>
      <c r="H1812" s="100"/>
    </row>
    <row r="1813" spans="3:8" x14ac:dyDescent="0.25">
      <c r="C1813" s="100"/>
      <c r="G1813" s="156"/>
      <c r="H1813" s="100"/>
    </row>
    <row r="1814" spans="3:8" x14ac:dyDescent="0.25">
      <c r="C1814" s="100"/>
      <c r="G1814" s="156"/>
      <c r="H1814" s="100"/>
    </row>
    <row r="1815" spans="3:8" x14ac:dyDescent="0.25">
      <c r="C1815" s="100"/>
      <c r="G1815" s="156"/>
      <c r="H1815" s="100"/>
    </row>
    <row r="1816" spans="3:8" x14ac:dyDescent="0.25">
      <c r="C1816" s="100"/>
      <c r="G1816" s="156"/>
      <c r="H1816" s="100"/>
    </row>
    <row r="1817" spans="3:8" x14ac:dyDescent="0.25">
      <c r="C1817" s="100"/>
      <c r="G1817" s="156"/>
      <c r="H1817" s="100"/>
    </row>
    <row r="1818" spans="3:8" x14ac:dyDescent="0.25">
      <c r="C1818" s="100"/>
      <c r="G1818" s="156"/>
      <c r="H1818" s="100"/>
    </row>
    <row r="1819" spans="3:8" x14ac:dyDescent="0.25">
      <c r="C1819" s="100"/>
      <c r="G1819" s="156"/>
      <c r="H1819" s="100"/>
    </row>
    <row r="1820" spans="3:8" x14ac:dyDescent="0.25">
      <c r="C1820" s="100"/>
      <c r="G1820" s="156"/>
      <c r="H1820" s="100"/>
    </row>
    <row r="1821" spans="3:8" x14ac:dyDescent="0.25">
      <c r="C1821" s="100"/>
      <c r="G1821" s="156"/>
      <c r="H1821" s="100"/>
    </row>
    <row r="1822" spans="3:8" x14ac:dyDescent="0.25">
      <c r="C1822" s="100"/>
      <c r="G1822" s="156"/>
      <c r="H1822" s="100"/>
    </row>
    <row r="1823" spans="3:8" x14ac:dyDescent="0.25">
      <c r="C1823" s="100"/>
      <c r="G1823" s="156"/>
      <c r="H1823" s="100"/>
    </row>
    <row r="1824" spans="3:8" x14ac:dyDescent="0.25">
      <c r="C1824" s="100"/>
      <c r="G1824" s="156"/>
      <c r="H1824" s="100"/>
    </row>
    <row r="1825" spans="3:8" x14ac:dyDescent="0.25">
      <c r="C1825" s="100"/>
      <c r="G1825" s="156"/>
      <c r="H1825" s="100"/>
    </row>
    <row r="1826" spans="3:8" x14ac:dyDescent="0.25">
      <c r="C1826" s="100"/>
      <c r="G1826" s="156"/>
      <c r="H1826" s="100"/>
    </row>
    <row r="1827" spans="3:8" x14ac:dyDescent="0.25">
      <c r="C1827" s="100"/>
      <c r="G1827" s="156"/>
      <c r="H1827" s="100"/>
    </row>
    <row r="1828" spans="3:8" x14ac:dyDescent="0.25">
      <c r="C1828" s="100"/>
      <c r="G1828" s="156"/>
      <c r="H1828" s="100"/>
    </row>
    <row r="1829" spans="3:8" x14ac:dyDescent="0.25">
      <c r="C1829" s="100"/>
      <c r="G1829" s="156"/>
      <c r="H1829" s="100"/>
    </row>
    <row r="1830" spans="3:8" x14ac:dyDescent="0.25">
      <c r="C1830" s="100"/>
      <c r="G1830" s="156"/>
      <c r="H1830" s="100"/>
    </row>
    <row r="1831" spans="3:8" x14ac:dyDescent="0.25">
      <c r="C1831" s="100"/>
      <c r="G1831" s="156"/>
      <c r="H1831" s="100"/>
    </row>
    <row r="1832" spans="3:8" x14ac:dyDescent="0.25">
      <c r="C1832" s="100"/>
      <c r="G1832" s="156"/>
      <c r="H1832" s="100"/>
    </row>
    <row r="1833" spans="3:8" x14ac:dyDescent="0.25">
      <c r="C1833" s="100"/>
      <c r="G1833" s="156"/>
      <c r="H1833" s="100"/>
    </row>
    <row r="1834" spans="3:8" x14ac:dyDescent="0.25">
      <c r="C1834" s="100"/>
      <c r="G1834" s="156"/>
      <c r="H1834" s="100"/>
    </row>
    <row r="1835" spans="3:8" x14ac:dyDescent="0.25">
      <c r="C1835" s="100"/>
      <c r="G1835" s="156"/>
      <c r="H1835" s="100"/>
    </row>
    <row r="1836" spans="3:8" x14ac:dyDescent="0.25">
      <c r="C1836" s="100"/>
      <c r="G1836" s="156"/>
      <c r="H1836" s="100"/>
    </row>
    <row r="1837" spans="3:8" x14ac:dyDescent="0.25">
      <c r="C1837" s="100"/>
      <c r="G1837" s="156"/>
      <c r="H1837" s="100"/>
    </row>
    <row r="1838" spans="3:8" x14ac:dyDescent="0.25">
      <c r="C1838" s="100"/>
      <c r="G1838" s="156"/>
      <c r="H1838" s="100"/>
    </row>
    <row r="1839" spans="3:8" x14ac:dyDescent="0.25">
      <c r="C1839" s="100"/>
      <c r="G1839" s="156"/>
      <c r="H1839" s="100"/>
    </row>
    <row r="1840" spans="3:8" x14ac:dyDescent="0.25">
      <c r="C1840" s="100"/>
      <c r="G1840" s="156"/>
      <c r="H1840" s="100"/>
    </row>
    <row r="1841" spans="3:8" x14ac:dyDescent="0.25">
      <c r="C1841" s="100"/>
      <c r="G1841" s="156"/>
      <c r="H1841" s="100"/>
    </row>
    <row r="1842" spans="3:8" x14ac:dyDescent="0.25">
      <c r="C1842" s="100"/>
      <c r="G1842" s="156"/>
      <c r="H1842" s="100"/>
    </row>
    <row r="1843" spans="3:8" x14ac:dyDescent="0.25">
      <c r="C1843" s="100"/>
      <c r="G1843" s="156"/>
      <c r="H1843" s="100"/>
    </row>
    <row r="1844" spans="3:8" x14ac:dyDescent="0.25">
      <c r="C1844" s="100"/>
      <c r="G1844" s="156"/>
      <c r="H1844" s="100"/>
    </row>
    <row r="1845" spans="3:8" x14ac:dyDescent="0.25">
      <c r="C1845" s="100"/>
      <c r="G1845" s="156"/>
      <c r="H1845" s="100"/>
    </row>
    <row r="1846" spans="3:8" x14ac:dyDescent="0.25">
      <c r="C1846" s="100"/>
      <c r="G1846" s="156"/>
      <c r="H1846" s="100"/>
    </row>
    <row r="1847" spans="3:8" x14ac:dyDescent="0.25">
      <c r="C1847" s="100"/>
      <c r="G1847" s="156"/>
      <c r="H1847" s="100"/>
    </row>
    <row r="1848" spans="3:8" x14ac:dyDescent="0.25">
      <c r="C1848" s="100"/>
      <c r="G1848" s="156"/>
      <c r="H1848" s="100"/>
    </row>
    <row r="1849" spans="3:8" x14ac:dyDescent="0.25">
      <c r="C1849" s="100"/>
      <c r="G1849" s="156"/>
      <c r="H1849" s="100"/>
    </row>
    <row r="1850" spans="3:8" x14ac:dyDescent="0.25">
      <c r="C1850" s="100"/>
      <c r="G1850" s="156"/>
      <c r="H1850" s="100"/>
    </row>
    <row r="1851" spans="3:8" x14ac:dyDescent="0.25">
      <c r="C1851" s="100"/>
      <c r="G1851" s="156"/>
      <c r="H1851" s="100"/>
    </row>
    <row r="1852" spans="3:8" x14ac:dyDescent="0.25">
      <c r="C1852" s="100"/>
      <c r="G1852" s="156"/>
      <c r="H1852" s="100"/>
    </row>
    <row r="1853" spans="3:8" x14ac:dyDescent="0.25">
      <c r="C1853" s="100"/>
      <c r="G1853" s="156"/>
      <c r="H1853" s="100"/>
    </row>
    <row r="1854" spans="3:8" x14ac:dyDescent="0.25">
      <c r="C1854" s="100"/>
      <c r="G1854" s="156"/>
      <c r="H1854" s="100"/>
    </row>
    <row r="1855" spans="3:8" x14ac:dyDescent="0.25">
      <c r="C1855" s="100"/>
      <c r="G1855" s="156"/>
      <c r="H1855" s="100"/>
    </row>
    <row r="1856" spans="3:8" x14ac:dyDescent="0.25">
      <c r="C1856" s="100"/>
      <c r="G1856" s="156"/>
      <c r="H1856" s="100"/>
    </row>
    <row r="1857" spans="3:8" x14ac:dyDescent="0.25">
      <c r="C1857" s="100"/>
      <c r="G1857" s="156"/>
      <c r="H1857" s="100"/>
    </row>
    <row r="1858" spans="3:8" x14ac:dyDescent="0.25">
      <c r="C1858" s="100"/>
      <c r="G1858" s="156"/>
      <c r="H1858" s="100"/>
    </row>
    <row r="1859" spans="3:8" x14ac:dyDescent="0.25">
      <c r="C1859" s="100"/>
      <c r="G1859" s="156"/>
      <c r="H1859" s="100"/>
    </row>
    <row r="1860" spans="3:8" x14ac:dyDescent="0.25">
      <c r="C1860" s="100"/>
      <c r="G1860" s="156"/>
      <c r="H1860" s="100"/>
    </row>
    <row r="1861" spans="3:8" x14ac:dyDescent="0.25">
      <c r="C1861" s="100"/>
      <c r="G1861" s="156"/>
      <c r="H1861" s="100"/>
    </row>
    <row r="1862" spans="3:8" x14ac:dyDescent="0.25">
      <c r="C1862" s="100"/>
      <c r="G1862" s="156"/>
      <c r="H1862" s="100"/>
    </row>
    <row r="1863" spans="3:8" x14ac:dyDescent="0.25">
      <c r="C1863" s="100"/>
      <c r="G1863" s="156"/>
      <c r="H1863" s="100"/>
    </row>
    <row r="1864" spans="3:8" x14ac:dyDescent="0.25">
      <c r="C1864" s="100"/>
      <c r="G1864" s="156"/>
      <c r="H1864" s="100"/>
    </row>
    <row r="1865" spans="3:8" x14ac:dyDescent="0.25">
      <c r="C1865" s="100"/>
      <c r="G1865" s="156"/>
      <c r="H1865" s="100"/>
    </row>
    <row r="1866" spans="3:8" x14ac:dyDescent="0.25">
      <c r="C1866" s="100"/>
      <c r="G1866" s="156"/>
      <c r="H1866" s="100"/>
    </row>
    <row r="1867" spans="3:8" x14ac:dyDescent="0.25">
      <c r="C1867" s="100"/>
      <c r="G1867" s="156"/>
      <c r="H1867" s="100"/>
    </row>
    <row r="1868" spans="3:8" x14ac:dyDescent="0.25">
      <c r="C1868" s="100"/>
      <c r="G1868" s="156"/>
      <c r="H1868" s="100"/>
    </row>
    <row r="1869" spans="3:8" x14ac:dyDescent="0.25">
      <c r="C1869" s="100"/>
      <c r="G1869" s="156"/>
      <c r="H1869" s="100"/>
    </row>
    <row r="1870" spans="3:8" x14ac:dyDescent="0.25">
      <c r="C1870" s="100"/>
      <c r="G1870" s="156"/>
      <c r="H1870" s="100"/>
    </row>
    <row r="1871" spans="3:8" x14ac:dyDescent="0.25">
      <c r="C1871" s="100"/>
      <c r="G1871" s="156"/>
      <c r="H1871" s="100"/>
    </row>
    <row r="1872" spans="3:8" x14ac:dyDescent="0.25">
      <c r="C1872" s="100"/>
      <c r="G1872" s="156"/>
      <c r="H1872" s="100"/>
    </row>
    <row r="1873" spans="3:8" x14ac:dyDescent="0.25">
      <c r="C1873" s="100"/>
      <c r="G1873" s="156"/>
      <c r="H1873" s="100"/>
    </row>
    <row r="1874" spans="3:8" x14ac:dyDescent="0.25">
      <c r="C1874" s="100"/>
      <c r="G1874" s="156"/>
      <c r="H1874" s="100"/>
    </row>
    <row r="1875" spans="3:8" x14ac:dyDescent="0.25">
      <c r="C1875" s="100"/>
      <c r="G1875" s="156"/>
      <c r="H1875" s="100"/>
    </row>
    <row r="1876" spans="3:8" x14ac:dyDescent="0.25">
      <c r="C1876" s="100"/>
      <c r="G1876" s="156"/>
      <c r="H1876" s="100"/>
    </row>
    <row r="1877" spans="3:8" x14ac:dyDescent="0.25">
      <c r="C1877" s="100"/>
      <c r="G1877" s="156"/>
      <c r="H1877" s="100"/>
    </row>
    <row r="1878" spans="3:8" x14ac:dyDescent="0.25">
      <c r="C1878" s="100"/>
      <c r="G1878" s="156"/>
      <c r="H1878" s="100"/>
    </row>
    <row r="1879" spans="3:8" x14ac:dyDescent="0.25">
      <c r="C1879" s="100"/>
      <c r="G1879" s="156"/>
      <c r="H1879" s="100"/>
    </row>
    <row r="1880" spans="3:8" x14ac:dyDescent="0.25">
      <c r="C1880" s="100"/>
      <c r="G1880" s="156"/>
      <c r="H1880" s="100"/>
    </row>
    <row r="1881" spans="3:8" x14ac:dyDescent="0.25">
      <c r="C1881" s="100"/>
      <c r="G1881" s="156"/>
      <c r="H1881" s="100"/>
    </row>
    <row r="1882" spans="3:8" x14ac:dyDescent="0.25">
      <c r="C1882" s="100"/>
      <c r="G1882" s="156"/>
      <c r="H1882" s="100"/>
    </row>
    <row r="1883" spans="3:8" x14ac:dyDescent="0.25">
      <c r="C1883" s="100"/>
      <c r="G1883" s="156"/>
      <c r="H1883" s="100"/>
    </row>
    <row r="1884" spans="3:8" x14ac:dyDescent="0.25">
      <c r="C1884" s="100"/>
      <c r="G1884" s="156"/>
      <c r="H1884" s="100"/>
    </row>
    <row r="1885" spans="3:8" x14ac:dyDescent="0.25">
      <c r="C1885" s="100"/>
      <c r="G1885" s="156"/>
      <c r="H1885" s="100"/>
    </row>
    <row r="1886" spans="3:8" x14ac:dyDescent="0.25">
      <c r="C1886" s="100"/>
      <c r="G1886" s="156"/>
      <c r="H1886" s="100"/>
    </row>
    <row r="1887" spans="3:8" x14ac:dyDescent="0.25">
      <c r="C1887" s="100"/>
      <c r="G1887" s="156"/>
      <c r="H1887" s="100"/>
    </row>
    <row r="1888" spans="3:8" x14ac:dyDescent="0.25">
      <c r="C1888" s="100"/>
      <c r="G1888" s="156"/>
      <c r="H1888" s="100"/>
    </row>
    <row r="1889" spans="3:8" x14ac:dyDescent="0.25">
      <c r="C1889" s="100"/>
      <c r="G1889" s="156"/>
      <c r="H1889" s="100"/>
    </row>
    <row r="1890" spans="3:8" x14ac:dyDescent="0.25">
      <c r="C1890" s="100"/>
      <c r="G1890" s="156"/>
      <c r="H1890" s="100"/>
    </row>
    <row r="1891" spans="3:8" x14ac:dyDescent="0.25">
      <c r="C1891" s="100"/>
      <c r="G1891" s="156"/>
      <c r="H1891" s="100"/>
    </row>
    <row r="1892" spans="3:8" x14ac:dyDescent="0.25">
      <c r="C1892" s="100"/>
      <c r="G1892" s="156"/>
      <c r="H1892" s="100"/>
    </row>
    <row r="1893" spans="3:8" x14ac:dyDescent="0.25">
      <c r="C1893" s="100"/>
      <c r="G1893" s="156"/>
      <c r="H1893" s="100"/>
    </row>
    <row r="1894" spans="3:8" x14ac:dyDescent="0.25">
      <c r="C1894" s="100"/>
      <c r="G1894" s="156"/>
      <c r="H1894" s="100"/>
    </row>
    <row r="1895" spans="3:8" x14ac:dyDescent="0.25">
      <c r="C1895" s="100"/>
      <c r="G1895" s="156"/>
      <c r="H1895" s="100"/>
    </row>
    <row r="1896" spans="3:8" x14ac:dyDescent="0.25">
      <c r="C1896" s="100"/>
      <c r="G1896" s="156"/>
      <c r="H1896" s="100"/>
    </row>
    <row r="1897" spans="3:8" x14ac:dyDescent="0.25">
      <c r="C1897" s="100"/>
      <c r="G1897" s="156"/>
      <c r="H1897" s="100"/>
    </row>
    <row r="1898" spans="3:8" x14ac:dyDescent="0.25">
      <c r="C1898" s="100"/>
      <c r="G1898" s="156"/>
      <c r="H1898" s="100"/>
    </row>
    <row r="1899" spans="3:8" x14ac:dyDescent="0.25">
      <c r="C1899" s="100"/>
      <c r="G1899" s="156"/>
      <c r="H1899" s="100"/>
    </row>
    <row r="1900" spans="3:8" x14ac:dyDescent="0.25">
      <c r="C1900" s="100"/>
      <c r="G1900" s="156"/>
      <c r="H1900" s="100"/>
    </row>
    <row r="1901" spans="3:8" x14ac:dyDescent="0.25">
      <c r="C1901" s="100"/>
      <c r="G1901" s="156"/>
      <c r="H1901" s="100"/>
    </row>
    <row r="1902" spans="3:8" x14ac:dyDescent="0.25">
      <c r="C1902" s="100"/>
      <c r="G1902" s="156"/>
      <c r="H1902" s="100"/>
    </row>
    <row r="1903" spans="3:8" x14ac:dyDescent="0.25">
      <c r="C1903" s="100"/>
      <c r="G1903" s="156"/>
      <c r="H1903" s="100"/>
    </row>
    <row r="1904" spans="3:8" x14ac:dyDescent="0.25">
      <c r="C1904" s="100"/>
      <c r="G1904" s="156"/>
      <c r="H1904" s="100"/>
    </row>
    <row r="1905" spans="3:8" x14ac:dyDescent="0.25">
      <c r="C1905" s="100"/>
      <c r="G1905" s="156"/>
      <c r="H1905" s="100"/>
    </row>
    <row r="1906" spans="3:8" x14ac:dyDescent="0.25">
      <c r="C1906" s="100"/>
      <c r="G1906" s="156"/>
      <c r="H1906" s="100"/>
    </row>
    <row r="1907" spans="3:8" x14ac:dyDescent="0.25">
      <c r="C1907" s="100"/>
      <c r="G1907" s="156"/>
      <c r="H1907" s="100"/>
    </row>
    <row r="1908" spans="3:8" x14ac:dyDescent="0.25">
      <c r="C1908" s="100"/>
      <c r="G1908" s="156"/>
      <c r="H1908" s="100"/>
    </row>
    <row r="1909" spans="3:8" x14ac:dyDescent="0.25">
      <c r="C1909" s="100"/>
      <c r="G1909" s="156"/>
      <c r="H1909" s="100"/>
    </row>
    <row r="1910" spans="3:8" x14ac:dyDescent="0.25">
      <c r="C1910" s="100"/>
      <c r="G1910" s="156"/>
      <c r="H1910" s="100"/>
    </row>
    <row r="1911" spans="3:8" x14ac:dyDescent="0.25">
      <c r="C1911" s="100"/>
      <c r="G1911" s="156"/>
      <c r="H1911" s="100"/>
    </row>
    <row r="1912" spans="3:8" x14ac:dyDescent="0.25">
      <c r="C1912" s="100"/>
      <c r="G1912" s="156"/>
      <c r="H1912" s="100"/>
    </row>
    <row r="1913" spans="3:8" x14ac:dyDescent="0.25">
      <c r="C1913" s="100"/>
      <c r="G1913" s="156"/>
      <c r="H1913" s="100"/>
    </row>
    <row r="1914" spans="3:8" x14ac:dyDescent="0.25">
      <c r="C1914" s="100"/>
      <c r="G1914" s="156"/>
      <c r="H1914" s="100"/>
    </row>
    <row r="1915" spans="3:8" x14ac:dyDescent="0.25">
      <c r="C1915" s="100"/>
      <c r="G1915" s="156"/>
      <c r="H1915" s="100"/>
    </row>
    <row r="1916" spans="3:8" x14ac:dyDescent="0.25">
      <c r="C1916" s="100"/>
      <c r="G1916" s="156"/>
      <c r="H1916" s="100"/>
    </row>
    <row r="1917" spans="3:8" x14ac:dyDescent="0.25">
      <c r="C1917" s="100"/>
      <c r="G1917" s="156"/>
      <c r="H1917" s="100"/>
    </row>
    <row r="1918" spans="3:8" x14ac:dyDescent="0.25">
      <c r="C1918" s="100"/>
      <c r="G1918" s="156"/>
      <c r="H1918" s="100"/>
    </row>
    <row r="1919" spans="3:8" x14ac:dyDescent="0.25">
      <c r="C1919" s="100"/>
      <c r="G1919" s="156"/>
      <c r="H1919" s="100"/>
    </row>
    <row r="1920" spans="3:8" x14ac:dyDescent="0.25">
      <c r="C1920" s="100"/>
      <c r="G1920" s="156"/>
      <c r="H1920" s="100"/>
    </row>
    <row r="1921" spans="3:8" x14ac:dyDescent="0.25">
      <c r="C1921" s="100"/>
      <c r="G1921" s="156"/>
      <c r="H1921" s="100"/>
    </row>
    <row r="1922" spans="3:8" x14ac:dyDescent="0.25">
      <c r="C1922" s="100"/>
      <c r="G1922" s="156"/>
      <c r="H1922" s="100"/>
    </row>
    <row r="1923" spans="3:8" x14ac:dyDescent="0.25">
      <c r="C1923" s="100"/>
      <c r="G1923" s="156"/>
      <c r="H1923" s="100"/>
    </row>
    <row r="1924" spans="3:8" x14ac:dyDescent="0.25">
      <c r="C1924" s="100"/>
      <c r="G1924" s="156"/>
      <c r="H1924" s="100"/>
    </row>
    <row r="1925" spans="3:8" x14ac:dyDescent="0.25">
      <c r="C1925" s="100"/>
      <c r="G1925" s="156"/>
      <c r="H1925" s="100"/>
    </row>
    <row r="1926" spans="3:8" x14ac:dyDescent="0.25">
      <c r="C1926" s="100"/>
      <c r="G1926" s="156"/>
      <c r="H1926" s="100"/>
    </row>
    <row r="1927" spans="3:8" x14ac:dyDescent="0.25">
      <c r="C1927" s="100"/>
      <c r="G1927" s="156"/>
      <c r="H1927" s="100"/>
    </row>
    <row r="1928" spans="3:8" x14ac:dyDescent="0.25">
      <c r="C1928" s="100"/>
      <c r="G1928" s="156"/>
      <c r="H1928" s="100"/>
    </row>
    <row r="1929" spans="3:8" x14ac:dyDescent="0.25">
      <c r="C1929" s="100"/>
      <c r="G1929" s="156"/>
      <c r="H1929" s="100"/>
    </row>
    <row r="1930" spans="3:8" x14ac:dyDescent="0.25">
      <c r="C1930" s="100"/>
      <c r="G1930" s="156"/>
      <c r="H1930" s="100"/>
    </row>
    <row r="1931" spans="3:8" x14ac:dyDescent="0.25">
      <c r="C1931" s="100"/>
      <c r="G1931" s="156"/>
      <c r="H1931" s="100"/>
    </row>
    <row r="1932" spans="3:8" x14ac:dyDescent="0.25">
      <c r="C1932" s="100"/>
      <c r="G1932" s="156"/>
      <c r="H1932" s="100"/>
    </row>
    <row r="1933" spans="3:8" x14ac:dyDescent="0.25">
      <c r="C1933" s="100"/>
      <c r="G1933" s="156"/>
      <c r="H1933" s="100"/>
    </row>
    <row r="1934" spans="3:8" x14ac:dyDescent="0.25">
      <c r="C1934" s="100"/>
      <c r="G1934" s="156"/>
      <c r="H1934" s="100"/>
    </row>
    <row r="1935" spans="3:8" x14ac:dyDescent="0.25">
      <c r="C1935" s="100"/>
      <c r="G1935" s="156"/>
      <c r="H1935" s="100"/>
    </row>
    <row r="1936" spans="3:8" x14ac:dyDescent="0.25">
      <c r="C1936" s="100"/>
      <c r="G1936" s="156"/>
      <c r="H1936" s="100"/>
    </row>
    <row r="1937" spans="3:8" x14ac:dyDescent="0.25">
      <c r="C1937" s="100"/>
      <c r="G1937" s="156"/>
      <c r="H1937" s="100"/>
    </row>
    <row r="1938" spans="3:8" x14ac:dyDescent="0.25">
      <c r="C1938" s="100"/>
      <c r="G1938" s="156"/>
      <c r="H1938" s="100"/>
    </row>
    <row r="1939" spans="3:8" x14ac:dyDescent="0.25">
      <c r="C1939" s="100"/>
      <c r="G1939" s="156"/>
      <c r="H1939" s="100"/>
    </row>
    <row r="1940" spans="3:8" x14ac:dyDescent="0.25">
      <c r="C1940" s="100"/>
      <c r="G1940" s="156"/>
      <c r="H1940" s="100"/>
    </row>
    <row r="1941" spans="3:8" x14ac:dyDescent="0.25">
      <c r="C1941" s="100"/>
      <c r="G1941" s="156"/>
      <c r="H1941" s="100"/>
    </row>
    <row r="1942" spans="3:8" x14ac:dyDescent="0.25">
      <c r="C1942" s="100"/>
      <c r="G1942" s="156"/>
      <c r="H1942" s="100"/>
    </row>
    <row r="1943" spans="3:8" x14ac:dyDescent="0.25">
      <c r="C1943" s="100"/>
      <c r="G1943" s="156"/>
      <c r="H1943" s="100"/>
    </row>
    <row r="1944" spans="3:8" x14ac:dyDescent="0.25">
      <c r="C1944" s="100"/>
      <c r="G1944" s="156"/>
      <c r="H1944" s="100"/>
    </row>
    <row r="1945" spans="3:8" x14ac:dyDescent="0.25">
      <c r="C1945" s="100"/>
      <c r="G1945" s="156"/>
      <c r="H1945" s="100"/>
    </row>
    <row r="1946" spans="3:8" x14ac:dyDescent="0.25">
      <c r="C1946" s="100"/>
      <c r="G1946" s="156"/>
      <c r="H1946" s="100"/>
    </row>
    <row r="1947" spans="3:8" x14ac:dyDescent="0.25">
      <c r="C1947" s="100"/>
      <c r="G1947" s="156"/>
      <c r="H1947" s="100"/>
    </row>
    <row r="1948" spans="3:8" x14ac:dyDescent="0.25">
      <c r="C1948" s="100"/>
      <c r="G1948" s="156"/>
      <c r="H1948" s="100"/>
    </row>
    <row r="1949" spans="3:8" x14ac:dyDescent="0.25">
      <c r="C1949" s="100"/>
      <c r="G1949" s="156"/>
      <c r="H1949" s="100"/>
    </row>
    <row r="1950" spans="3:8" x14ac:dyDescent="0.25">
      <c r="C1950" s="100"/>
      <c r="G1950" s="156"/>
      <c r="H1950" s="100"/>
    </row>
    <row r="1951" spans="3:8" x14ac:dyDescent="0.25">
      <c r="C1951" s="100"/>
      <c r="G1951" s="156"/>
      <c r="H1951" s="100"/>
    </row>
    <row r="1952" spans="3:8" x14ac:dyDescent="0.25">
      <c r="C1952" s="100"/>
      <c r="G1952" s="156"/>
      <c r="H1952" s="100"/>
    </row>
    <row r="1953" spans="3:8" x14ac:dyDescent="0.25">
      <c r="C1953" s="100"/>
      <c r="G1953" s="156"/>
      <c r="H1953" s="100"/>
    </row>
    <row r="1954" spans="3:8" x14ac:dyDescent="0.25">
      <c r="C1954" s="100"/>
      <c r="G1954" s="156"/>
      <c r="H1954" s="100"/>
    </row>
    <row r="1955" spans="3:8" x14ac:dyDescent="0.25">
      <c r="C1955" s="100"/>
      <c r="G1955" s="156"/>
      <c r="H1955" s="100"/>
    </row>
    <row r="1956" spans="3:8" x14ac:dyDescent="0.25">
      <c r="C1956" s="100"/>
      <c r="G1956" s="156"/>
      <c r="H1956" s="100"/>
    </row>
    <row r="1957" spans="3:8" x14ac:dyDescent="0.25">
      <c r="C1957" s="100"/>
      <c r="G1957" s="156"/>
      <c r="H1957" s="100"/>
    </row>
    <row r="1958" spans="3:8" x14ac:dyDescent="0.25">
      <c r="C1958" s="100"/>
      <c r="G1958" s="156"/>
      <c r="H1958" s="100"/>
    </row>
    <row r="1959" spans="3:8" x14ac:dyDescent="0.25">
      <c r="C1959" s="100"/>
      <c r="G1959" s="156"/>
      <c r="H1959" s="100"/>
    </row>
    <row r="1960" spans="3:8" x14ac:dyDescent="0.25">
      <c r="C1960" s="100"/>
      <c r="G1960" s="156"/>
      <c r="H1960" s="100"/>
    </row>
    <row r="1961" spans="3:8" x14ac:dyDescent="0.25">
      <c r="C1961" s="100"/>
      <c r="G1961" s="156"/>
      <c r="H1961" s="100"/>
    </row>
    <row r="1962" spans="3:8" x14ac:dyDescent="0.25">
      <c r="C1962" s="100"/>
      <c r="G1962" s="156"/>
      <c r="H1962" s="100"/>
    </row>
    <row r="1963" spans="3:8" x14ac:dyDescent="0.25">
      <c r="C1963" s="100"/>
      <c r="G1963" s="156"/>
      <c r="H1963" s="100"/>
    </row>
    <row r="1964" spans="3:8" x14ac:dyDescent="0.25">
      <c r="C1964" s="100"/>
      <c r="G1964" s="156"/>
      <c r="H1964" s="100"/>
    </row>
    <row r="1965" spans="3:8" x14ac:dyDescent="0.25">
      <c r="C1965" s="100"/>
      <c r="G1965" s="156"/>
      <c r="H1965" s="100"/>
    </row>
    <row r="1966" spans="3:8" x14ac:dyDescent="0.25">
      <c r="C1966" s="100"/>
      <c r="G1966" s="156"/>
      <c r="H1966" s="100"/>
    </row>
    <row r="1967" spans="3:8" x14ac:dyDescent="0.25">
      <c r="C1967" s="100"/>
      <c r="G1967" s="156"/>
      <c r="H1967" s="100"/>
    </row>
    <row r="1968" spans="3:8" x14ac:dyDescent="0.25">
      <c r="C1968" s="100"/>
      <c r="G1968" s="156"/>
      <c r="H1968" s="100"/>
    </row>
    <row r="1969" spans="3:8" x14ac:dyDescent="0.25">
      <c r="C1969" s="100"/>
      <c r="G1969" s="156"/>
      <c r="H1969" s="100"/>
    </row>
    <row r="1970" spans="3:8" x14ac:dyDescent="0.25">
      <c r="C1970" s="100"/>
      <c r="G1970" s="156"/>
      <c r="H1970" s="100"/>
    </row>
    <row r="1971" spans="3:8" x14ac:dyDescent="0.25">
      <c r="C1971" s="100"/>
      <c r="G1971" s="156"/>
      <c r="H1971" s="100"/>
    </row>
    <row r="1972" spans="3:8" x14ac:dyDescent="0.25">
      <c r="C1972" s="100"/>
      <c r="G1972" s="156"/>
      <c r="H1972" s="100"/>
    </row>
    <row r="1973" spans="3:8" x14ac:dyDescent="0.25">
      <c r="C1973" s="100"/>
      <c r="G1973" s="156"/>
      <c r="H1973" s="100"/>
    </row>
    <row r="1974" spans="3:8" x14ac:dyDescent="0.25">
      <c r="C1974" s="100"/>
      <c r="G1974" s="156"/>
      <c r="H1974" s="100"/>
    </row>
    <row r="1975" spans="3:8" x14ac:dyDescent="0.25">
      <c r="C1975" s="100"/>
      <c r="G1975" s="156"/>
      <c r="H1975" s="100"/>
    </row>
    <row r="1976" spans="3:8" x14ac:dyDescent="0.25">
      <c r="C1976" s="100"/>
      <c r="G1976" s="156"/>
      <c r="H1976" s="100"/>
    </row>
    <row r="1977" spans="3:8" x14ac:dyDescent="0.25">
      <c r="C1977" s="100"/>
      <c r="G1977" s="156"/>
      <c r="H1977" s="100"/>
    </row>
    <row r="1978" spans="3:8" x14ac:dyDescent="0.25">
      <c r="C1978" s="100"/>
      <c r="G1978" s="156"/>
      <c r="H1978" s="100"/>
    </row>
    <row r="1979" spans="3:8" x14ac:dyDescent="0.25">
      <c r="C1979" s="100"/>
      <c r="G1979" s="156"/>
      <c r="H1979" s="100"/>
    </row>
    <row r="1980" spans="3:8" x14ac:dyDescent="0.25">
      <c r="C1980" s="100"/>
      <c r="G1980" s="156"/>
      <c r="H1980" s="100"/>
    </row>
    <row r="1981" spans="3:8" x14ac:dyDescent="0.25">
      <c r="C1981" s="100"/>
      <c r="G1981" s="156"/>
      <c r="H1981" s="100"/>
    </row>
    <row r="1982" spans="3:8" x14ac:dyDescent="0.25">
      <c r="C1982" s="100"/>
      <c r="G1982" s="156"/>
      <c r="H1982" s="100"/>
    </row>
    <row r="1983" spans="3:8" x14ac:dyDescent="0.25">
      <c r="C1983" s="100"/>
      <c r="G1983" s="156"/>
      <c r="H1983" s="100"/>
    </row>
    <row r="1984" spans="3:8" x14ac:dyDescent="0.25">
      <c r="C1984" s="100"/>
      <c r="G1984" s="156"/>
      <c r="H1984" s="100"/>
    </row>
    <row r="1985" spans="3:8" x14ac:dyDescent="0.25">
      <c r="C1985" s="100"/>
      <c r="G1985" s="156"/>
      <c r="H1985" s="100"/>
    </row>
    <row r="1986" spans="3:8" x14ac:dyDescent="0.25">
      <c r="C1986" s="100"/>
      <c r="G1986" s="156"/>
      <c r="H1986" s="100"/>
    </row>
    <row r="1987" spans="3:8" x14ac:dyDescent="0.25">
      <c r="C1987" s="100"/>
      <c r="G1987" s="156"/>
      <c r="H1987" s="100"/>
    </row>
    <row r="1988" spans="3:8" x14ac:dyDescent="0.25">
      <c r="C1988" s="100"/>
      <c r="G1988" s="156"/>
      <c r="H1988" s="100"/>
    </row>
    <row r="1989" spans="3:8" x14ac:dyDescent="0.25">
      <c r="C1989" s="100"/>
      <c r="G1989" s="156"/>
      <c r="H1989" s="100"/>
    </row>
    <row r="1990" spans="3:8" x14ac:dyDescent="0.25">
      <c r="C1990" s="100"/>
      <c r="G1990" s="156"/>
      <c r="H1990" s="100"/>
    </row>
    <row r="1991" spans="3:8" x14ac:dyDescent="0.25">
      <c r="C1991" s="100"/>
      <c r="G1991" s="156"/>
      <c r="H1991" s="100"/>
    </row>
    <row r="1992" spans="3:8" x14ac:dyDescent="0.25">
      <c r="C1992" s="100"/>
      <c r="G1992" s="156"/>
      <c r="H1992" s="100"/>
    </row>
    <row r="1993" spans="3:8" x14ac:dyDescent="0.25">
      <c r="C1993" s="100"/>
      <c r="G1993" s="156"/>
      <c r="H1993" s="100"/>
    </row>
    <row r="1994" spans="3:8" x14ac:dyDescent="0.25">
      <c r="C1994" s="100"/>
      <c r="G1994" s="156"/>
      <c r="H1994" s="100"/>
    </row>
    <row r="1995" spans="3:8" x14ac:dyDescent="0.25">
      <c r="C1995" s="100"/>
      <c r="G1995" s="156"/>
      <c r="H1995" s="100"/>
    </row>
    <row r="1996" spans="3:8" x14ac:dyDescent="0.25">
      <c r="C1996" s="100"/>
      <c r="G1996" s="156"/>
      <c r="H1996" s="100"/>
    </row>
    <row r="1997" spans="3:8" x14ac:dyDescent="0.25">
      <c r="C1997" s="100"/>
      <c r="G1997" s="156"/>
      <c r="H1997" s="100"/>
    </row>
    <row r="1998" spans="3:8" x14ac:dyDescent="0.25">
      <c r="C1998" s="100"/>
      <c r="G1998" s="156"/>
      <c r="H1998" s="100"/>
    </row>
    <row r="1999" spans="3:8" x14ac:dyDescent="0.25">
      <c r="C1999" s="100"/>
      <c r="G1999" s="156"/>
      <c r="H1999" s="100"/>
    </row>
    <row r="2000" spans="3:8" x14ac:dyDescent="0.25">
      <c r="C2000" s="100"/>
      <c r="G2000" s="156"/>
      <c r="H2000" s="100"/>
    </row>
    <row r="2001" spans="3:8" x14ac:dyDescent="0.25">
      <c r="C2001" s="100"/>
      <c r="G2001" s="156"/>
      <c r="H2001" s="100"/>
    </row>
    <row r="2002" spans="3:8" x14ac:dyDescent="0.25">
      <c r="C2002" s="100"/>
      <c r="G2002" s="156"/>
      <c r="H2002" s="100"/>
    </row>
    <row r="2003" spans="3:8" x14ac:dyDescent="0.25">
      <c r="C2003" s="100"/>
      <c r="G2003" s="156"/>
      <c r="H2003" s="100"/>
    </row>
    <row r="2004" spans="3:8" x14ac:dyDescent="0.25">
      <c r="C2004" s="100"/>
      <c r="G2004" s="156"/>
      <c r="H2004" s="100"/>
    </row>
    <row r="2005" spans="3:8" x14ac:dyDescent="0.25">
      <c r="C2005" s="100"/>
      <c r="G2005" s="156"/>
      <c r="H2005" s="100"/>
    </row>
    <row r="2006" spans="3:8" x14ac:dyDescent="0.25">
      <c r="C2006" s="100"/>
      <c r="G2006" s="156"/>
      <c r="H2006" s="100"/>
    </row>
    <row r="2007" spans="3:8" x14ac:dyDescent="0.25">
      <c r="C2007" s="100"/>
      <c r="G2007" s="156"/>
      <c r="H2007" s="100"/>
    </row>
    <row r="2008" spans="3:8" x14ac:dyDescent="0.25">
      <c r="C2008" s="100"/>
      <c r="G2008" s="156"/>
      <c r="H2008" s="100"/>
    </row>
    <row r="2009" spans="3:8" x14ac:dyDescent="0.25">
      <c r="C2009" s="100"/>
      <c r="G2009" s="156"/>
      <c r="H2009" s="100"/>
    </row>
    <row r="2010" spans="3:8" x14ac:dyDescent="0.25">
      <c r="C2010" s="100"/>
      <c r="G2010" s="156"/>
      <c r="H2010" s="100"/>
    </row>
    <row r="2011" spans="3:8" x14ac:dyDescent="0.25">
      <c r="C2011" s="100"/>
      <c r="G2011" s="156"/>
      <c r="H2011" s="100"/>
    </row>
    <row r="2012" spans="3:8" x14ac:dyDescent="0.25">
      <c r="C2012" s="100"/>
      <c r="G2012" s="156"/>
      <c r="H2012" s="100"/>
    </row>
    <row r="2013" spans="3:8" x14ac:dyDescent="0.25">
      <c r="C2013" s="100"/>
      <c r="G2013" s="156"/>
      <c r="H2013" s="100"/>
    </row>
    <row r="2014" spans="3:8" x14ac:dyDescent="0.25">
      <c r="C2014" s="100"/>
      <c r="G2014" s="156"/>
      <c r="H2014" s="100"/>
    </row>
    <row r="2015" spans="3:8" x14ac:dyDescent="0.25">
      <c r="C2015" s="100"/>
      <c r="G2015" s="156"/>
      <c r="H2015" s="100"/>
    </row>
    <row r="2016" spans="3:8" x14ac:dyDescent="0.25">
      <c r="C2016" s="100"/>
      <c r="G2016" s="156"/>
      <c r="H2016" s="100"/>
    </row>
    <row r="2017" spans="3:8" x14ac:dyDescent="0.25">
      <c r="C2017" s="100"/>
      <c r="G2017" s="156"/>
      <c r="H2017" s="100"/>
    </row>
    <row r="2018" spans="3:8" x14ac:dyDescent="0.25">
      <c r="C2018" s="100"/>
      <c r="G2018" s="156"/>
      <c r="H2018" s="100"/>
    </row>
    <row r="2019" spans="3:8" x14ac:dyDescent="0.25">
      <c r="C2019" s="100"/>
      <c r="G2019" s="156"/>
      <c r="H2019" s="100"/>
    </row>
    <row r="2020" spans="3:8" x14ac:dyDescent="0.25">
      <c r="C2020" s="100"/>
      <c r="G2020" s="156"/>
      <c r="H2020" s="100"/>
    </row>
    <row r="2021" spans="3:8" x14ac:dyDescent="0.25">
      <c r="C2021" s="100"/>
      <c r="G2021" s="156"/>
      <c r="H2021" s="100"/>
    </row>
    <row r="2022" spans="3:8" x14ac:dyDescent="0.25">
      <c r="C2022" s="100"/>
      <c r="G2022" s="156"/>
      <c r="H2022" s="100"/>
    </row>
    <row r="2023" spans="3:8" x14ac:dyDescent="0.25">
      <c r="C2023" s="100"/>
      <c r="G2023" s="156"/>
      <c r="H2023" s="100"/>
    </row>
    <row r="2024" spans="3:8" x14ac:dyDescent="0.25">
      <c r="C2024" s="100"/>
      <c r="G2024" s="156"/>
      <c r="H2024" s="100"/>
    </row>
    <row r="2025" spans="3:8" x14ac:dyDescent="0.25">
      <c r="C2025" s="100"/>
      <c r="G2025" s="156"/>
      <c r="H2025" s="100"/>
    </row>
    <row r="2026" spans="3:8" x14ac:dyDescent="0.25">
      <c r="C2026" s="100"/>
      <c r="G2026" s="156"/>
      <c r="H2026" s="100"/>
    </row>
    <row r="2027" spans="3:8" x14ac:dyDescent="0.25">
      <c r="C2027" s="100"/>
      <c r="G2027" s="156"/>
      <c r="H2027" s="100"/>
    </row>
    <row r="2028" spans="3:8" x14ac:dyDescent="0.25">
      <c r="C2028" s="100"/>
      <c r="G2028" s="156"/>
      <c r="H2028" s="100"/>
    </row>
    <row r="2029" spans="3:8" x14ac:dyDescent="0.25">
      <c r="C2029" s="100"/>
      <c r="G2029" s="156"/>
      <c r="H2029" s="100"/>
    </row>
    <row r="2030" spans="3:8" x14ac:dyDescent="0.25">
      <c r="C2030" s="100"/>
      <c r="G2030" s="156"/>
      <c r="H2030" s="100"/>
    </row>
    <row r="2031" spans="3:8" x14ac:dyDescent="0.25">
      <c r="C2031" s="100"/>
      <c r="G2031" s="156"/>
      <c r="H2031" s="100"/>
    </row>
    <row r="2032" spans="3:8" x14ac:dyDescent="0.25">
      <c r="C2032" s="100"/>
      <c r="G2032" s="156"/>
      <c r="H2032" s="100"/>
    </row>
    <row r="2033" spans="3:8" x14ac:dyDescent="0.25">
      <c r="C2033" s="100"/>
      <c r="G2033" s="156"/>
      <c r="H2033" s="100"/>
    </row>
    <row r="2034" spans="3:8" x14ac:dyDescent="0.25">
      <c r="C2034" s="100"/>
      <c r="G2034" s="156"/>
      <c r="H2034" s="100"/>
    </row>
    <row r="2035" spans="3:8" x14ac:dyDescent="0.25">
      <c r="C2035" s="100"/>
      <c r="G2035" s="156"/>
      <c r="H2035" s="100"/>
    </row>
    <row r="2036" spans="3:8" x14ac:dyDescent="0.25">
      <c r="C2036" s="100"/>
      <c r="G2036" s="156"/>
      <c r="H2036" s="100"/>
    </row>
    <row r="2037" spans="3:8" x14ac:dyDescent="0.25">
      <c r="C2037" s="100"/>
      <c r="G2037" s="156"/>
      <c r="H2037" s="100"/>
    </row>
    <row r="2038" spans="3:8" x14ac:dyDescent="0.25">
      <c r="C2038" s="100"/>
      <c r="G2038" s="156"/>
      <c r="H2038" s="100"/>
    </row>
    <row r="2039" spans="3:8" x14ac:dyDescent="0.25">
      <c r="C2039" s="100"/>
      <c r="G2039" s="156"/>
      <c r="H2039" s="100"/>
    </row>
    <row r="2040" spans="3:8" x14ac:dyDescent="0.25">
      <c r="C2040" s="100"/>
      <c r="G2040" s="156"/>
      <c r="H2040" s="100"/>
    </row>
    <row r="2041" spans="3:8" x14ac:dyDescent="0.25">
      <c r="C2041" s="100"/>
      <c r="G2041" s="156"/>
      <c r="H2041" s="100"/>
    </row>
    <row r="2042" spans="3:8" x14ac:dyDescent="0.25">
      <c r="C2042" s="100"/>
      <c r="G2042" s="156"/>
      <c r="H2042" s="100"/>
    </row>
    <row r="2043" spans="3:8" x14ac:dyDescent="0.25">
      <c r="C2043" s="100"/>
      <c r="G2043" s="156"/>
      <c r="H2043" s="100"/>
    </row>
    <row r="2044" spans="3:8" x14ac:dyDescent="0.25">
      <c r="C2044" s="100"/>
      <c r="G2044" s="156"/>
      <c r="H2044" s="100"/>
    </row>
    <row r="2045" spans="3:8" x14ac:dyDescent="0.25">
      <c r="C2045" s="100"/>
      <c r="G2045" s="156"/>
      <c r="H2045" s="100"/>
    </row>
    <row r="2046" spans="3:8" x14ac:dyDescent="0.25">
      <c r="C2046" s="100"/>
      <c r="G2046" s="156"/>
      <c r="H2046" s="100"/>
    </row>
    <row r="2047" spans="3:8" x14ac:dyDescent="0.25">
      <c r="C2047" s="100"/>
      <c r="G2047" s="156"/>
      <c r="H2047" s="100"/>
    </row>
    <row r="2048" spans="3:8" x14ac:dyDescent="0.25">
      <c r="C2048" s="100"/>
      <c r="G2048" s="156"/>
      <c r="H2048" s="100"/>
    </row>
    <row r="2049" spans="3:8" x14ac:dyDescent="0.25">
      <c r="C2049" s="100"/>
      <c r="G2049" s="156"/>
      <c r="H2049" s="100"/>
    </row>
    <row r="2050" spans="3:8" x14ac:dyDescent="0.25">
      <c r="C2050" s="100"/>
      <c r="G2050" s="156"/>
      <c r="H2050" s="100"/>
    </row>
    <row r="2051" spans="3:8" x14ac:dyDescent="0.25">
      <c r="C2051" s="100"/>
      <c r="G2051" s="156"/>
      <c r="H2051" s="100"/>
    </row>
    <row r="2052" spans="3:8" x14ac:dyDescent="0.25">
      <c r="C2052" s="100"/>
      <c r="G2052" s="156"/>
      <c r="H2052" s="100"/>
    </row>
    <row r="2053" spans="3:8" x14ac:dyDescent="0.25">
      <c r="C2053" s="100"/>
      <c r="G2053" s="156"/>
      <c r="H2053" s="100"/>
    </row>
    <row r="2054" spans="3:8" x14ac:dyDescent="0.25">
      <c r="C2054" s="100"/>
      <c r="G2054" s="156"/>
      <c r="H2054" s="100"/>
    </row>
    <row r="2055" spans="3:8" x14ac:dyDescent="0.25">
      <c r="C2055" s="100"/>
      <c r="G2055" s="156"/>
      <c r="H2055" s="100"/>
    </row>
    <row r="2056" spans="3:8" x14ac:dyDescent="0.25">
      <c r="C2056" s="100"/>
      <c r="G2056" s="156"/>
      <c r="H2056" s="100"/>
    </row>
    <row r="2057" spans="3:8" x14ac:dyDescent="0.25">
      <c r="C2057" s="100"/>
      <c r="G2057" s="156"/>
      <c r="H2057" s="100"/>
    </row>
    <row r="2058" spans="3:8" x14ac:dyDescent="0.25">
      <c r="C2058" s="100"/>
      <c r="G2058" s="156"/>
      <c r="H2058" s="100"/>
    </row>
    <row r="2059" spans="3:8" x14ac:dyDescent="0.25">
      <c r="C2059" s="100"/>
      <c r="G2059" s="156"/>
      <c r="H2059" s="100"/>
    </row>
    <row r="2060" spans="3:8" x14ac:dyDescent="0.25">
      <c r="C2060" s="100"/>
      <c r="G2060" s="156"/>
      <c r="H2060" s="100"/>
    </row>
    <row r="2061" spans="3:8" x14ac:dyDescent="0.25">
      <c r="C2061" s="100"/>
      <c r="G2061" s="156"/>
      <c r="H2061" s="100"/>
    </row>
    <row r="2062" spans="3:8" x14ac:dyDescent="0.25">
      <c r="C2062" s="100"/>
      <c r="G2062" s="156"/>
      <c r="H2062" s="100"/>
    </row>
    <row r="2063" spans="3:8" x14ac:dyDescent="0.25">
      <c r="C2063" s="100"/>
      <c r="G2063" s="156"/>
      <c r="H2063" s="100"/>
    </row>
    <row r="2064" spans="3:8" x14ac:dyDescent="0.25">
      <c r="C2064" s="100"/>
      <c r="G2064" s="156"/>
      <c r="H2064" s="100"/>
    </row>
    <row r="2065" spans="3:8" x14ac:dyDescent="0.25">
      <c r="C2065" s="100"/>
      <c r="G2065" s="156"/>
      <c r="H2065" s="100"/>
    </row>
    <row r="2066" spans="3:8" x14ac:dyDescent="0.25">
      <c r="C2066" s="100"/>
      <c r="G2066" s="156"/>
      <c r="H2066" s="100"/>
    </row>
    <row r="2067" spans="3:8" x14ac:dyDescent="0.25">
      <c r="C2067" s="100"/>
      <c r="G2067" s="156"/>
      <c r="H2067" s="100"/>
    </row>
    <row r="2068" spans="3:8" x14ac:dyDescent="0.25">
      <c r="C2068" s="100"/>
      <c r="G2068" s="156"/>
      <c r="H2068" s="100"/>
    </row>
    <row r="2069" spans="3:8" x14ac:dyDescent="0.25">
      <c r="C2069" s="100"/>
      <c r="G2069" s="156"/>
      <c r="H2069" s="100"/>
    </row>
    <row r="2070" spans="3:8" x14ac:dyDescent="0.25">
      <c r="C2070" s="100"/>
      <c r="G2070" s="156"/>
      <c r="H2070" s="100"/>
    </row>
    <row r="2071" spans="3:8" x14ac:dyDescent="0.25">
      <c r="C2071" s="100"/>
      <c r="G2071" s="156"/>
      <c r="H2071" s="100"/>
    </row>
    <row r="2072" spans="3:8" x14ac:dyDescent="0.25">
      <c r="C2072" s="100"/>
      <c r="G2072" s="156"/>
      <c r="H2072" s="100"/>
    </row>
    <row r="2073" spans="3:8" x14ac:dyDescent="0.25">
      <c r="C2073" s="100"/>
      <c r="G2073" s="156"/>
      <c r="H2073" s="100"/>
    </row>
    <row r="2074" spans="3:8" x14ac:dyDescent="0.25">
      <c r="C2074" s="100"/>
      <c r="G2074" s="156"/>
      <c r="H2074" s="100"/>
    </row>
    <row r="2075" spans="3:8" x14ac:dyDescent="0.25">
      <c r="C2075" s="100"/>
      <c r="G2075" s="156"/>
      <c r="H2075" s="100"/>
    </row>
    <row r="2076" spans="3:8" x14ac:dyDescent="0.25">
      <c r="C2076" s="100"/>
      <c r="G2076" s="156"/>
      <c r="H2076" s="100"/>
    </row>
    <row r="2077" spans="3:8" x14ac:dyDescent="0.25">
      <c r="C2077" s="100"/>
      <c r="G2077" s="156"/>
      <c r="H2077" s="100"/>
    </row>
    <row r="2078" spans="3:8" x14ac:dyDescent="0.25">
      <c r="C2078" s="100"/>
      <c r="G2078" s="156"/>
      <c r="H2078" s="100"/>
    </row>
    <row r="2079" spans="3:8" x14ac:dyDescent="0.25">
      <c r="C2079" s="100"/>
      <c r="G2079" s="156"/>
      <c r="H2079" s="100"/>
    </row>
    <row r="2080" spans="3:8" x14ac:dyDescent="0.25">
      <c r="C2080" s="100"/>
      <c r="G2080" s="156"/>
      <c r="H2080" s="100"/>
    </row>
    <row r="2081" spans="3:8" x14ac:dyDescent="0.25">
      <c r="C2081" s="100"/>
      <c r="G2081" s="156"/>
      <c r="H2081" s="100"/>
    </row>
    <row r="2082" spans="3:8" x14ac:dyDescent="0.25">
      <c r="C2082" s="100"/>
      <c r="G2082" s="156"/>
      <c r="H2082" s="100"/>
    </row>
    <row r="2083" spans="3:8" x14ac:dyDescent="0.25">
      <c r="C2083" s="100"/>
      <c r="G2083" s="156"/>
      <c r="H2083" s="100"/>
    </row>
    <row r="2084" spans="3:8" x14ac:dyDescent="0.25">
      <c r="C2084" s="100"/>
      <c r="G2084" s="156"/>
      <c r="H2084" s="100"/>
    </row>
    <row r="2085" spans="3:8" x14ac:dyDescent="0.25">
      <c r="C2085" s="100"/>
      <c r="G2085" s="156"/>
      <c r="H2085" s="100"/>
    </row>
    <row r="2086" spans="3:8" x14ac:dyDescent="0.25">
      <c r="C2086" s="100"/>
      <c r="G2086" s="156"/>
      <c r="H2086" s="100"/>
    </row>
    <row r="2087" spans="3:8" x14ac:dyDescent="0.25">
      <c r="C2087" s="100"/>
      <c r="G2087" s="156"/>
      <c r="H2087" s="100"/>
    </row>
    <row r="2088" spans="3:8" x14ac:dyDescent="0.25">
      <c r="C2088" s="100"/>
      <c r="G2088" s="156"/>
      <c r="H2088" s="100"/>
    </row>
    <row r="2089" spans="3:8" x14ac:dyDescent="0.25">
      <c r="C2089" s="100"/>
      <c r="G2089" s="156"/>
      <c r="H2089" s="100"/>
    </row>
    <row r="2090" spans="3:8" x14ac:dyDescent="0.25">
      <c r="C2090" s="100"/>
      <c r="G2090" s="156"/>
      <c r="H2090" s="100"/>
    </row>
    <row r="2091" spans="3:8" x14ac:dyDescent="0.25">
      <c r="C2091" s="100"/>
      <c r="G2091" s="156"/>
      <c r="H2091" s="100"/>
    </row>
    <row r="2092" spans="3:8" x14ac:dyDescent="0.25">
      <c r="C2092" s="100"/>
      <c r="G2092" s="156"/>
      <c r="H2092" s="100"/>
    </row>
    <row r="2093" spans="3:8" x14ac:dyDescent="0.25">
      <c r="C2093" s="100"/>
      <c r="G2093" s="156"/>
      <c r="H2093" s="100"/>
    </row>
    <row r="2094" spans="3:8" x14ac:dyDescent="0.25">
      <c r="C2094" s="100"/>
      <c r="G2094" s="156"/>
      <c r="H2094" s="100"/>
    </row>
    <row r="2095" spans="3:8" x14ac:dyDescent="0.25">
      <c r="C2095" s="100"/>
      <c r="G2095" s="156"/>
      <c r="H2095" s="100"/>
    </row>
    <row r="2096" spans="3:8" x14ac:dyDescent="0.25">
      <c r="C2096" s="100"/>
      <c r="G2096" s="156"/>
      <c r="H2096" s="100"/>
    </row>
    <row r="2097" spans="3:8" x14ac:dyDescent="0.25">
      <c r="C2097" s="100"/>
      <c r="G2097" s="156"/>
      <c r="H2097" s="100"/>
    </row>
    <row r="2098" spans="3:8" x14ac:dyDescent="0.25">
      <c r="C2098" s="100"/>
      <c r="G2098" s="156"/>
      <c r="H2098" s="100"/>
    </row>
    <row r="2099" spans="3:8" x14ac:dyDescent="0.25">
      <c r="C2099" s="100"/>
      <c r="G2099" s="156"/>
      <c r="H2099" s="100"/>
    </row>
    <row r="2100" spans="3:8" x14ac:dyDescent="0.25">
      <c r="C2100" s="100"/>
      <c r="G2100" s="156"/>
      <c r="H2100" s="100"/>
    </row>
    <row r="2101" spans="3:8" x14ac:dyDescent="0.25">
      <c r="C2101" s="100"/>
      <c r="G2101" s="156"/>
      <c r="H2101" s="100"/>
    </row>
    <row r="2102" spans="3:8" x14ac:dyDescent="0.25">
      <c r="C2102" s="100"/>
      <c r="G2102" s="156"/>
      <c r="H2102" s="100"/>
    </row>
    <row r="2103" spans="3:8" x14ac:dyDescent="0.25">
      <c r="C2103" s="100"/>
      <c r="G2103" s="156"/>
      <c r="H2103" s="100"/>
    </row>
    <row r="2104" spans="3:8" x14ac:dyDescent="0.25">
      <c r="C2104" s="100"/>
      <c r="G2104" s="156"/>
      <c r="H2104" s="100"/>
    </row>
    <row r="2105" spans="3:8" x14ac:dyDescent="0.25">
      <c r="C2105" s="100"/>
      <c r="G2105" s="156"/>
      <c r="H2105" s="100"/>
    </row>
    <row r="2106" spans="3:8" x14ac:dyDescent="0.25">
      <c r="C2106" s="100"/>
      <c r="G2106" s="156"/>
      <c r="H2106" s="100"/>
    </row>
    <row r="2107" spans="3:8" x14ac:dyDescent="0.25">
      <c r="C2107" s="100"/>
      <c r="G2107" s="156"/>
      <c r="H2107" s="100"/>
    </row>
    <row r="2108" spans="3:8" x14ac:dyDescent="0.25">
      <c r="C2108" s="100"/>
      <c r="G2108" s="156"/>
      <c r="H2108" s="100"/>
    </row>
    <row r="2109" spans="3:8" x14ac:dyDescent="0.25">
      <c r="C2109" s="100"/>
      <c r="G2109" s="156"/>
      <c r="H2109" s="100"/>
    </row>
    <row r="2110" spans="3:8" x14ac:dyDescent="0.25">
      <c r="C2110" s="100"/>
      <c r="G2110" s="156"/>
      <c r="H2110" s="100"/>
    </row>
    <row r="2111" spans="3:8" x14ac:dyDescent="0.25">
      <c r="C2111" s="100"/>
      <c r="G2111" s="156"/>
      <c r="H2111" s="100"/>
    </row>
    <row r="2112" spans="3:8" x14ac:dyDescent="0.25">
      <c r="C2112" s="100"/>
      <c r="G2112" s="156"/>
      <c r="H2112" s="100"/>
    </row>
    <row r="2113" spans="3:8" x14ac:dyDescent="0.25">
      <c r="C2113" s="100"/>
      <c r="G2113" s="156"/>
      <c r="H2113" s="100"/>
    </row>
    <row r="2114" spans="3:8" x14ac:dyDescent="0.25">
      <c r="C2114" s="100"/>
      <c r="G2114" s="156"/>
      <c r="H2114" s="100"/>
    </row>
    <row r="2115" spans="3:8" x14ac:dyDescent="0.25">
      <c r="C2115" s="100"/>
      <c r="G2115" s="156"/>
      <c r="H2115" s="100"/>
    </row>
    <row r="2116" spans="3:8" x14ac:dyDescent="0.25">
      <c r="C2116" s="100"/>
      <c r="G2116" s="156"/>
      <c r="H2116" s="100"/>
    </row>
    <row r="2117" spans="3:8" x14ac:dyDescent="0.25">
      <c r="C2117" s="100"/>
      <c r="G2117" s="156"/>
      <c r="H2117" s="100"/>
    </row>
    <row r="2118" spans="3:8" x14ac:dyDescent="0.25">
      <c r="C2118" s="100"/>
      <c r="G2118" s="156"/>
      <c r="H2118" s="100"/>
    </row>
    <row r="2119" spans="3:8" x14ac:dyDescent="0.25">
      <c r="C2119" s="100"/>
      <c r="G2119" s="156"/>
      <c r="H2119" s="100"/>
    </row>
    <row r="2120" spans="3:8" x14ac:dyDescent="0.25">
      <c r="C2120" s="100"/>
      <c r="G2120" s="156"/>
      <c r="H2120" s="100"/>
    </row>
    <row r="2121" spans="3:8" x14ac:dyDescent="0.25">
      <c r="C2121" s="100"/>
      <c r="G2121" s="156"/>
      <c r="H2121" s="100"/>
    </row>
    <row r="2122" spans="3:8" x14ac:dyDescent="0.25">
      <c r="C2122" s="100"/>
      <c r="G2122" s="156"/>
      <c r="H2122" s="100"/>
    </row>
    <row r="2123" spans="3:8" x14ac:dyDescent="0.25">
      <c r="C2123" s="100"/>
      <c r="G2123" s="156"/>
      <c r="H2123" s="100"/>
    </row>
    <row r="2124" spans="3:8" x14ac:dyDescent="0.25">
      <c r="C2124" s="100"/>
      <c r="G2124" s="156"/>
      <c r="H2124" s="100"/>
    </row>
    <row r="2125" spans="3:8" x14ac:dyDescent="0.25">
      <c r="C2125" s="100"/>
      <c r="G2125" s="156"/>
      <c r="H2125" s="100"/>
    </row>
    <row r="2126" spans="3:8" x14ac:dyDescent="0.25">
      <c r="C2126" s="100"/>
      <c r="G2126" s="156"/>
      <c r="H2126" s="100"/>
    </row>
    <row r="2127" spans="3:8" x14ac:dyDescent="0.25">
      <c r="C2127" s="100"/>
      <c r="G2127" s="156"/>
      <c r="H2127" s="100"/>
    </row>
    <row r="2128" spans="3:8" x14ac:dyDescent="0.25">
      <c r="C2128" s="100"/>
      <c r="G2128" s="156"/>
      <c r="H2128" s="100"/>
    </row>
    <row r="2129" spans="3:8" x14ac:dyDescent="0.25">
      <c r="C2129" s="100"/>
      <c r="G2129" s="156"/>
      <c r="H2129" s="100"/>
    </row>
    <row r="2130" spans="3:8" x14ac:dyDescent="0.25">
      <c r="C2130" s="100"/>
      <c r="G2130" s="156"/>
      <c r="H2130" s="100"/>
    </row>
    <row r="2131" spans="3:8" x14ac:dyDescent="0.25">
      <c r="C2131" s="100"/>
      <c r="G2131" s="156"/>
      <c r="H2131" s="100"/>
    </row>
    <row r="2132" spans="3:8" x14ac:dyDescent="0.25">
      <c r="C2132" s="100"/>
      <c r="G2132" s="156"/>
      <c r="H2132" s="100"/>
    </row>
    <row r="2133" spans="3:8" x14ac:dyDescent="0.25">
      <c r="C2133" s="100"/>
      <c r="G2133" s="156"/>
      <c r="H2133" s="100"/>
    </row>
    <row r="2134" spans="3:8" x14ac:dyDescent="0.25">
      <c r="C2134" s="100"/>
      <c r="G2134" s="156"/>
      <c r="H2134" s="100"/>
    </row>
    <row r="2135" spans="3:8" x14ac:dyDescent="0.25">
      <c r="C2135" s="100"/>
      <c r="G2135" s="156"/>
      <c r="H2135" s="100"/>
    </row>
    <row r="2136" spans="3:8" x14ac:dyDescent="0.25">
      <c r="C2136" s="100"/>
      <c r="G2136" s="156"/>
      <c r="H2136" s="100"/>
    </row>
    <row r="2137" spans="3:8" x14ac:dyDescent="0.25">
      <c r="C2137" s="100"/>
      <c r="G2137" s="156"/>
      <c r="H2137" s="100"/>
    </row>
    <row r="2138" spans="3:8" x14ac:dyDescent="0.25">
      <c r="C2138" s="100"/>
      <c r="G2138" s="156"/>
      <c r="H2138" s="100"/>
    </row>
    <row r="2139" spans="3:8" x14ac:dyDescent="0.25">
      <c r="C2139" s="100"/>
      <c r="G2139" s="156"/>
      <c r="H2139" s="100"/>
    </row>
    <row r="2140" spans="3:8" x14ac:dyDescent="0.25">
      <c r="C2140" s="100"/>
      <c r="G2140" s="156"/>
      <c r="H2140" s="100"/>
    </row>
    <row r="2141" spans="3:8" x14ac:dyDescent="0.25">
      <c r="C2141" s="100"/>
      <c r="G2141" s="156"/>
      <c r="H2141" s="100"/>
    </row>
    <row r="2142" spans="3:8" x14ac:dyDescent="0.25">
      <c r="C2142" s="100"/>
      <c r="G2142" s="156"/>
      <c r="H2142" s="100"/>
    </row>
    <row r="2143" spans="3:8" x14ac:dyDescent="0.25">
      <c r="C2143" s="100"/>
      <c r="G2143" s="156"/>
      <c r="H2143" s="100"/>
    </row>
    <row r="2144" spans="3:8" x14ac:dyDescent="0.25">
      <c r="C2144" s="100"/>
      <c r="G2144" s="156"/>
      <c r="H2144" s="100"/>
    </row>
    <row r="2145" spans="3:8" x14ac:dyDescent="0.25">
      <c r="C2145" s="100"/>
      <c r="G2145" s="156"/>
      <c r="H2145" s="100"/>
    </row>
    <row r="2146" spans="3:8" x14ac:dyDescent="0.25">
      <c r="C2146" s="100"/>
      <c r="G2146" s="156"/>
      <c r="H2146" s="100"/>
    </row>
    <row r="2147" spans="3:8" x14ac:dyDescent="0.25">
      <c r="C2147" s="100"/>
      <c r="G2147" s="156"/>
      <c r="H2147" s="100"/>
    </row>
    <row r="2148" spans="3:8" x14ac:dyDescent="0.25">
      <c r="C2148" s="100"/>
      <c r="G2148" s="156"/>
      <c r="H2148" s="100"/>
    </row>
    <row r="2149" spans="3:8" x14ac:dyDescent="0.25">
      <c r="C2149" s="100"/>
      <c r="G2149" s="156"/>
      <c r="H2149" s="100"/>
    </row>
    <row r="2150" spans="3:8" x14ac:dyDescent="0.25">
      <c r="C2150" s="100"/>
      <c r="G2150" s="156"/>
      <c r="H2150" s="100"/>
    </row>
    <row r="2151" spans="3:8" x14ac:dyDescent="0.25">
      <c r="C2151" s="100"/>
      <c r="G2151" s="156"/>
      <c r="H2151" s="100"/>
    </row>
    <row r="2152" spans="3:8" x14ac:dyDescent="0.25">
      <c r="C2152" s="100"/>
      <c r="G2152" s="156"/>
      <c r="H2152" s="100"/>
    </row>
    <row r="2153" spans="3:8" x14ac:dyDescent="0.25">
      <c r="C2153" s="100"/>
      <c r="G2153" s="156"/>
      <c r="H2153" s="100"/>
    </row>
    <row r="2154" spans="3:8" x14ac:dyDescent="0.25">
      <c r="C2154" s="100"/>
      <c r="G2154" s="156"/>
      <c r="H2154" s="100"/>
    </row>
    <row r="2155" spans="3:8" x14ac:dyDescent="0.25">
      <c r="C2155" s="100"/>
      <c r="G2155" s="156"/>
      <c r="H2155" s="100"/>
    </row>
    <row r="2156" spans="3:8" x14ac:dyDescent="0.25">
      <c r="C2156" s="100"/>
      <c r="G2156" s="156"/>
      <c r="H2156" s="100"/>
    </row>
    <row r="2157" spans="3:8" x14ac:dyDescent="0.25">
      <c r="C2157" s="100"/>
      <c r="G2157" s="156"/>
      <c r="H2157" s="100"/>
    </row>
    <row r="2158" spans="3:8" x14ac:dyDescent="0.25">
      <c r="C2158" s="100"/>
      <c r="G2158" s="156"/>
      <c r="H2158" s="100"/>
    </row>
    <row r="2159" spans="3:8" x14ac:dyDescent="0.25">
      <c r="C2159" s="100"/>
      <c r="G2159" s="156"/>
      <c r="H2159" s="100"/>
    </row>
    <row r="2160" spans="3:8" x14ac:dyDescent="0.25">
      <c r="C2160" s="100"/>
      <c r="G2160" s="156"/>
      <c r="H2160" s="100"/>
    </row>
    <row r="2161" spans="3:8" x14ac:dyDescent="0.25">
      <c r="C2161" s="100"/>
      <c r="G2161" s="156"/>
      <c r="H2161" s="100"/>
    </row>
    <row r="2162" spans="3:8" x14ac:dyDescent="0.25">
      <c r="C2162" s="100"/>
      <c r="G2162" s="156"/>
      <c r="H2162" s="100"/>
    </row>
    <row r="2163" spans="3:8" x14ac:dyDescent="0.25">
      <c r="C2163" s="100"/>
      <c r="G2163" s="156"/>
      <c r="H2163" s="100"/>
    </row>
    <row r="2164" spans="3:8" x14ac:dyDescent="0.25">
      <c r="C2164" s="100"/>
      <c r="G2164" s="156"/>
      <c r="H2164" s="100"/>
    </row>
    <row r="2165" spans="3:8" x14ac:dyDescent="0.25">
      <c r="C2165" s="100"/>
      <c r="G2165" s="156"/>
      <c r="H2165" s="100"/>
    </row>
    <row r="2166" spans="3:8" x14ac:dyDescent="0.25">
      <c r="C2166" s="100"/>
      <c r="G2166" s="156"/>
      <c r="H2166" s="100"/>
    </row>
    <row r="2167" spans="3:8" x14ac:dyDescent="0.25">
      <c r="C2167" s="100"/>
      <c r="G2167" s="156"/>
      <c r="H2167" s="100"/>
    </row>
    <row r="2168" spans="3:8" x14ac:dyDescent="0.25">
      <c r="C2168" s="100"/>
      <c r="G2168" s="156"/>
      <c r="H2168" s="100"/>
    </row>
    <row r="2169" spans="3:8" x14ac:dyDescent="0.25">
      <c r="C2169" s="100"/>
      <c r="G2169" s="156"/>
      <c r="H2169" s="100"/>
    </row>
    <row r="2170" spans="3:8" x14ac:dyDescent="0.25">
      <c r="C2170" s="100"/>
      <c r="G2170" s="156"/>
      <c r="H2170" s="100"/>
    </row>
    <row r="2171" spans="3:8" x14ac:dyDescent="0.25">
      <c r="C2171" s="100"/>
      <c r="G2171" s="156"/>
      <c r="H2171" s="100"/>
    </row>
    <row r="2172" spans="3:8" x14ac:dyDescent="0.25">
      <c r="C2172" s="100"/>
      <c r="G2172" s="156"/>
      <c r="H2172" s="100"/>
    </row>
    <row r="2173" spans="3:8" x14ac:dyDescent="0.25">
      <c r="C2173" s="100"/>
      <c r="G2173" s="156"/>
      <c r="H2173" s="100"/>
    </row>
    <row r="2174" spans="3:8" x14ac:dyDescent="0.25">
      <c r="C2174" s="100"/>
      <c r="G2174" s="156"/>
      <c r="H2174" s="100"/>
    </row>
    <row r="2175" spans="3:8" x14ac:dyDescent="0.25">
      <c r="C2175" s="100"/>
      <c r="G2175" s="156"/>
      <c r="H2175" s="100"/>
    </row>
    <row r="2176" spans="3:8" x14ac:dyDescent="0.25">
      <c r="C2176" s="100"/>
      <c r="G2176" s="156"/>
      <c r="H2176" s="100"/>
    </row>
    <row r="2177" spans="3:8" x14ac:dyDescent="0.25">
      <c r="C2177" s="100"/>
      <c r="G2177" s="156"/>
      <c r="H2177" s="100"/>
    </row>
    <row r="2178" spans="3:8" x14ac:dyDescent="0.25">
      <c r="C2178" s="100"/>
      <c r="G2178" s="156"/>
      <c r="H2178" s="100"/>
    </row>
    <row r="2179" spans="3:8" x14ac:dyDescent="0.25">
      <c r="C2179" s="100"/>
      <c r="G2179" s="156"/>
      <c r="H2179" s="100"/>
    </row>
    <row r="2180" spans="3:8" x14ac:dyDescent="0.25">
      <c r="C2180" s="100"/>
      <c r="G2180" s="156"/>
      <c r="H2180" s="100"/>
    </row>
    <row r="2181" spans="3:8" x14ac:dyDescent="0.25">
      <c r="C2181" s="100"/>
      <c r="G2181" s="156"/>
      <c r="H2181" s="100"/>
    </row>
    <row r="2182" spans="3:8" x14ac:dyDescent="0.25">
      <c r="C2182" s="100"/>
      <c r="G2182" s="156"/>
      <c r="H2182" s="100"/>
    </row>
    <row r="2183" spans="3:8" x14ac:dyDescent="0.25">
      <c r="C2183" s="100"/>
      <c r="G2183" s="156"/>
      <c r="H2183" s="100"/>
    </row>
    <row r="2184" spans="3:8" x14ac:dyDescent="0.25">
      <c r="C2184" s="100"/>
      <c r="G2184" s="156"/>
      <c r="H2184" s="100"/>
    </row>
    <row r="2185" spans="3:8" x14ac:dyDescent="0.25">
      <c r="C2185" s="100"/>
      <c r="G2185" s="156"/>
      <c r="H2185" s="100"/>
    </row>
    <row r="2186" spans="3:8" x14ac:dyDescent="0.25">
      <c r="C2186" s="100"/>
      <c r="G2186" s="156"/>
      <c r="H2186" s="100"/>
    </row>
    <row r="2187" spans="3:8" x14ac:dyDescent="0.25">
      <c r="C2187" s="100"/>
      <c r="G2187" s="156"/>
      <c r="H2187" s="100"/>
    </row>
    <row r="2188" spans="3:8" x14ac:dyDescent="0.25">
      <c r="C2188" s="100"/>
      <c r="G2188" s="156"/>
      <c r="H2188" s="100"/>
    </row>
    <row r="2189" spans="3:8" x14ac:dyDescent="0.25">
      <c r="C2189" s="100"/>
      <c r="G2189" s="156"/>
      <c r="H2189" s="100"/>
    </row>
    <row r="2190" spans="3:8" x14ac:dyDescent="0.25">
      <c r="C2190" s="100"/>
      <c r="G2190" s="156"/>
      <c r="H2190" s="100"/>
    </row>
    <row r="2191" spans="3:8" x14ac:dyDescent="0.25">
      <c r="C2191" s="100"/>
      <c r="G2191" s="156"/>
      <c r="H2191" s="100"/>
    </row>
    <row r="2192" spans="3:8" x14ac:dyDescent="0.25">
      <c r="C2192" s="100"/>
      <c r="G2192" s="156"/>
      <c r="H2192" s="100"/>
    </row>
    <row r="2193" spans="3:8" x14ac:dyDescent="0.25">
      <c r="C2193" s="100"/>
      <c r="G2193" s="156"/>
      <c r="H2193" s="100"/>
    </row>
    <row r="2194" spans="3:8" x14ac:dyDescent="0.25">
      <c r="C2194" s="100"/>
      <c r="G2194" s="156"/>
      <c r="H2194" s="100"/>
    </row>
    <row r="2195" spans="3:8" x14ac:dyDescent="0.25">
      <c r="C2195" s="100"/>
      <c r="G2195" s="156"/>
      <c r="H2195" s="100"/>
    </row>
    <row r="2196" spans="3:8" x14ac:dyDescent="0.25">
      <c r="C2196" s="100"/>
      <c r="G2196" s="156"/>
      <c r="H2196" s="100"/>
    </row>
    <row r="2197" spans="3:8" x14ac:dyDescent="0.25">
      <c r="C2197" s="100"/>
      <c r="G2197" s="156"/>
      <c r="H2197" s="100"/>
    </row>
    <row r="2198" spans="3:8" x14ac:dyDescent="0.25">
      <c r="C2198" s="100"/>
      <c r="G2198" s="156"/>
      <c r="H2198" s="100"/>
    </row>
    <row r="2199" spans="3:8" x14ac:dyDescent="0.25">
      <c r="C2199" s="100"/>
      <c r="G2199" s="156"/>
      <c r="H2199" s="100"/>
    </row>
    <row r="2200" spans="3:8" x14ac:dyDescent="0.25">
      <c r="C2200" s="100"/>
      <c r="G2200" s="156"/>
      <c r="H2200" s="100"/>
    </row>
    <row r="2201" spans="3:8" x14ac:dyDescent="0.25">
      <c r="C2201" s="100"/>
      <c r="G2201" s="156"/>
      <c r="H2201" s="100"/>
    </row>
    <row r="2202" spans="3:8" x14ac:dyDescent="0.25">
      <c r="C2202" s="100"/>
      <c r="G2202" s="156"/>
      <c r="H2202" s="100"/>
    </row>
    <row r="2203" spans="3:8" x14ac:dyDescent="0.25">
      <c r="C2203" s="100"/>
      <c r="G2203" s="156"/>
      <c r="H2203" s="100"/>
    </row>
    <row r="2204" spans="3:8" x14ac:dyDescent="0.25">
      <c r="C2204" s="100"/>
      <c r="G2204" s="156"/>
      <c r="H2204" s="100"/>
    </row>
    <row r="2205" spans="3:8" x14ac:dyDescent="0.25">
      <c r="C2205" s="100"/>
      <c r="G2205" s="156"/>
      <c r="H2205" s="100"/>
    </row>
    <row r="2206" spans="3:8" x14ac:dyDescent="0.25">
      <c r="C2206" s="100"/>
      <c r="G2206" s="156"/>
      <c r="H2206" s="100"/>
    </row>
    <row r="2207" spans="3:8" x14ac:dyDescent="0.25">
      <c r="C2207" s="100"/>
      <c r="G2207" s="156"/>
      <c r="H2207" s="100"/>
    </row>
    <row r="2208" spans="3:8" x14ac:dyDescent="0.25">
      <c r="C2208" s="100"/>
      <c r="G2208" s="156"/>
      <c r="H2208" s="100"/>
    </row>
    <row r="2209" spans="3:8" x14ac:dyDescent="0.25">
      <c r="C2209" s="100"/>
      <c r="G2209" s="156"/>
      <c r="H2209" s="100"/>
    </row>
    <row r="2210" spans="3:8" x14ac:dyDescent="0.25">
      <c r="C2210" s="100"/>
      <c r="G2210" s="156"/>
      <c r="H2210" s="100"/>
    </row>
    <row r="2211" spans="3:8" x14ac:dyDescent="0.25">
      <c r="C2211" s="100"/>
      <c r="G2211" s="156"/>
      <c r="H2211" s="100"/>
    </row>
    <row r="2212" spans="3:8" x14ac:dyDescent="0.25">
      <c r="C2212" s="100"/>
      <c r="G2212" s="156"/>
      <c r="H2212" s="100"/>
    </row>
    <row r="2213" spans="3:8" x14ac:dyDescent="0.25">
      <c r="C2213" s="100"/>
      <c r="G2213" s="156"/>
      <c r="H2213" s="100"/>
    </row>
    <row r="2214" spans="3:8" x14ac:dyDescent="0.25">
      <c r="C2214" s="100"/>
      <c r="G2214" s="156"/>
      <c r="H2214" s="100"/>
    </row>
    <row r="2215" spans="3:8" x14ac:dyDescent="0.25">
      <c r="C2215" s="100"/>
      <c r="G2215" s="156"/>
      <c r="H2215" s="100"/>
    </row>
    <row r="2216" spans="3:8" x14ac:dyDescent="0.25">
      <c r="C2216" s="100"/>
      <c r="G2216" s="156"/>
      <c r="H2216" s="100"/>
    </row>
    <row r="2217" spans="3:8" x14ac:dyDescent="0.25">
      <c r="C2217" s="100"/>
      <c r="G2217" s="156"/>
      <c r="H2217" s="100"/>
    </row>
    <row r="2218" spans="3:8" x14ac:dyDescent="0.25">
      <c r="C2218" s="100"/>
      <c r="G2218" s="156"/>
      <c r="H2218" s="100"/>
    </row>
    <row r="2219" spans="3:8" x14ac:dyDescent="0.25">
      <c r="C2219" s="100"/>
      <c r="G2219" s="156"/>
      <c r="H2219" s="100"/>
    </row>
    <row r="2220" spans="3:8" x14ac:dyDescent="0.25">
      <c r="C2220" s="100"/>
      <c r="G2220" s="156"/>
      <c r="H2220" s="100"/>
    </row>
    <row r="2221" spans="3:8" x14ac:dyDescent="0.25">
      <c r="C2221" s="100"/>
      <c r="G2221" s="156"/>
      <c r="H2221" s="100"/>
    </row>
    <row r="2222" spans="3:8" x14ac:dyDescent="0.25">
      <c r="C2222" s="100"/>
      <c r="G2222" s="156"/>
      <c r="H2222" s="100"/>
    </row>
    <row r="2223" spans="3:8" x14ac:dyDescent="0.25">
      <c r="C2223" s="100"/>
      <c r="G2223" s="156"/>
      <c r="H2223" s="100"/>
    </row>
    <row r="2224" spans="3:8" x14ac:dyDescent="0.25">
      <c r="C2224" s="100"/>
      <c r="G2224" s="156"/>
      <c r="H2224" s="100"/>
    </row>
    <row r="2225" spans="3:8" x14ac:dyDescent="0.25">
      <c r="C2225" s="100"/>
      <c r="G2225" s="156"/>
      <c r="H2225" s="100"/>
    </row>
    <row r="2226" spans="3:8" x14ac:dyDescent="0.25">
      <c r="C2226" s="100"/>
      <c r="G2226" s="156"/>
      <c r="H2226" s="100"/>
    </row>
    <row r="2227" spans="3:8" x14ac:dyDescent="0.25">
      <c r="C2227" s="100"/>
      <c r="G2227" s="156"/>
      <c r="H2227" s="100"/>
    </row>
    <row r="2228" spans="3:8" x14ac:dyDescent="0.25">
      <c r="C2228" s="100"/>
      <c r="G2228" s="156"/>
      <c r="H2228" s="100"/>
    </row>
    <row r="2229" spans="3:8" x14ac:dyDescent="0.25">
      <c r="C2229" s="100"/>
      <c r="G2229" s="156"/>
      <c r="H2229" s="100"/>
    </row>
    <row r="2230" spans="3:8" x14ac:dyDescent="0.25">
      <c r="C2230" s="100"/>
      <c r="G2230" s="156"/>
      <c r="H2230" s="100"/>
    </row>
    <row r="2231" spans="3:8" x14ac:dyDescent="0.25">
      <c r="C2231" s="100"/>
      <c r="G2231" s="156"/>
      <c r="H2231" s="100"/>
    </row>
    <row r="2232" spans="3:8" x14ac:dyDescent="0.25">
      <c r="C2232" s="100"/>
      <c r="G2232" s="156"/>
      <c r="H2232" s="100"/>
    </row>
    <row r="2233" spans="3:8" x14ac:dyDescent="0.25">
      <c r="C2233" s="100"/>
      <c r="G2233" s="156"/>
      <c r="H2233" s="100"/>
    </row>
    <row r="2234" spans="3:8" x14ac:dyDescent="0.25">
      <c r="C2234" s="100"/>
      <c r="G2234" s="156"/>
      <c r="H2234" s="100"/>
    </row>
    <row r="2235" spans="3:8" x14ac:dyDescent="0.25">
      <c r="C2235" s="100"/>
      <c r="G2235" s="156"/>
      <c r="H2235" s="100"/>
    </row>
    <row r="2236" spans="3:8" x14ac:dyDescent="0.25">
      <c r="C2236" s="100"/>
      <c r="G2236" s="156"/>
      <c r="H2236" s="100"/>
    </row>
    <row r="2237" spans="3:8" x14ac:dyDescent="0.25">
      <c r="C2237" s="100"/>
      <c r="G2237" s="156"/>
      <c r="H2237" s="100"/>
    </row>
    <row r="2238" spans="3:8" x14ac:dyDescent="0.25">
      <c r="C2238" s="100"/>
      <c r="G2238" s="156"/>
      <c r="H2238" s="100"/>
    </row>
    <row r="2239" spans="3:8" x14ac:dyDescent="0.25">
      <c r="C2239" s="100"/>
      <c r="G2239" s="156"/>
      <c r="H2239" s="100"/>
    </row>
    <row r="2240" spans="3:8" x14ac:dyDescent="0.25">
      <c r="C2240" s="100"/>
      <c r="G2240" s="156"/>
      <c r="H2240" s="100"/>
    </row>
    <row r="2241" spans="3:8" x14ac:dyDescent="0.25">
      <c r="C2241" s="100"/>
      <c r="G2241" s="156"/>
      <c r="H2241" s="100"/>
    </row>
    <row r="2242" spans="3:8" x14ac:dyDescent="0.25">
      <c r="C2242" s="100"/>
      <c r="G2242" s="156"/>
      <c r="H2242" s="100"/>
    </row>
    <row r="2243" spans="3:8" x14ac:dyDescent="0.25">
      <c r="C2243" s="100"/>
      <c r="G2243" s="156"/>
      <c r="H2243" s="100"/>
    </row>
    <row r="2244" spans="3:8" x14ac:dyDescent="0.25">
      <c r="C2244" s="100"/>
      <c r="G2244" s="156"/>
      <c r="H2244" s="100"/>
    </row>
    <row r="2245" spans="3:8" x14ac:dyDescent="0.25">
      <c r="C2245" s="100"/>
      <c r="G2245" s="156"/>
      <c r="H2245" s="100"/>
    </row>
    <row r="2246" spans="3:8" x14ac:dyDescent="0.25">
      <c r="C2246" s="100"/>
      <c r="G2246" s="156"/>
      <c r="H2246" s="100"/>
    </row>
    <row r="2247" spans="3:8" x14ac:dyDescent="0.25">
      <c r="C2247" s="100"/>
      <c r="G2247" s="156"/>
      <c r="H2247" s="100"/>
    </row>
    <row r="2248" spans="3:8" x14ac:dyDescent="0.25">
      <c r="C2248" s="100"/>
      <c r="G2248" s="156"/>
      <c r="H2248" s="100"/>
    </row>
    <row r="2249" spans="3:8" x14ac:dyDescent="0.25">
      <c r="C2249" s="100"/>
      <c r="G2249" s="156"/>
      <c r="H2249" s="100"/>
    </row>
    <row r="2250" spans="3:8" x14ac:dyDescent="0.25">
      <c r="C2250" s="100"/>
      <c r="G2250" s="156"/>
      <c r="H2250" s="100"/>
    </row>
    <row r="2251" spans="3:8" x14ac:dyDescent="0.25">
      <c r="C2251" s="100"/>
      <c r="G2251" s="156"/>
      <c r="H2251" s="100"/>
    </row>
    <row r="2252" spans="3:8" x14ac:dyDescent="0.25">
      <c r="C2252" s="100"/>
      <c r="G2252" s="156"/>
      <c r="H2252" s="100"/>
    </row>
    <row r="2253" spans="3:8" x14ac:dyDescent="0.25">
      <c r="C2253" s="100"/>
      <c r="G2253" s="156"/>
      <c r="H2253" s="100"/>
    </row>
    <row r="2254" spans="3:8" x14ac:dyDescent="0.25">
      <c r="C2254" s="100"/>
      <c r="G2254" s="156"/>
      <c r="H2254" s="100"/>
    </row>
    <row r="2255" spans="3:8" x14ac:dyDescent="0.25">
      <c r="C2255" s="100"/>
      <c r="G2255" s="156"/>
      <c r="H2255" s="100"/>
    </row>
    <row r="2256" spans="3:8" x14ac:dyDescent="0.25">
      <c r="C2256" s="100"/>
      <c r="G2256" s="156"/>
      <c r="H2256" s="100"/>
    </row>
    <row r="2257" spans="3:8" x14ac:dyDescent="0.25">
      <c r="C2257" s="100"/>
      <c r="G2257" s="156"/>
      <c r="H2257" s="100"/>
    </row>
    <row r="2258" spans="3:8" x14ac:dyDescent="0.25">
      <c r="C2258" s="100"/>
      <c r="G2258" s="156"/>
      <c r="H2258" s="100"/>
    </row>
    <row r="2259" spans="3:8" x14ac:dyDescent="0.25">
      <c r="C2259" s="100"/>
      <c r="G2259" s="156"/>
      <c r="H2259" s="100"/>
    </row>
    <row r="2260" spans="3:8" x14ac:dyDescent="0.25">
      <c r="C2260" s="100"/>
      <c r="G2260" s="156"/>
      <c r="H2260" s="100"/>
    </row>
    <row r="2261" spans="3:8" x14ac:dyDescent="0.25">
      <c r="C2261" s="100"/>
      <c r="G2261" s="156"/>
      <c r="H2261" s="100"/>
    </row>
    <row r="2262" spans="3:8" x14ac:dyDescent="0.25">
      <c r="C2262" s="100"/>
      <c r="G2262" s="156"/>
      <c r="H2262" s="100"/>
    </row>
    <row r="2263" spans="3:8" x14ac:dyDescent="0.25">
      <c r="C2263" s="100"/>
      <c r="G2263" s="156"/>
      <c r="H2263" s="100"/>
    </row>
    <row r="2264" spans="3:8" x14ac:dyDescent="0.25">
      <c r="C2264" s="100"/>
      <c r="G2264" s="156"/>
      <c r="H2264" s="100"/>
    </row>
    <row r="2265" spans="3:8" x14ac:dyDescent="0.25">
      <c r="C2265" s="100"/>
      <c r="G2265" s="156"/>
      <c r="H2265" s="100"/>
    </row>
    <row r="2266" spans="3:8" x14ac:dyDescent="0.25">
      <c r="C2266" s="100"/>
      <c r="G2266" s="156"/>
      <c r="H2266" s="100"/>
    </row>
    <row r="2267" spans="3:8" x14ac:dyDescent="0.25">
      <c r="C2267" s="100"/>
      <c r="G2267" s="156"/>
      <c r="H2267" s="100"/>
    </row>
    <row r="2268" spans="3:8" x14ac:dyDescent="0.25">
      <c r="C2268" s="100"/>
      <c r="G2268" s="156"/>
      <c r="H2268" s="100"/>
    </row>
    <row r="2269" spans="3:8" x14ac:dyDescent="0.25">
      <c r="C2269" s="100"/>
      <c r="G2269" s="156"/>
      <c r="H2269" s="100"/>
    </row>
    <row r="2270" spans="3:8" x14ac:dyDescent="0.25">
      <c r="C2270" s="100"/>
      <c r="G2270" s="156"/>
      <c r="H2270" s="100"/>
    </row>
    <row r="2271" spans="3:8" x14ac:dyDescent="0.25">
      <c r="C2271" s="100"/>
      <c r="G2271" s="156"/>
      <c r="H2271" s="100"/>
    </row>
    <row r="2272" spans="3:8" x14ac:dyDescent="0.25">
      <c r="C2272" s="100"/>
      <c r="G2272" s="156"/>
      <c r="H2272" s="100"/>
    </row>
    <row r="2273" spans="3:8" x14ac:dyDescent="0.25">
      <c r="C2273" s="100"/>
      <c r="G2273" s="156"/>
      <c r="H2273" s="100"/>
    </row>
    <row r="2274" spans="3:8" x14ac:dyDescent="0.25">
      <c r="C2274" s="100"/>
      <c r="G2274" s="156"/>
      <c r="H2274" s="100"/>
    </row>
    <row r="2275" spans="3:8" x14ac:dyDescent="0.25">
      <c r="C2275" s="100"/>
      <c r="G2275" s="156"/>
      <c r="H2275" s="100"/>
    </row>
    <row r="2276" spans="3:8" x14ac:dyDescent="0.25">
      <c r="C2276" s="100"/>
      <c r="G2276" s="156"/>
      <c r="H2276" s="100"/>
    </row>
    <row r="2277" spans="3:8" x14ac:dyDescent="0.25">
      <c r="C2277" s="100"/>
      <c r="G2277" s="156"/>
      <c r="H2277" s="100"/>
    </row>
    <row r="2278" spans="3:8" x14ac:dyDescent="0.25">
      <c r="C2278" s="100"/>
      <c r="G2278" s="156"/>
      <c r="H2278" s="100"/>
    </row>
    <row r="2279" spans="3:8" x14ac:dyDescent="0.25">
      <c r="C2279" s="100"/>
      <c r="G2279" s="156"/>
      <c r="H2279" s="100"/>
    </row>
    <row r="2280" spans="3:8" x14ac:dyDescent="0.25">
      <c r="C2280" s="100"/>
      <c r="G2280" s="156"/>
      <c r="H2280" s="100"/>
    </row>
    <row r="2281" spans="3:8" x14ac:dyDescent="0.25">
      <c r="C2281" s="100"/>
      <c r="G2281" s="156"/>
      <c r="H2281" s="100"/>
    </row>
    <row r="2282" spans="3:8" x14ac:dyDescent="0.25">
      <c r="C2282" s="100"/>
      <c r="G2282" s="156"/>
      <c r="H2282" s="100"/>
    </row>
    <row r="2283" spans="3:8" x14ac:dyDescent="0.25">
      <c r="C2283" s="100"/>
      <c r="G2283" s="156"/>
      <c r="H2283" s="100"/>
    </row>
    <row r="2284" spans="3:8" x14ac:dyDescent="0.25">
      <c r="C2284" s="100"/>
      <c r="G2284" s="156"/>
      <c r="H2284" s="100"/>
    </row>
    <row r="2285" spans="3:8" x14ac:dyDescent="0.25">
      <c r="C2285" s="100"/>
      <c r="G2285" s="156"/>
      <c r="H2285" s="100"/>
    </row>
    <row r="2286" spans="3:8" x14ac:dyDescent="0.25">
      <c r="C2286" s="100"/>
      <c r="G2286" s="156"/>
      <c r="H2286" s="100"/>
    </row>
    <row r="2287" spans="3:8" x14ac:dyDescent="0.25">
      <c r="C2287" s="100"/>
      <c r="G2287" s="156"/>
      <c r="H2287" s="100"/>
    </row>
    <row r="2288" spans="3:8" x14ac:dyDescent="0.25">
      <c r="C2288" s="100"/>
      <c r="G2288" s="156"/>
      <c r="H2288" s="100"/>
    </row>
    <row r="2289" spans="3:8" x14ac:dyDescent="0.25">
      <c r="C2289" s="100"/>
      <c r="G2289" s="156"/>
      <c r="H2289" s="100"/>
    </row>
    <row r="2290" spans="3:8" x14ac:dyDescent="0.25">
      <c r="C2290" s="100"/>
      <c r="G2290" s="156"/>
      <c r="H2290" s="100"/>
    </row>
    <row r="2291" spans="3:8" x14ac:dyDescent="0.25">
      <c r="C2291" s="100"/>
      <c r="G2291" s="156"/>
      <c r="H2291" s="100"/>
    </row>
    <row r="2292" spans="3:8" x14ac:dyDescent="0.25">
      <c r="C2292" s="100"/>
      <c r="G2292" s="156"/>
      <c r="H2292" s="100"/>
    </row>
    <row r="2293" spans="3:8" x14ac:dyDescent="0.25">
      <c r="C2293" s="100"/>
      <c r="G2293" s="156"/>
      <c r="H2293" s="100"/>
    </row>
    <row r="2294" spans="3:8" x14ac:dyDescent="0.25">
      <c r="C2294" s="100"/>
      <c r="G2294" s="156"/>
      <c r="H2294" s="100"/>
    </row>
    <row r="2295" spans="3:8" x14ac:dyDescent="0.25">
      <c r="C2295" s="100"/>
      <c r="G2295" s="156"/>
      <c r="H2295" s="100"/>
    </row>
    <row r="2296" spans="3:8" x14ac:dyDescent="0.25">
      <c r="C2296" s="100"/>
      <c r="G2296" s="156"/>
      <c r="H2296" s="100"/>
    </row>
    <row r="2297" spans="3:8" x14ac:dyDescent="0.25">
      <c r="C2297" s="100"/>
      <c r="G2297" s="156"/>
      <c r="H2297" s="100"/>
    </row>
    <row r="2298" spans="3:8" x14ac:dyDescent="0.25">
      <c r="C2298" s="100"/>
      <c r="G2298" s="156"/>
      <c r="H2298" s="100"/>
    </row>
    <row r="2299" spans="3:8" x14ac:dyDescent="0.25">
      <c r="C2299" s="100"/>
      <c r="G2299" s="156"/>
      <c r="H2299" s="100"/>
    </row>
    <row r="2300" spans="3:8" x14ac:dyDescent="0.25">
      <c r="C2300" s="100"/>
      <c r="G2300" s="156"/>
      <c r="H2300" s="100"/>
    </row>
    <row r="2301" spans="3:8" x14ac:dyDescent="0.25">
      <c r="C2301" s="100"/>
      <c r="G2301" s="156"/>
      <c r="H2301" s="100"/>
    </row>
    <row r="2302" spans="3:8" x14ac:dyDescent="0.25">
      <c r="C2302" s="100"/>
      <c r="G2302" s="156"/>
      <c r="H2302" s="100"/>
    </row>
    <row r="2303" spans="3:8" x14ac:dyDescent="0.25">
      <c r="C2303" s="100"/>
      <c r="G2303" s="156"/>
      <c r="H2303" s="100"/>
    </row>
    <row r="2304" spans="3:8" x14ac:dyDescent="0.25">
      <c r="C2304" s="100"/>
      <c r="G2304" s="156"/>
      <c r="H2304" s="100"/>
    </row>
    <row r="2305" spans="3:8" x14ac:dyDescent="0.25">
      <c r="C2305" s="100"/>
      <c r="G2305" s="156"/>
      <c r="H2305" s="100"/>
    </row>
    <row r="2306" spans="3:8" x14ac:dyDescent="0.25">
      <c r="C2306" s="100"/>
      <c r="G2306" s="156"/>
      <c r="H2306" s="100"/>
    </row>
    <row r="2307" spans="3:8" x14ac:dyDescent="0.25">
      <c r="C2307" s="100"/>
      <c r="G2307" s="156"/>
      <c r="H2307" s="100"/>
    </row>
    <row r="2308" spans="3:8" x14ac:dyDescent="0.25">
      <c r="C2308" s="100"/>
      <c r="G2308" s="156"/>
      <c r="H2308" s="100"/>
    </row>
    <row r="2309" spans="3:8" x14ac:dyDescent="0.25">
      <c r="C2309" s="100"/>
      <c r="G2309" s="156"/>
      <c r="H2309" s="100"/>
    </row>
    <row r="2310" spans="3:8" x14ac:dyDescent="0.25">
      <c r="C2310" s="100"/>
      <c r="G2310" s="156"/>
      <c r="H2310" s="100"/>
    </row>
    <row r="2311" spans="3:8" x14ac:dyDescent="0.25">
      <c r="C2311" s="100"/>
      <c r="G2311" s="156"/>
      <c r="H2311" s="100"/>
    </row>
    <row r="2312" spans="3:8" x14ac:dyDescent="0.25">
      <c r="C2312" s="100"/>
      <c r="G2312" s="156"/>
      <c r="H2312" s="100"/>
    </row>
    <row r="2313" spans="3:8" x14ac:dyDescent="0.25">
      <c r="C2313" s="100"/>
      <c r="G2313" s="156"/>
      <c r="H2313" s="100"/>
    </row>
    <row r="2314" spans="3:8" x14ac:dyDescent="0.25">
      <c r="C2314" s="100"/>
      <c r="G2314" s="156"/>
      <c r="H2314" s="100"/>
    </row>
    <row r="2315" spans="3:8" x14ac:dyDescent="0.25">
      <c r="C2315" s="100"/>
      <c r="G2315" s="156"/>
      <c r="H2315" s="100"/>
    </row>
    <row r="2316" spans="3:8" x14ac:dyDescent="0.25">
      <c r="C2316" s="100"/>
      <c r="G2316" s="156"/>
      <c r="H2316" s="100"/>
    </row>
    <row r="2317" spans="3:8" x14ac:dyDescent="0.25">
      <c r="C2317" s="100"/>
      <c r="G2317" s="156"/>
      <c r="H2317" s="100"/>
    </row>
    <row r="2318" spans="3:8" x14ac:dyDescent="0.25">
      <c r="C2318" s="100"/>
      <c r="G2318" s="156"/>
      <c r="H2318" s="100"/>
    </row>
    <row r="2319" spans="3:8" x14ac:dyDescent="0.25">
      <c r="C2319" s="100"/>
      <c r="G2319" s="156"/>
      <c r="H2319" s="100"/>
    </row>
    <row r="2320" spans="3:8" x14ac:dyDescent="0.25">
      <c r="C2320" s="100"/>
      <c r="G2320" s="156"/>
      <c r="H2320" s="100"/>
    </row>
    <row r="2321" spans="3:8" x14ac:dyDescent="0.25">
      <c r="C2321" s="100"/>
      <c r="G2321" s="156"/>
      <c r="H2321" s="100"/>
    </row>
    <row r="2322" spans="3:8" x14ac:dyDescent="0.25">
      <c r="C2322" s="100"/>
      <c r="G2322" s="156"/>
      <c r="H2322" s="100"/>
    </row>
    <row r="2323" spans="3:8" x14ac:dyDescent="0.25">
      <c r="C2323" s="100"/>
      <c r="G2323" s="156"/>
      <c r="H2323" s="100"/>
    </row>
    <row r="2324" spans="3:8" x14ac:dyDescent="0.25">
      <c r="C2324" s="100"/>
      <c r="G2324" s="156"/>
      <c r="H2324" s="100"/>
    </row>
    <row r="2325" spans="3:8" x14ac:dyDescent="0.25">
      <c r="C2325" s="100"/>
      <c r="G2325" s="156"/>
      <c r="H2325" s="100"/>
    </row>
    <row r="2326" spans="3:8" x14ac:dyDescent="0.25">
      <c r="C2326" s="100"/>
      <c r="G2326" s="156"/>
      <c r="H2326" s="100"/>
    </row>
    <row r="2327" spans="3:8" x14ac:dyDescent="0.25">
      <c r="C2327" s="100"/>
      <c r="G2327" s="156"/>
      <c r="H2327" s="100"/>
    </row>
    <row r="2328" spans="3:8" x14ac:dyDescent="0.25">
      <c r="C2328" s="100"/>
      <c r="G2328" s="156"/>
      <c r="H2328" s="100"/>
    </row>
    <row r="2329" spans="3:8" x14ac:dyDescent="0.25">
      <c r="C2329" s="100"/>
      <c r="G2329" s="156"/>
      <c r="H2329" s="100"/>
    </row>
    <row r="2330" spans="3:8" x14ac:dyDescent="0.25">
      <c r="C2330" s="100"/>
      <c r="G2330" s="156"/>
      <c r="H2330" s="100"/>
    </row>
    <row r="2331" spans="3:8" x14ac:dyDescent="0.25">
      <c r="C2331" s="100"/>
      <c r="G2331" s="156"/>
      <c r="H2331" s="100"/>
    </row>
    <row r="2332" spans="3:8" x14ac:dyDescent="0.25">
      <c r="C2332" s="100"/>
      <c r="G2332" s="156"/>
      <c r="H2332" s="100"/>
    </row>
    <row r="2333" spans="3:8" x14ac:dyDescent="0.25">
      <c r="C2333" s="100"/>
      <c r="G2333" s="156"/>
      <c r="H2333" s="100"/>
    </row>
    <row r="2334" spans="3:8" x14ac:dyDescent="0.25">
      <c r="C2334" s="100"/>
      <c r="G2334" s="156"/>
      <c r="H2334" s="100"/>
    </row>
    <row r="2335" spans="3:8" x14ac:dyDescent="0.25">
      <c r="C2335" s="100"/>
      <c r="G2335" s="156"/>
      <c r="H2335" s="100"/>
    </row>
    <row r="2336" spans="3:8" x14ac:dyDescent="0.25">
      <c r="C2336" s="100"/>
      <c r="G2336" s="156"/>
      <c r="H2336" s="100"/>
    </row>
    <row r="2337" spans="3:8" x14ac:dyDescent="0.25">
      <c r="C2337" s="100"/>
      <c r="G2337" s="156"/>
      <c r="H2337" s="100"/>
    </row>
    <row r="2338" spans="3:8" x14ac:dyDescent="0.25">
      <c r="C2338" s="100"/>
      <c r="G2338" s="156"/>
      <c r="H2338" s="100"/>
    </row>
    <row r="2339" spans="3:8" x14ac:dyDescent="0.25">
      <c r="C2339" s="100"/>
      <c r="G2339" s="156"/>
      <c r="H2339" s="100"/>
    </row>
    <row r="2340" spans="3:8" x14ac:dyDescent="0.25">
      <c r="C2340" s="100"/>
      <c r="G2340" s="156"/>
      <c r="H2340" s="100"/>
    </row>
    <row r="2341" spans="3:8" x14ac:dyDescent="0.25">
      <c r="C2341" s="100"/>
      <c r="G2341" s="156"/>
      <c r="H2341" s="100"/>
    </row>
    <row r="2342" spans="3:8" x14ac:dyDescent="0.25">
      <c r="C2342" s="100"/>
      <c r="G2342" s="156"/>
      <c r="H2342" s="100"/>
    </row>
    <row r="2343" spans="3:8" x14ac:dyDescent="0.25">
      <c r="C2343" s="100"/>
      <c r="G2343" s="156"/>
      <c r="H2343" s="100"/>
    </row>
    <row r="2344" spans="3:8" x14ac:dyDescent="0.25">
      <c r="C2344" s="100"/>
      <c r="G2344" s="156"/>
      <c r="H2344" s="100"/>
    </row>
    <row r="2345" spans="3:8" x14ac:dyDescent="0.25">
      <c r="C2345" s="100"/>
      <c r="G2345" s="156"/>
      <c r="H2345" s="100"/>
    </row>
    <row r="2346" spans="3:8" x14ac:dyDescent="0.25">
      <c r="C2346" s="100"/>
      <c r="G2346" s="156"/>
      <c r="H2346" s="100"/>
    </row>
    <row r="2347" spans="3:8" x14ac:dyDescent="0.25">
      <c r="C2347" s="100"/>
      <c r="G2347" s="156"/>
      <c r="H2347" s="100"/>
    </row>
    <row r="2348" spans="3:8" x14ac:dyDescent="0.25">
      <c r="C2348" s="100"/>
      <c r="G2348" s="156"/>
      <c r="H2348" s="100"/>
    </row>
    <row r="2349" spans="3:8" x14ac:dyDescent="0.25">
      <c r="C2349" s="100"/>
      <c r="G2349" s="156"/>
      <c r="H2349" s="100"/>
    </row>
    <row r="2350" spans="3:8" x14ac:dyDescent="0.25">
      <c r="C2350" s="100"/>
      <c r="G2350" s="156"/>
      <c r="H2350" s="100"/>
    </row>
    <row r="2351" spans="3:8" x14ac:dyDescent="0.25">
      <c r="C2351" s="100"/>
      <c r="G2351" s="156"/>
      <c r="H2351" s="100"/>
    </row>
    <row r="2352" spans="3:8" x14ac:dyDescent="0.25">
      <c r="C2352" s="100"/>
      <c r="G2352" s="156"/>
      <c r="H2352" s="100"/>
    </row>
    <row r="2353" spans="3:8" x14ac:dyDescent="0.25">
      <c r="C2353" s="100"/>
      <c r="G2353" s="156"/>
      <c r="H2353" s="100"/>
    </row>
    <row r="2354" spans="3:8" x14ac:dyDescent="0.25">
      <c r="C2354" s="100"/>
      <c r="G2354" s="156"/>
      <c r="H2354" s="100"/>
    </row>
    <row r="2355" spans="3:8" x14ac:dyDescent="0.25">
      <c r="C2355" s="100"/>
      <c r="G2355" s="156"/>
      <c r="H2355" s="100"/>
    </row>
    <row r="2356" spans="3:8" x14ac:dyDescent="0.25">
      <c r="C2356" s="100"/>
      <c r="G2356" s="156"/>
      <c r="H2356" s="100"/>
    </row>
    <row r="2357" spans="3:8" x14ac:dyDescent="0.25">
      <c r="C2357" s="100"/>
      <c r="G2357" s="156"/>
      <c r="H2357" s="100"/>
    </row>
    <row r="2358" spans="3:8" x14ac:dyDescent="0.25">
      <c r="C2358" s="100"/>
      <c r="G2358" s="156"/>
      <c r="H2358" s="100"/>
    </row>
    <row r="2359" spans="3:8" x14ac:dyDescent="0.25">
      <c r="C2359" s="100"/>
      <c r="G2359" s="156"/>
      <c r="H2359" s="100"/>
    </row>
    <row r="2360" spans="3:8" x14ac:dyDescent="0.25">
      <c r="C2360" s="100"/>
      <c r="G2360" s="156"/>
      <c r="H2360" s="100"/>
    </row>
    <row r="2361" spans="3:8" x14ac:dyDescent="0.25">
      <c r="C2361" s="100"/>
      <c r="G2361" s="156"/>
      <c r="H2361" s="100"/>
    </row>
    <row r="2362" spans="3:8" x14ac:dyDescent="0.25">
      <c r="C2362" s="100"/>
      <c r="G2362" s="156"/>
      <c r="H2362" s="100"/>
    </row>
    <row r="2363" spans="3:8" x14ac:dyDescent="0.25">
      <c r="C2363" s="100"/>
      <c r="G2363" s="156"/>
      <c r="H2363" s="100"/>
    </row>
    <row r="2364" spans="3:8" x14ac:dyDescent="0.25">
      <c r="C2364" s="100"/>
      <c r="G2364" s="156"/>
      <c r="H2364" s="100"/>
    </row>
    <row r="2365" spans="3:8" x14ac:dyDescent="0.25">
      <c r="C2365" s="100"/>
      <c r="G2365" s="156"/>
      <c r="H2365" s="100"/>
    </row>
    <row r="2366" spans="3:8" x14ac:dyDescent="0.25">
      <c r="C2366" s="100"/>
      <c r="G2366" s="156"/>
      <c r="H2366" s="100"/>
    </row>
    <row r="2367" spans="3:8" x14ac:dyDescent="0.25">
      <c r="C2367" s="100"/>
      <c r="G2367" s="156"/>
      <c r="H2367" s="100"/>
    </row>
    <row r="2368" spans="3:8" x14ac:dyDescent="0.25">
      <c r="C2368" s="100"/>
      <c r="G2368" s="156"/>
      <c r="H2368" s="100"/>
    </row>
    <row r="2369" spans="3:8" x14ac:dyDescent="0.25">
      <c r="C2369" s="100"/>
      <c r="G2369" s="156"/>
      <c r="H2369" s="100"/>
    </row>
    <row r="2370" spans="3:8" x14ac:dyDescent="0.25">
      <c r="C2370" s="100"/>
      <c r="G2370" s="156"/>
      <c r="H2370" s="100"/>
    </row>
    <row r="2371" spans="3:8" x14ac:dyDescent="0.25">
      <c r="C2371" s="100"/>
      <c r="G2371" s="156"/>
      <c r="H2371" s="100"/>
    </row>
    <row r="2372" spans="3:8" x14ac:dyDescent="0.25">
      <c r="C2372" s="100"/>
      <c r="G2372" s="156"/>
      <c r="H2372" s="100"/>
    </row>
    <row r="2373" spans="3:8" x14ac:dyDescent="0.25">
      <c r="C2373" s="100"/>
      <c r="G2373" s="156"/>
      <c r="H2373" s="100"/>
    </row>
    <row r="2374" spans="3:8" x14ac:dyDescent="0.25">
      <c r="C2374" s="100"/>
      <c r="G2374" s="156"/>
      <c r="H2374" s="100"/>
    </row>
    <row r="2375" spans="3:8" x14ac:dyDescent="0.25">
      <c r="C2375" s="100"/>
      <c r="G2375" s="156"/>
      <c r="H2375" s="100"/>
    </row>
    <row r="2376" spans="3:8" x14ac:dyDescent="0.25">
      <c r="C2376" s="100"/>
      <c r="G2376" s="156"/>
      <c r="H2376" s="100"/>
    </row>
    <row r="2377" spans="3:8" x14ac:dyDescent="0.25">
      <c r="C2377" s="100"/>
      <c r="G2377" s="156"/>
      <c r="H2377" s="100"/>
    </row>
    <row r="2378" spans="3:8" x14ac:dyDescent="0.25">
      <c r="C2378" s="100"/>
      <c r="G2378" s="156"/>
      <c r="H2378" s="100"/>
    </row>
    <row r="2379" spans="3:8" x14ac:dyDescent="0.25">
      <c r="C2379" s="100"/>
      <c r="G2379" s="156"/>
      <c r="H2379" s="100"/>
    </row>
    <row r="2380" spans="3:8" x14ac:dyDescent="0.25">
      <c r="C2380" s="100"/>
      <c r="G2380" s="156"/>
      <c r="H2380" s="100"/>
    </row>
    <row r="2381" spans="3:8" x14ac:dyDescent="0.25">
      <c r="C2381" s="100"/>
      <c r="G2381" s="156"/>
      <c r="H2381" s="100"/>
    </row>
    <row r="2382" spans="3:8" x14ac:dyDescent="0.25">
      <c r="C2382" s="100"/>
      <c r="G2382" s="156"/>
      <c r="H2382" s="100"/>
    </row>
    <row r="2383" spans="3:8" x14ac:dyDescent="0.25">
      <c r="C2383" s="100"/>
      <c r="G2383" s="156"/>
      <c r="H2383" s="100"/>
    </row>
    <row r="2384" spans="3:8" x14ac:dyDescent="0.25">
      <c r="C2384" s="100"/>
      <c r="G2384" s="156"/>
      <c r="H2384" s="100"/>
    </row>
    <row r="2385" spans="3:8" x14ac:dyDescent="0.25">
      <c r="C2385" s="100"/>
      <c r="G2385" s="156"/>
      <c r="H2385" s="100"/>
    </row>
    <row r="2386" spans="3:8" x14ac:dyDescent="0.25">
      <c r="C2386" s="100"/>
      <c r="G2386" s="156"/>
      <c r="H2386" s="100"/>
    </row>
    <row r="2387" spans="3:8" x14ac:dyDescent="0.25">
      <c r="C2387" s="100"/>
      <c r="G2387" s="156"/>
      <c r="H2387" s="100"/>
    </row>
    <row r="2388" spans="3:8" x14ac:dyDescent="0.25">
      <c r="C2388" s="100"/>
      <c r="G2388" s="156"/>
      <c r="H2388" s="100"/>
    </row>
    <row r="2389" spans="3:8" x14ac:dyDescent="0.25">
      <c r="C2389" s="100"/>
      <c r="G2389" s="156"/>
      <c r="H2389" s="100"/>
    </row>
    <row r="2390" spans="3:8" x14ac:dyDescent="0.25">
      <c r="C2390" s="100"/>
      <c r="G2390" s="156"/>
      <c r="H2390" s="100"/>
    </row>
    <row r="2391" spans="3:8" x14ac:dyDescent="0.25">
      <c r="C2391" s="100"/>
      <c r="G2391" s="156"/>
      <c r="H2391" s="100"/>
    </row>
    <row r="2392" spans="3:8" x14ac:dyDescent="0.25">
      <c r="C2392" s="100"/>
      <c r="G2392" s="156"/>
      <c r="H2392" s="100"/>
    </row>
    <row r="2393" spans="3:8" x14ac:dyDescent="0.25">
      <c r="C2393" s="100"/>
      <c r="G2393" s="156"/>
      <c r="H2393" s="100"/>
    </row>
    <row r="2394" spans="3:8" x14ac:dyDescent="0.25">
      <c r="C2394" s="100"/>
      <c r="G2394" s="156"/>
      <c r="H2394" s="100"/>
    </row>
    <row r="2395" spans="3:8" x14ac:dyDescent="0.25">
      <c r="C2395" s="100"/>
      <c r="G2395" s="156"/>
      <c r="H2395" s="100"/>
    </row>
    <row r="2396" spans="3:8" x14ac:dyDescent="0.25">
      <c r="C2396" s="100"/>
      <c r="G2396" s="156"/>
      <c r="H2396" s="100"/>
    </row>
    <row r="2397" spans="3:8" x14ac:dyDescent="0.25">
      <c r="C2397" s="100"/>
      <c r="G2397" s="156"/>
      <c r="H2397" s="100"/>
    </row>
    <row r="2398" spans="3:8" x14ac:dyDescent="0.25">
      <c r="C2398" s="100"/>
      <c r="G2398" s="156"/>
      <c r="H2398" s="100"/>
    </row>
    <row r="2399" spans="3:8" x14ac:dyDescent="0.25">
      <c r="C2399" s="100"/>
      <c r="G2399" s="156"/>
      <c r="H2399" s="100"/>
    </row>
    <row r="2400" spans="3:8" x14ac:dyDescent="0.25">
      <c r="C2400" s="100"/>
      <c r="G2400" s="156"/>
      <c r="H2400" s="100"/>
    </row>
    <row r="2401" spans="3:8" x14ac:dyDescent="0.25">
      <c r="C2401" s="100"/>
      <c r="G2401" s="156"/>
      <c r="H2401" s="100"/>
    </row>
    <row r="2402" spans="3:8" x14ac:dyDescent="0.25">
      <c r="C2402" s="100"/>
      <c r="G2402" s="156"/>
      <c r="H2402" s="100"/>
    </row>
    <row r="2403" spans="3:8" x14ac:dyDescent="0.25">
      <c r="C2403" s="100"/>
      <c r="G2403" s="156"/>
      <c r="H2403" s="100"/>
    </row>
    <row r="2404" spans="3:8" x14ac:dyDescent="0.25">
      <c r="C2404" s="100"/>
      <c r="G2404" s="156"/>
      <c r="H2404" s="100"/>
    </row>
    <row r="2405" spans="3:8" x14ac:dyDescent="0.25">
      <c r="C2405" s="100"/>
      <c r="G2405" s="156"/>
      <c r="H2405" s="100"/>
    </row>
    <row r="2406" spans="3:8" x14ac:dyDescent="0.25">
      <c r="C2406" s="100"/>
      <c r="G2406" s="156"/>
      <c r="H2406" s="100"/>
    </row>
    <row r="2407" spans="3:8" x14ac:dyDescent="0.25">
      <c r="C2407" s="100"/>
      <c r="G2407" s="156"/>
      <c r="H2407" s="100"/>
    </row>
    <row r="2408" spans="3:8" x14ac:dyDescent="0.25">
      <c r="C2408" s="100"/>
      <c r="G2408" s="156"/>
      <c r="H2408" s="100"/>
    </row>
    <row r="2409" spans="3:8" x14ac:dyDescent="0.25">
      <c r="C2409" s="100"/>
      <c r="G2409" s="156"/>
      <c r="H2409" s="100"/>
    </row>
    <row r="2410" spans="3:8" x14ac:dyDescent="0.25">
      <c r="C2410" s="100"/>
      <c r="G2410" s="156"/>
      <c r="H2410" s="100"/>
    </row>
    <row r="2411" spans="3:8" x14ac:dyDescent="0.25">
      <c r="C2411" s="100"/>
      <c r="G2411" s="156"/>
      <c r="H2411" s="100"/>
    </row>
    <row r="2412" spans="3:8" x14ac:dyDescent="0.25">
      <c r="C2412" s="100"/>
      <c r="G2412" s="156"/>
      <c r="H2412" s="100"/>
    </row>
    <row r="2413" spans="3:8" x14ac:dyDescent="0.25">
      <c r="C2413" s="100"/>
      <c r="G2413" s="156"/>
      <c r="H2413" s="100"/>
    </row>
    <row r="2414" spans="3:8" x14ac:dyDescent="0.25">
      <c r="C2414" s="100"/>
      <c r="G2414" s="156"/>
      <c r="H2414" s="100"/>
    </row>
    <row r="2415" spans="3:8" x14ac:dyDescent="0.25">
      <c r="C2415" s="100"/>
      <c r="G2415" s="156"/>
      <c r="H2415" s="100"/>
    </row>
    <row r="2416" spans="3:8" x14ac:dyDescent="0.25">
      <c r="C2416" s="100"/>
      <c r="G2416" s="156"/>
      <c r="H2416" s="100"/>
    </row>
    <row r="2417" spans="3:8" x14ac:dyDescent="0.25">
      <c r="C2417" s="100"/>
      <c r="G2417" s="156"/>
      <c r="H2417" s="100"/>
    </row>
    <row r="2418" spans="3:8" x14ac:dyDescent="0.25">
      <c r="C2418" s="100"/>
      <c r="G2418" s="156"/>
      <c r="H2418" s="100"/>
    </row>
    <row r="2419" spans="3:8" x14ac:dyDescent="0.25">
      <c r="C2419" s="100"/>
      <c r="G2419" s="156"/>
      <c r="H2419" s="100"/>
    </row>
    <row r="2420" spans="3:8" x14ac:dyDescent="0.25">
      <c r="C2420" s="100"/>
      <c r="G2420" s="156"/>
      <c r="H2420" s="100"/>
    </row>
    <row r="2421" spans="3:8" x14ac:dyDescent="0.25">
      <c r="C2421" s="100"/>
      <c r="G2421" s="156"/>
      <c r="H2421" s="100"/>
    </row>
    <row r="2422" spans="3:8" x14ac:dyDescent="0.25">
      <c r="C2422" s="100"/>
      <c r="G2422" s="156"/>
      <c r="H2422" s="100"/>
    </row>
    <row r="2423" spans="3:8" x14ac:dyDescent="0.25">
      <c r="C2423" s="100"/>
      <c r="G2423" s="156"/>
      <c r="H2423" s="100"/>
    </row>
    <row r="2424" spans="3:8" x14ac:dyDescent="0.25">
      <c r="C2424" s="100"/>
      <c r="G2424" s="156"/>
      <c r="H2424" s="100"/>
    </row>
    <row r="2425" spans="3:8" x14ac:dyDescent="0.25">
      <c r="C2425" s="100"/>
      <c r="G2425" s="156"/>
      <c r="H2425" s="100"/>
    </row>
    <row r="2426" spans="3:8" x14ac:dyDescent="0.25">
      <c r="C2426" s="100"/>
      <c r="G2426" s="156"/>
      <c r="H2426" s="100"/>
    </row>
    <row r="2427" spans="3:8" x14ac:dyDescent="0.25">
      <c r="C2427" s="100"/>
      <c r="G2427" s="156"/>
      <c r="H2427" s="100"/>
    </row>
    <row r="2428" spans="3:8" x14ac:dyDescent="0.25">
      <c r="C2428" s="100"/>
      <c r="G2428" s="156"/>
      <c r="H2428" s="100"/>
    </row>
    <row r="2429" spans="3:8" x14ac:dyDescent="0.25">
      <c r="C2429" s="100"/>
      <c r="G2429" s="156"/>
      <c r="H2429" s="100"/>
    </row>
    <row r="2430" spans="3:8" x14ac:dyDescent="0.25">
      <c r="C2430" s="100"/>
      <c r="G2430" s="156"/>
      <c r="H2430" s="100"/>
    </row>
    <row r="2431" spans="3:8" x14ac:dyDescent="0.25">
      <c r="C2431" s="100"/>
      <c r="G2431" s="156"/>
      <c r="H2431" s="100"/>
    </row>
    <row r="2432" spans="3:8" x14ac:dyDescent="0.25">
      <c r="C2432" s="100"/>
      <c r="G2432" s="156"/>
      <c r="H2432" s="100"/>
    </row>
    <row r="2433" spans="3:8" x14ac:dyDescent="0.25">
      <c r="C2433" s="100"/>
      <c r="G2433" s="156"/>
      <c r="H2433" s="100"/>
    </row>
    <row r="2434" spans="3:8" x14ac:dyDescent="0.25">
      <c r="C2434" s="100"/>
      <c r="G2434" s="156"/>
      <c r="H2434" s="100"/>
    </row>
    <row r="2435" spans="3:8" x14ac:dyDescent="0.25">
      <c r="C2435" s="100"/>
      <c r="G2435" s="156"/>
      <c r="H2435" s="100"/>
    </row>
    <row r="2436" spans="3:8" x14ac:dyDescent="0.25">
      <c r="C2436" s="100"/>
      <c r="G2436" s="156"/>
      <c r="H2436" s="100"/>
    </row>
    <row r="2437" spans="3:8" x14ac:dyDescent="0.25">
      <c r="C2437" s="100"/>
      <c r="G2437" s="156"/>
      <c r="H2437" s="100"/>
    </row>
    <row r="2438" spans="3:8" x14ac:dyDescent="0.25">
      <c r="C2438" s="100"/>
      <c r="G2438" s="156"/>
      <c r="H2438" s="100"/>
    </row>
    <row r="2439" spans="3:8" x14ac:dyDescent="0.25">
      <c r="C2439" s="100"/>
      <c r="G2439" s="156"/>
      <c r="H2439" s="100"/>
    </row>
    <row r="2440" spans="3:8" x14ac:dyDescent="0.25">
      <c r="C2440" s="100"/>
      <c r="G2440" s="156"/>
      <c r="H2440" s="100"/>
    </row>
    <row r="2441" spans="3:8" x14ac:dyDescent="0.25">
      <c r="C2441" s="100"/>
      <c r="G2441" s="156"/>
      <c r="H2441" s="100"/>
    </row>
    <row r="2442" spans="3:8" x14ac:dyDescent="0.25">
      <c r="C2442" s="100"/>
      <c r="G2442" s="156"/>
      <c r="H2442" s="100"/>
    </row>
    <row r="2443" spans="3:8" x14ac:dyDescent="0.25">
      <c r="C2443" s="100"/>
      <c r="G2443" s="156"/>
      <c r="H2443" s="100"/>
    </row>
    <row r="2444" spans="3:8" x14ac:dyDescent="0.25">
      <c r="C2444" s="100"/>
      <c r="G2444" s="156"/>
      <c r="H2444" s="100"/>
    </row>
    <row r="2445" spans="3:8" x14ac:dyDescent="0.25">
      <c r="C2445" s="100"/>
      <c r="G2445" s="156"/>
      <c r="H2445" s="100"/>
    </row>
    <row r="2446" spans="3:8" x14ac:dyDescent="0.25">
      <c r="C2446" s="100"/>
      <c r="G2446" s="156"/>
      <c r="H2446" s="100"/>
    </row>
    <row r="2447" spans="3:8" x14ac:dyDescent="0.25">
      <c r="C2447" s="100"/>
      <c r="G2447" s="156"/>
      <c r="H2447" s="100"/>
    </row>
    <row r="2448" spans="3:8" x14ac:dyDescent="0.25">
      <c r="C2448" s="100"/>
      <c r="G2448" s="156"/>
      <c r="H2448" s="100"/>
    </row>
    <row r="2449" spans="3:8" x14ac:dyDescent="0.25">
      <c r="C2449" s="100"/>
      <c r="G2449" s="156"/>
      <c r="H2449" s="100"/>
    </row>
    <row r="2450" spans="3:8" x14ac:dyDescent="0.25">
      <c r="C2450" s="100"/>
      <c r="G2450" s="156"/>
      <c r="H2450" s="100"/>
    </row>
    <row r="2451" spans="3:8" x14ac:dyDescent="0.25">
      <c r="C2451" s="100"/>
      <c r="G2451" s="156"/>
      <c r="H2451" s="100"/>
    </row>
    <row r="2452" spans="3:8" x14ac:dyDescent="0.25">
      <c r="C2452" s="100"/>
      <c r="G2452" s="156"/>
      <c r="H2452" s="100"/>
    </row>
    <row r="2453" spans="3:8" x14ac:dyDescent="0.25">
      <c r="C2453" s="100"/>
      <c r="G2453" s="156"/>
      <c r="H2453" s="100"/>
    </row>
    <row r="2454" spans="3:8" x14ac:dyDescent="0.25">
      <c r="C2454" s="100"/>
      <c r="G2454" s="156"/>
      <c r="H2454" s="100"/>
    </row>
    <row r="2455" spans="3:8" x14ac:dyDescent="0.25">
      <c r="C2455" s="100"/>
      <c r="G2455" s="156"/>
      <c r="H2455" s="100"/>
    </row>
    <row r="2456" spans="3:8" x14ac:dyDescent="0.25">
      <c r="C2456" s="100"/>
      <c r="G2456" s="156"/>
      <c r="H2456" s="100"/>
    </row>
    <row r="2457" spans="3:8" x14ac:dyDescent="0.25">
      <c r="C2457" s="100"/>
      <c r="G2457" s="156"/>
      <c r="H2457" s="100"/>
    </row>
    <row r="2458" spans="3:8" x14ac:dyDescent="0.25">
      <c r="C2458" s="100"/>
      <c r="G2458" s="156"/>
      <c r="H2458" s="100"/>
    </row>
    <row r="2459" spans="3:8" x14ac:dyDescent="0.25">
      <c r="C2459" s="100"/>
      <c r="G2459" s="156"/>
      <c r="H2459" s="100"/>
    </row>
    <row r="2460" spans="3:8" x14ac:dyDescent="0.25">
      <c r="C2460" s="100"/>
      <c r="G2460" s="156"/>
      <c r="H2460" s="100"/>
    </row>
    <row r="2461" spans="3:8" x14ac:dyDescent="0.25">
      <c r="C2461" s="100"/>
      <c r="G2461" s="156"/>
      <c r="H2461" s="100"/>
    </row>
    <row r="2462" spans="3:8" x14ac:dyDescent="0.25">
      <c r="C2462" s="100"/>
      <c r="G2462" s="156"/>
      <c r="H2462" s="100"/>
    </row>
    <row r="2463" spans="3:8" x14ac:dyDescent="0.25">
      <c r="C2463" s="100"/>
      <c r="G2463" s="156"/>
      <c r="H2463" s="100"/>
    </row>
    <row r="2464" spans="3:8" x14ac:dyDescent="0.25">
      <c r="C2464" s="100"/>
      <c r="G2464" s="156"/>
      <c r="H2464" s="100"/>
    </row>
    <row r="2465" spans="3:8" x14ac:dyDescent="0.25">
      <c r="C2465" s="100"/>
      <c r="G2465" s="156"/>
      <c r="H2465" s="100"/>
    </row>
    <row r="2466" spans="3:8" x14ac:dyDescent="0.25">
      <c r="C2466" s="100"/>
      <c r="G2466" s="156"/>
      <c r="H2466" s="100"/>
    </row>
    <row r="2467" spans="3:8" x14ac:dyDescent="0.25">
      <c r="C2467" s="100"/>
      <c r="G2467" s="156"/>
      <c r="H2467" s="100"/>
    </row>
    <row r="2468" spans="3:8" x14ac:dyDescent="0.25">
      <c r="C2468" s="100"/>
      <c r="G2468" s="156"/>
      <c r="H2468" s="100"/>
    </row>
    <row r="2469" spans="3:8" x14ac:dyDescent="0.25">
      <c r="C2469" s="100"/>
      <c r="G2469" s="156"/>
      <c r="H2469" s="100"/>
    </row>
    <row r="2470" spans="3:8" x14ac:dyDescent="0.25">
      <c r="C2470" s="100"/>
      <c r="G2470" s="156"/>
      <c r="H2470" s="100"/>
    </row>
    <row r="2471" spans="3:8" x14ac:dyDescent="0.25">
      <c r="C2471" s="100"/>
      <c r="G2471" s="156"/>
      <c r="H2471" s="100"/>
    </row>
    <row r="2472" spans="3:8" x14ac:dyDescent="0.25">
      <c r="C2472" s="100"/>
      <c r="G2472" s="156"/>
      <c r="H2472" s="100"/>
    </row>
    <row r="2473" spans="3:8" x14ac:dyDescent="0.25">
      <c r="C2473" s="100"/>
      <c r="G2473" s="156"/>
      <c r="H2473" s="100"/>
    </row>
    <row r="2474" spans="3:8" x14ac:dyDescent="0.25">
      <c r="C2474" s="100"/>
      <c r="G2474" s="156"/>
      <c r="H2474" s="100"/>
    </row>
    <row r="2475" spans="3:8" x14ac:dyDescent="0.25">
      <c r="C2475" s="100"/>
      <c r="G2475" s="156"/>
      <c r="H2475" s="100"/>
    </row>
    <row r="2476" spans="3:8" x14ac:dyDescent="0.25">
      <c r="C2476" s="100"/>
      <c r="G2476" s="156"/>
      <c r="H2476" s="100"/>
    </row>
    <row r="2477" spans="3:8" x14ac:dyDescent="0.25">
      <c r="C2477" s="100"/>
      <c r="G2477" s="156"/>
      <c r="H2477" s="100"/>
    </row>
    <row r="2478" spans="3:8" x14ac:dyDescent="0.25">
      <c r="C2478" s="100"/>
      <c r="G2478" s="156"/>
      <c r="H2478" s="100"/>
    </row>
    <row r="2479" spans="3:8" x14ac:dyDescent="0.25">
      <c r="C2479" s="100"/>
      <c r="G2479" s="156"/>
      <c r="H2479" s="100"/>
    </row>
    <row r="2480" spans="3:8" x14ac:dyDescent="0.25">
      <c r="C2480" s="100"/>
      <c r="G2480" s="156"/>
      <c r="H2480" s="100"/>
    </row>
    <row r="2481" spans="3:8" x14ac:dyDescent="0.25">
      <c r="C2481" s="100"/>
      <c r="G2481" s="156"/>
      <c r="H2481" s="100"/>
    </row>
    <row r="2482" spans="3:8" x14ac:dyDescent="0.25">
      <c r="C2482" s="100"/>
      <c r="G2482" s="156"/>
      <c r="H2482" s="100"/>
    </row>
    <row r="2483" spans="3:8" x14ac:dyDescent="0.25">
      <c r="C2483" s="100"/>
      <c r="G2483" s="156"/>
      <c r="H2483" s="100"/>
    </row>
    <row r="2484" spans="3:8" x14ac:dyDescent="0.25">
      <c r="C2484" s="100"/>
      <c r="G2484" s="156"/>
      <c r="H2484" s="100"/>
    </row>
    <row r="2485" spans="3:8" x14ac:dyDescent="0.25">
      <c r="C2485" s="100"/>
      <c r="G2485" s="156"/>
      <c r="H2485" s="100"/>
    </row>
    <row r="2486" spans="3:8" x14ac:dyDescent="0.25">
      <c r="C2486" s="100"/>
      <c r="G2486" s="156"/>
      <c r="H2486" s="100"/>
    </row>
    <row r="2487" spans="3:8" x14ac:dyDescent="0.25">
      <c r="C2487" s="100"/>
      <c r="G2487" s="156"/>
      <c r="H2487" s="100"/>
    </row>
    <row r="2488" spans="3:8" x14ac:dyDescent="0.25">
      <c r="C2488" s="100"/>
      <c r="G2488" s="156"/>
      <c r="H2488" s="100"/>
    </row>
    <row r="2489" spans="3:8" x14ac:dyDescent="0.25">
      <c r="C2489" s="100"/>
      <c r="G2489" s="156"/>
      <c r="H2489" s="100"/>
    </row>
    <row r="2490" spans="3:8" x14ac:dyDescent="0.25">
      <c r="C2490" s="100"/>
      <c r="G2490" s="156"/>
      <c r="H2490" s="100"/>
    </row>
    <row r="2491" spans="3:8" x14ac:dyDescent="0.25">
      <c r="C2491" s="100"/>
      <c r="G2491" s="156"/>
      <c r="H2491" s="100"/>
    </row>
    <row r="2492" spans="3:8" x14ac:dyDescent="0.25">
      <c r="C2492" s="100"/>
      <c r="G2492" s="156"/>
      <c r="H2492" s="100"/>
    </row>
    <row r="2493" spans="3:8" x14ac:dyDescent="0.25">
      <c r="C2493" s="100"/>
      <c r="G2493" s="156"/>
      <c r="H2493" s="100"/>
    </row>
    <row r="2494" spans="3:8" x14ac:dyDescent="0.25">
      <c r="C2494" s="100"/>
      <c r="G2494" s="156"/>
      <c r="H2494" s="100"/>
    </row>
    <row r="2495" spans="3:8" x14ac:dyDescent="0.25">
      <c r="C2495" s="100"/>
      <c r="G2495" s="156"/>
      <c r="H2495" s="100"/>
    </row>
    <row r="2496" spans="3:8" x14ac:dyDescent="0.25">
      <c r="C2496" s="100"/>
      <c r="G2496" s="156"/>
      <c r="H2496" s="100"/>
    </row>
    <row r="2497" spans="3:8" x14ac:dyDescent="0.25">
      <c r="C2497" s="100"/>
      <c r="G2497" s="156"/>
      <c r="H2497" s="100"/>
    </row>
    <row r="2498" spans="3:8" x14ac:dyDescent="0.25">
      <c r="C2498" s="100"/>
      <c r="G2498" s="156"/>
      <c r="H2498" s="100"/>
    </row>
    <row r="2499" spans="3:8" x14ac:dyDescent="0.25">
      <c r="C2499" s="100"/>
      <c r="G2499" s="156"/>
      <c r="H2499" s="100"/>
    </row>
    <row r="2500" spans="3:8" x14ac:dyDescent="0.25">
      <c r="C2500" s="100"/>
      <c r="G2500" s="156"/>
      <c r="H2500" s="100"/>
    </row>
    <row r="2501" spans="3:8" x14ac:dyDescent="0.25">
      <c r="C2501" s="100"/>
      <c r="G2501" s="156"/>
      <c r="H2501" s="100"/>
    </row>
    <row r="2502" spans="3:8" x14ac:dyDescent="0.25">
      <c r="C2502" s="100"/>
      <c r="G2502" s="156"/>
      <c r="H2502" s="100"/>
    </row>
    <row r="2503" spans="3:8" x14ac:dyDescent="0.25">
      <c r="C2503" s="100"/>
      <c r="G2503" s="156"/>
      <c r="H2503" s="100"/>
    </row>
    <row r="2504" spans="3:8" x14ac:dyDescent="0.25">
      <c r="C2504" s="100"/>
      <c r="G2504" s="156"/>
      <c r="H2504" s="100"/>
    </row>
    <row r="2505" spans="3:8" x14ac:dyDescent="0.25">
      <c r="C2505" s="100"/>
      <c r="G2505" s="156"/>
      <c r="H2505" s="100"/>
    </row>
    <row r="2506" spans="3:8" x14ac:dyDescent="0.25">
      <c r="C2506" s="100"/>
      <c r="G2506" s="156"/>
      <c r="H2506" s="100"/>
    </row>
    <row r="2507" spans="3:8" x14ac:dyDescent="0.25">
      <c r="C2507" s="100"/>
      <c r="G2507" s="156"/>
      <c r="H2507" s="100"/>
    </row>
    <row r="2508" spans="3:8" x14ac:dyDescent="0.25">
      <c r="C2508" s="100"/>
      <c r="G2508" s="156"/>
      <c r="H2508" s="100"/>
    </row>
    <row r="2509" spans="3:8" x14ac:dyDescent="0.25">
      <c r="C2509" s="100"/>
      <c r="G2509" s="156"/>
      <c r="H2509" s="100"/>
    </row>
    <row r="2510" spans="3:8" x14ac:dyDescent="0.25">
      <c r="C2510" s="100"/>
      <c r="G2510" s="156"/>
      <c r="H2510" s="100"/>
    </row>
    <row r="2511" spans="3:8" x14ac:dyDescent="0.25">
      <c r="C2511" s="100"/>
      <c r="G2511" s="156"/>
      <c r="H2511" s="100"/>
    </row>
    <row r="2512" spans="3:8" x14ac:dyDescent="0.25">
      <c r="C2512" s="100"/>
      <c r="G2512" s="156"/>
      <c r="H2512" s="100"/>
    </row>
    <row r="2513" spans="3:8" x14ac:dyDescent="0.25">
      <c r="C2513" s="100"/>
      <c r="G2513" s="156"/>
      <c r="H2513" s="100"/>
    </row>
    <row r="2514" spans="3:8" x14ac:dyDescent="0.25">
      <c r="C2514" s="100"/>
      <c r="G2514" s="156"/>
      <c r="H2514" s="100"/>
    </row>
    <row r="2515" spans="3:8" x14ac:dyDescent="0.25">
      <c r="C2515" s="100"/>
      <c r="G2515" s="156"/>
      <c r="H2515" s="100"/>
    </row>
    <row r="2516" spans="3:8" x14ac:dyDescent="0.25">
      <c r="C2516" s="100"/>
      <c r="G2516" s="156"/>
      <c r="H2516" s="100"/>
    </row>
    <row r="2517" spans="3:8" x14ac:dyDescent="0.25">
      <c r="C2517" s="100"/>
      <c r="G2517" s="156"/>
      <c r="H2517" s="100"/>
    </row>
    <row r="2518" spans="3:8" x14ac:dyDescent="0.25">
      <c r="C2518" s="100"/>
      <c r="G2518" s="156"/>
      <c r="H2518" s="100"/>
    </row>
    <row r="2519" spans="3:8" x14ac:dyDescent="0.25">
      <c r="C2519" s="100"/>
      <c r="G2519" s="156"/>
      <c r="H2519" s="100"/>
    </row>
    <row r="2520" spans="3:8" x14ac:dyDescent="0.25">
      <c r="C2520" s="100"/>
      <c r="G2520" s="156"/>
      <c r="H2520" s="100"/>
    </row>
    <row r="2521" spans="3:8" x14ac:dyDescent="0.25">
      <c r="C2521" s="100"/>
      <c r="G2521" s="156"/>
      <c r="H2521" s="100"/>
    </row>
    <row r="2522" spans="3:8" x14ac:dyDescent="0.25">
      <c r="C2522" s="100"/>
      <c r="G2522" s="156"/>
      <c r="H2522" s="100"/>
    </row>
    <row r="2523" spans="3:8" x14ac:dyDescent="0.25">
      <c r="C2523" s="100"/>
      <c r="G2523" s="156"/>
      <c r="H2523" s="100"/>
    </row>
    <row r="2524" spans="3:8" x14ac:dyDescent="0.25">
      <c r="C2524" s="100"/>
      <c r="G2524" s="156"/>
      <c r="H2524" s="100"/>
    </row>
    <row r="2525" spans="3:8" x14ac:dyDescent="0.25">
      <c r="C2525" s="100"/>
      <c r="G2525" s="156"/>
      <c r="H2525" s="100"/>
    </row>
    <row r="2526" spans="3:8" x14ac:dyDescent="0.25">
      <c r="C2526" s="100"/>
      <c r="G2526" s="156"/>
      <c r="H2526" s="100"/>
    </row>
    <row r="2527" spans="3:8" x14ac:dyDescent="0.25">
      <c r="C2527" s="100"/>
      <c r="G2527" s="156"/>
      <c r="H2527" s="100"/>
    </row>
    <row r="2528" spans="3:8" x14ac:dyDescent="0.25">
      <c r="C2528" s="100"/>
      <c r="G2528" s="156"/>
      <c r="H2528" s="100"/>
    </row>
    <row r="2529" spans="3:8" x14ac:dyDescent="0.25">
      <c r="C2529" s="100"/>
      <c r="G2529" s="156"/>
      <c r="H2529" s="100"/>
    </row>
    <row r="2530" spans="3:8" x14ac:dyDescent="0.25">
      <c r="C2530" s="100"/>
      <c r="G2530" s="156"/>
      <c r="H2530" s="100"/>
    </row>
    <row r="2531" spans="3:8" x14ac:dyDescent="0.25">
      <c r="C2531" s="100"/>
      <c r="G2531" s="156"/>
      <c r="H2531" s="100"/>
    </row>
    <row r="2532" spans="3:8" x14ac:dyDescent="0.25">
      <c r="C2532" s="100"/>
      <c r="G2532" s="156"/>
      <c r="H2532" s="100"/>
    </row>
    <row r="2533" spans="3:8" x14ac:dyDescent="0.25">
      <c r="C2533" s="100"/>
      <c r="G2533" s="156"/>
      <c r="H2533" s="100"/>
    </row>
    <row r="2534" spans="3:8" x14ac:dyDescent="0.25">
      <c r="C2534" s="100"/>
      <c r="G2534" s="156"/>
      <c r="H2534" s="100"/>
    </row>
    <row r="2535" spans="3:8" x14ac:dyDescent="0.25">
      <c r="C2535" s="100"/>
      <c r="G2535" s="156"/>
      <c r="H2535" s="100"/>
    </row>
    <row r="2536" spans="3:8" x14ac:dyDescent="0.25">
      <c r="C2536" s="100"/>
      <c r="G2536" s="156"/>
      <c r="H2536" s="100"/>
    </row>
    <row r="2537" spans="3:8" x14ac:dyDescent="0.25">
      <c r="C2537" s="100"/>
      <c r="G2537" s="156"/>
      <c r="H2537" s="100"/>
    </row>
    <row r="2538" spans="3:8" x14ac:dyDescent="0.25">
      <c r="C2538" s="100"/>
      <c r="G2538" s="156"/>
      <c r="H2538" s="100"/>
    </row>
    <row r="2539" spans="3:8" x14ac:dyDescent="0.25">
      <c r="C2539" s="100"/>
      <c r="G2539" s="156"/>
      <c r="H2539" s="100"/>
    </row>
    <row r="2540" spans="3:8" x14ac:dyDescent="0.25">
      <c r="C2540" s="100"/>
      <c r="G2540" s="156"/>
      <c r="H2540" s="100"/>
    </row>
    <row r="2541" spans="3:8" x14ac:dyDescent="0.25">
      <c r="C2541" s="100"/>
      <c r="G2541" s="156"/>
      <c r="H2541" s="100"/>
    </row>
    <row r="2542" spans="3:8" x14ac:dyDescent="0.25">
      <c r="C2542" s="100"/>
      <c r="G2542" s="156"/>
      <c r="H2542" s="100"/>
    </row>
    <row r="2543" spans="3:8" x14ac:dyDescent="0.25">
      <c r="C2543" s="100"/>
      <c r="G2543" s="156"/>
      <c r="H2543" s="100"/>
    </row>
    <row r="2544" spans="3:8" x14ac:dyDescent="0.25">
      <c r="C2544" s="100"/>
      <c r="G2544" s="156"/>
      <c r="H2544" s="100"/>
    </row>
    <row r="2545" spans="3:8" x14ac:dyDescent="0.25">
      <c r="C2545" s="100"/>
      <c r="G2545" s="156"/>
      <c r="H2545" s="100"/>
    </row>
    <row r="2546" spans="3:8" x14ac:dyDescent="0.25">
      <c r="C2546" s="100"/>
      <c r="G2546" s="156"/>
      <c r="H2546" s="100"/>
    </row>
    <row r="2547" spans="3:8" x14ac:dyDescent="0.25">
      <c r="C2547" s="100"/>
      <c r="G2547" s="156"/>
      <c r="H2547" s="100"/>
    </row>
    <row r="2548" spans="3:8" x14ac:dyDescent="0.25">
      <c r="C2548" s="100"/>
      <c r="G2548" s="156"/>
      <c r="H2548" s="100"/>
    </row>
    <row r="2549" spans="3:8" x14ac:dyDescent="0.25">
      <c r="C2549" s="100"/>
      <c r="G2549" s="156"/>
      <c r="H2549" s="100"/>
    </row>
    <row r="2550" spans="3:8" x14ac:dyDescent="0.25">
      <c r="C2550" s="100"/>
      <c r="G2550" s="156"/>
      <c r="H2550" s="100"/>
    </row>
    <row r="2551" spans="3:8" x14ac:dyDescent="0.25">
      <c r="C2551" s="100"/>
      <c r="G2551" s="156"/>
      <c r="H2551" s="100"/>
    </row>
    <row r="2552" spans="3:8" x14ac:dyDescent="0.25">
      <c r="C2552" s="100"/>
      <c r="G2552" s="156"/>
      <c r="H2552" s="100"/>
    </row>
    <row r="2553" spans="3:8" x14ac:dyDescent="0.25">
      <c r="C2553" s="100"/>
      <c r="G2553" s="156"/>
      <c r="H2553" s="100"/>
    </row>
    <row r="2554" spans="3:8" x14ac:dyDescent="0.25">
      <c r="C2554" s="100"/>
      <c r="G2554" s="156"/>
      <c r="H2554" s="100"/>
    </row>
    <row r="2555" spans="3:8" x14ac:dyDescent="0.25">
      <c r="C2555" s="100"/>
      <c r="G2555" s="156"/>
      <c r="H2555" s="100"/>
    </row>
    <row r="2556" spans="3:8" x14ac:dyDescent="0.25">
      <c r="C2556" s="100"/>
      <c r="G2556" s="156"/>
      <c r="H2556" s="100"/>
    </row>
    <row r="2557" spans="3:8" x14ac:dyDescent="0.25">
      <c r="C2557" s="100"/>
      <c r="G2557" s="156"/>
      <c r="H2557" s="100"/>
    </row>
    <row r="2558" spans="3:8" x14ac:dyDescent="0.25">
      <c r="C2558" s="100"/>
      <c r="G2558" s="156"/>
      <c r="H2558" s="100"/>
    </row>
    <row r="2559" spans="3:8" x14ac:dyDescent="0.25">
      <c r="C2559" s="100"/>
      <c r="G2559" s="156"/>
      <c r="H2559" s="100"/>
    </row>
    <row r="2560" spans="3:8" x14ac:dyDescent="0.25">
      <c r="C2560" s="100"/>
      <c r="G2560" s="156"/>
      <c r="H2560" s="100"/>
    </row>
    <row r="2561" spans="3:8" x14ac:dyDescent="0.25">
      <c r="C2561" s="100"/>
      <c r="G2561" s="156"/>
      <c r="H2561" s="100"/>
    </row>
    <row r="2562" spans="3:8" x14ac:dyDescent="0.25">
      <c r="C2562" s="100"/>
      <c r="G2562" s="156"/>
      <c r="H2562" s="100"/>
    </row>
    <row r="2563" spans="3:8" x14ac:dyDescent="0.25">
      <c r="C2563" s="100"/>
      <c r="G2563" s="156"/>
      <c r="H2563" s="100"/>
    </row>
    <row r="2564" spans="3:8" x14ac:dyDescent="0.25">
      <c r="C2564" s="100"/>
      <c r="G2564" s="156"/>
      <c r="H2564" s="100"/>
    </row>
    <row r="2565" spans="3:8" x14ac:dyDescent="0.25">
      <c r="C2565" s="100"/>
      <c r="G2565" s="156"/>
      <c r="H2565" s="100"/>
    </row>
    <row r="2566" spans="3:8" x14ac:dyDescent="0.25">
      <c r="C2566" s="100"/>
      <c r="G2566" s="156"/>
      <c r="H2566" s="100"/>
    </row>
    <row r="2567" spans="3:8" x14ac:dyDescent="0.25">
      <c r="C2567" s="100"/>
      <c r="G2567" s="156"/>
      <c r="H2567" s="100"/>
    </row>
    <row r="2568" spans="3:8" x14ac:dyDescent="0.25">
      <c r="C2568" s="100"/>
      <c r="G2568" s="156"/>
      <c r="H2568" s="100"/>
    </row>
    <row r="2569" spans="3:8" x14ac:dyDescent="0.25">
      <c r="C2569" s="100"/>
      <c r="G2569" s="156"/>
      <c r="H2569" s="100"/>
    </row>
    <row r="2570" spans="3:8" x14ac:dyDescent="0.25">
      <c r="C2570" s="100"/>
      <c r="G2570" s="156"/>
      <c r="H2570" s="100"/>
    </row>
    <row r="2571" spans="3:8" x14ac:dyDescent="0.25">
      <c r="C2571" s="100"/>
      <c r="G2571" s="156"/>
      <c r="H2571" s="100"/>
    </row>
    <row r="2572" spans="3:8" x14ac:dyDescent="0.25">
      <c r="C2572" s="100"/>
      <c r="G2572" s="156"/>
      <c r="H2572" s="100"/>
    </row>
    <row r="2573" spans="3:8" x14ac:dyDescent="0.25">
      <c r="C2573" s="100"/>
      <c r="G2573" s="156"/>
      <c r="H2573" s="100"/>
    </row>
    <row r="2574" spans="3:8" x14ac:dyDescent="0.25">
      <c r="C2574" s="100"/>
      <c r="G2574" s="156"/>
      <c r="H2574" s="100"/>
    </row>
    <row r="2575" spans="3:8" x14ac:dyDescent="0.25">
      <c r="C2575" s="100"/>
      <c r="G2575" s="156"/>
      <c r="H2575" s="100"/>
    </row>
    <row r="2576" spans="3:8" x14ac:dyDescent="0.25">
      <c r="C2576" s="100"/>
      <c r="G2576" s="156"/>
      <c r="H2576" s="100"/>
    </row>
    <row r="2577" spans="3:8" x14ac:dyDescent="0.25">
      <c r="C2577" s="100"/>
      <c r="G2577" s="156"/>
      <c r="H2577" s="100"/>
    </row>
    <row r="2578" spans="3:8" x14ac:dyDescent="0.25">
      <c r="C2578" s="100"/>
      <c r="G2578" s="156"/>
      <c r="H2578" s="100"/>
    </row>
    <row r="2579" spans="3:8" x14ac:dyDescent="0.25">
      <c r="C2579" s="100"/>
      <c r="G2579" s="156"/>
      <c r="H2579" s="100"/>
    </row>
    <row r="2580" spans="3:8" x14ac:dyDescent="0.25">
      <c r="C2580" s="100"/>
      <c r="G2580" s="156"/>
      <c r="H2580" s="100"/>
    </row>
    <row r="2581" spans="3:8" x14ac:dyDescent="0.25">
      <c r="C2581" s="100"/>
      <c r="G2581" s="156"/>
      <c r="H2581" s="100"/>
    </row>
    <row r="2582" spans="3:8" x14ac:dyDescent="0.25">
      <c r="C2582" s="100"/>
      <c r="G2582" s="156"/>
      <c r="H2582" s="100"/>
    </row>
    <row r="2583" spans="3:8" x14ac:dyDescent="0.25">
      <c r="C2583" s="100"/>
      <c r="G2583" s="156"/>
      <c r="H2583" s="100"/>
    </row>
    <row r="2584" spans="3:8" x14ac:dyDescent="0.25">
      <c r="C2584" s="100"/>
      <c r="G2584" s="156"/>
      <c r="H2584" s="100"/>
    </row>
    <row r="2585" spans="3:8" x14ac:dyDescent="0.25">
      <c r="C2585" s="100"/>
      <c r="G2585" s="156"/>
      <c r="H2585" s="100"/>
    </row>
    <row r="2586" spans="3:8" x14ac:dyDescent="0.25">
      <c r="C2586" s="100"/>
      <c r="G2586" s="156"/>
      <c r="H2586" s="100"/>
    </row>
    <row r="2587" spans="3:8" x14ac:dyDescent="0.25">
      <c r="C2587" s="100"/>
      <c r="G2587" s="156"/>
      <c r="H2587" s="100"/>
    </row>
    <row r="2588" spans="3:8" x14ac:dyDescent="0.25">
      <c r="C2588" s="100"/>
      <c r="G2588" s="156"/>
      <c r="H2588" s="100"/>
    </row>
    <row r="2589" spans="3:8" x14ac:dyDescent="0.25">
      <c r="C2589" s="100"/>
      <c r="G2589" s="156"/>
      <c r="H2589" s="100"/>
    </row>
    <row r="2590" spans="3:8" x14ac:dyDescent="0.25">
      <c r="C2590" s="100"/>
      <c r="G2590" s="156"/>
      <c r="H2590" s="100"/>
    </row>
    <row r="2591" spans="3:8" x14ac:dyDescent="0.25">
      <c r="C2591" s="100"/>
      <c r="G2591" s="156"/>
      <c r="H2591" s="100"/>
    </row>
    <row r="2592" spans="3:8" x14ac:dyDescent="0.25">
      <c r="C2592" s="100"/>
      <c r="G2592" s="156"/>
      <c r="H2592" s="100"/>
    </row>
    <row r="2593" spans="3:8" x14ac:dyDescent="0.25">
      <c r="C2593" s="100"/>
      <c r="G2593" s="156"/>
      <c r="H2593" s="100"/>
    </row>
    <row r="2594" spans="3:8" x14ac:dyDescent="0.25">
      <c r="C2594" s="100"/>
      <c r="G2594" s="156"/>
      <c r="H2594" s="100"/>
    </row>
    <row r="2595" spans="3:8" x14ac:dyDescent="0.25">
      <c r="C2595" s="100"/>
      <c r="G2595" s="156"/>
      <c r="H2595" s="100"/>
    </row>
    <row r="2596" spans="3:8" x14ac:dyDescent="0.25">
      <c r="C2596" s="100"/>
      <c r="G2596" s="156"/>
      <c r="H2596" s="100"/>
    </row>
    <row r="2597" spans="3:8" x14ac:dyDescent="0.25">
      <c r="C2597" s="100"/>
      <c r="G2597" s="156"/>
      <c r="H2597" s="100"/>
    </row>
    <row r="2598" spans="3:8" x14ac:dyDescent="0.25">
      <c r="C2598" s="100"/>
      <c r="G2598" s="156"/>
      <c r="H2598" s="100"/>
    </row>
    <row r="2599" spans="3:8" x14ac:dyDescent="0.25">
      <c r="C2599" s="100"/>
      <c r="G2599" s="156"/>
      <c r="H2599" s="100"/>
    </row>
    <row r="2600" spans="3:8" x14ac:dyDescent="0.25">
      <c r="C2600" s="100"/>
      <c r="G2600" s="156"/>
      <c r="H2600" s="100"/>
    </row>
    <row r="2601" spans="3:8" x14ac:dyDescent="0.25">
      <c r="C2601" s="100"/>
      <c r="G2601" s="156"/>
      <c r="H2601" s="100"/>
    </row>
    <row r="2602" spans="3:8" x14ac:dyDescent="0.25">
      <c r="C2602" s="100"/>
      <c r="G2602" s="156"/>
      <c r="H2602" s="100"/>
    </row>
    <row r="2603" spans="3:8" x14ac:dyDescent="0.25">
      <c r="C2603" s="100"/>
      <c r="G2603" s="156"/>
      <c r="H2603" s="100"/>
    </row>
    <row r="2604" spans="3:8" x14ac:dyDescent="0.25">
      <c r="C2604" s="100"/>
      <c r="G2604" s="156"/>
      <c r="H2604" s="100"/>
    </row>
    <row r="2605" spans="3:8" x14ac:dyDescent="0.25">
      <c r="C2605" s="100"/>
      <c r="G2605" s="156"/>
      <c r="H2605" s="100"/>
    </row>
    <row r="2606" spans="3:8" x14ac:dyDescent="0.25">
      <c r="C2606" s="100"/>
      <c r="G2606" s="156"/>
      <c r="H2606" s="100"/>
    </row>
    <row r="2607" spans="3:8" x14ac:dyDescent="0.25">
      <c r="C2607" s="100"/>
      <c r="G2607" s="156"/>
      <c r="H2607" s="100"/>
    </row>
    <row r="2608" spans="3:8" x14ac:dyDescent="0.25">
      <c r="C2608" s="100"/>
      <c r="G2608" s="156"/>
      <c r="H2608" s="100"/>
    </row>
    <row r="2609" spans="3:8" x14ac:dyDescent="0.25">
      <c r="C2609" s="100"/>
      <c r="G2609" s="156"/>
      <c r="H2609" s="100"/>
    </row>
    <row r="2610" spans="3:8" x14ac:dyDescent="0.25">
      <c r="C2610" s="100"/>
      <c r="G2610" s="156"/>
      <c r="H2610" s="100"/>
    </row>
    <row r="2611" spans="3:8" x14ac:dyDescent="0.25">
      <c r="C2611" s="100"/>
      <c r="G2611" s="156"/>
      <c r="H2611" s="100"/>
    </row>
    <row r="2612" spans="3:8" x14ac:dyDescent="0.25">
      <c r="C2612" s="100"/>
      <c r="G2612" s="156"/>
      <c r="H2612" s="100"/>
    </row>
    <row r="2613" spans="3:8" x14ac:dyDescent="0.25">
      <c r="C2613" s="100"/>
      <c r="G2613" s="156"/>
      <c r="H2613" s="100"/>
    </row>
    <row r="2614" spans="3:8" x14ac:dyDescent="0.25">
      <c r="C2614" s="100"/>
      <c r="G2614" s="156"/>
      <c r="H2614" s="100"/>
    </row>
    <row r="2615" spans="3:8" x14ac:dyDescent="0.25">
      <c r="C2615" s="100"/>
      <c r="G2615" s="156"/>
      <c r="H2615" s="100"/>
    </row>
    <row r="2616" spans="3:8" x14ac:dyDescent="0.25">
      <c r="C2616" s="100"/>
      <c r="G2616" s="156"/>
      <c r="H2616" s="100"/>
    </row>
    <row r="2617" spans="3:8" x14ac:dyDescent="0.25">
      <c r="C2617" s="100"/>
      <c r="G2617" s="156"/>
      <c r="H2617" s="100"/>
    </row>
    <row r="2618" spans="3:8" x14ac:dyDescent="0.25">
      <c r="C2618" s="100"/>
      <c r="G2618" s="156"/>
      <c r="H2618" s="100"/>
    </row>
    <row r="2619" spans="3:8" x14ac:dyDescent="0.25">
      <c r="C2619" s="100"/>
      <c r="G2619" s="156"/>
      <c r="H2619" s="100"/>
    </row>
    <row r="2620" spans="3:8" x14ac:dyDescent="0.25">
      <c r="C2620" s="100"/>
      <c r="G2620" s="156"/>
      <c r="H2620" s="100"/>
    </row>
    <row r="2621" spans="3:8" x14ac:dyDescent="0.25">
      <c r="C2621" s="100"/>
      <c r="G2621" s="156"/>
      <c r="H2621" s="100"/>
    </row>
    <row r="2622" spans="3:8" x14ac:dyDescent="0.25">
      <c r="C2622" s="100"/>
      <c r="G2622" s="156"/>
      <c r="H2622" s="100"/>
    </row>
    <row r="2623" spans="3:8" x14ac:dyDescent="0.25">
      <c r="C2623" s="100"/>
      <c r="G2623" s="156"/>
      <c r="H2623" s="100"/>
    </row>
    <row r="2624" spans="3:8" x14ac:dyDescent="0.25">
      <c r="C2624" s="100"/>
      <c r="G2624" s="156"/>
      <c r="H2624" s="100"/>
    </row>
    <row r="2625" spans="3:8" x14ac:dyDescent="0.25">
      <c r="C2625" s="100"/>
      <c r="G2625" s="156"/>
      <c r="H2625" s="100"/>
    </row>
    <row r="2626" spans="3:8" x14ac:dyDescent="0.25">
      <c r="C2626" s="100"/>
      <c r="G2626" s="156"/>
      <c r="H2626" s="100"/>
    </row>
    <row r="2627" spans="3:8" x14ac:dyDescent="0.25">
      <c r="C2627" s="100"/>
      <c r="G2627" s="156"/>
      <c r="H2627" s="100"/>
    </row>
    <row r="2628" spans="3:8" x14ac:dyDescent="0.25">
      <c r="C2628" s="100"/>
      <c r="G2628" s="156"/>
      <c r="H2628" s="100"/>
    </row>
    <row r="2629" spans="3:8" x14ac:dyDescent="0.25">
      <c r="C2629" s="100"/>
      <c r="G2629" s="156"/>
      <c r="H2629" s="100"/>
    </row>
    <row r="2630" spans="3:8" x14ac:dyDescent="0.25">
      <c r="C2630" s="100"/>
      <c r="G2630" s="156"/>
      <c r="H2630" s="100"/>
    </row>
    <row r="2631" spans="3:8" x14ac:dyDescent="0.25">
      <c r="C2631" s="100"/>
      <c r="G2631" s="156"/>
      <c r="H2631" s="100"/>
    </row>
    <row r="2632" spans="3:8" x14ac:dyDescent="0.25">
      <c r="C2632" s="100"/>
      <c r="G2632" s="156"/>
      <c r="H2632" s="100"/>
    </row>
    <row r="2633" spans="3:8" x14ac:dyDescent="0.25">
      <c r="C2633" s="100"/>
      <c r="G2633" s="156"/>
      <c r="H2633" s="100"/>
    </row>
    <row r="2634" spans="3:8" x14ac:dyDescent="0.25">
      <c r="C2634" s="100"/>
      <c r="G2634" s="156"/>
      <c r="H2634" s="100"/>
    </row>
    <row r="2635" spans="3:8" x14ac:dyDescent="0.25">
      <c r="C2635" s="100"/>
      <c r="G2635" s="156"/>
      <c r="H2635" s="100"/>
    </row>
    <row r="2636" spans="3:8" x14ac:dyDescent="0.25">
      <c r="C2636" s="100"/>
      <c r="G2636" s="156"/>
      <c r="H2636" s="100"/>
    </row>
    <row r="2637" spans="3:8" x14ac:dyDescent="0.25">
      <c r="C2637" s="100"/>
      <c r="G2637" s="156"/>
      <c r="H2637" s="100"/>
    </row>
    <row r="2638" spans="3:8" x14ac:dyDescent="0.25">
      <c r="C2638" s="100"/>
      <c r="G2638" s="156"/>
      <c r="H2638" s="100"/>
    </row>
    <row r="2639" spans="3:8" x14ac:dyDescent="0.25">
      <c r="C2639" s="100"/>
      <c r="G2639" s="156"/>
      <c r="H2639" s="100"/>
    </row>
    <row r="2640" spans="3:8" x14ac:dyDescent="0.25">
      <c r="C2640" s="100"/>
      <c r="G2640" s="156"/>
      <c r="H2640" s="100"/>
    </row>
    <row r="2641" spans="3:8" x14ac:dyDescent="0.25">
      <c r="C2641" s="100"/>
      <c r="G2641" s="156"/>
      <c r="H2641" s="100"/>
    </row>
    <row r="2642" spans="3:8" x14ac:dyDescent="0.25">
      <c r="C2642" s="100"/>
      <c r="G2642" s="156"/>
      <c r="H2642" s="100"/>
    </row>
    <row r="2643" spans="3:8" x14ac:dyDescent="0.25">
      <c r="C2643" s="100"/>
      <c r="G2643" s="156"/>
      <c r="H2643" s="100"/>
    </row>
    <row r="2644" spans="3:8" x14ac:dyDescent="0.25">
      <c r="C2644" s="100"/>
      <c r="G2644" s="156"/>
      <c r="H2644" s="100"/>
    </row>
    <row r="2645" spans="3:8" x14ac:dyDescent="0.25">
      <c r="C2645" s="100"/>
      <c r="G2645" s="156"/>
      <c r="H2645" s="100"/>
    </row>
    <row r="2646" spans="3:8" x14ac:dyDescent="0.25">
      <c r="C2646" s="100"/>
      <c r="G2646" s="156"/>
      <c r="H2646" s="100"/>
    </row>
    <row r="2647" spans="3:8" x14ac:dyDescent="0.25">
      <c r="C2647" s="100"/>
      <c r="G2647" s="156"/>
      <c r="H2647" s="100"/>
    </row>
    <row r="2648" spans="3:8" x14ac:dyDescent="0.25">
      <c r="C2648" s="100"/>
      <c r="G2648" s="156"/>
      <c r="H2648" s="100"/>
    </row>
    <row r="2649" spans="3:8" x14ac:dyDescent="0.25">
      <c r="C2649" s="100"/>
      <c r="G2649" s="156"/>
      <c r="H2649" s="100"/>
    </row>
    <row r="2650" spans="3:8" x14ac:dyDescent="0.25">
      <c r="C2650" s="100"/>
      <c r="G2650" s="156"/>
      <c r="H2650" s="100"/>
    </row>
    <row r="2651" spans="3:8" x14ac:dyDescent="0.25">
      <c r="C2651" s="100"/>
      <c r="G2651" s="156"/>
      <c r="H2651" s="100"/>
    </row>
    <row r="2652" spans="3:8" x14ac:dyDescent="0.25">
      <c r="C2652" s="100"/>
      <c r="G2652" s="156"/>
      <c r="H2652" s="100"/>
    </row>
    <row r="2653" spans="3:8" x14ac:dyDescent="0.25">
      <c r="C2653" s="100"/>
      <c r="G2653" s="156"/>
      <c r="H2653" s="100"/>
    </row>
    <row r="2654" spans="3:8" x14ac:dyDescent="0.25">
      <c r="C2654" s="100"/>
      <c r="G2654" s="156"/>
      <c r="H2654" s="100"/>
    </row>
    <row r="2655" spans="3:8" x14ac:dyDescent="0.25">
      <c r="C2655" s="100"/>
      <c r="G2655" s="156"/>
      <c r="H2655" s="100"/>
    </row>
    <row r="2656" spans="3:8" x14ac:dyDescent="0.25">
      <c r="C2656" s="100"/>
      <c r="G2656" s="156"/>
      <c r="H2656" s="100"/>
    </row>
    <row r="2657" spans="3:8" x14ac:dyDescent="0.25">
      <c r="C2657" s="100"/>
      <c r="G2657" s="156"/>
      <c r="H2657" s="100"/>
    </row>
    <row r="2658" spans="3:8" x14ac:dyDescent="0.25">
      <c r="C2658" s="100"/>
      <c r="G2658" s="156"/>
      <c r="H2658" s="100"/>
    </row>
    <row r="2659" spans="3:8" x14ac:dyDescent="0.25">
      <c r="C2659" s="100"/>
      <c r="G2659" s="156"/>
      <c r="H2659" s="100"/>
    </row>
    <row r="2660" spans="3:8" x14ac:dyDescent="0.25">
      <c r="C2660" s="100"/>
      <c r="G2660" s="156"/>
      <c r="H2660" s="100"/>
    </row>
    <row r="2661" spans="3:8" x14ac:dyDescent="0.25">
      <c r="C2661" s="100"/>
      <c r="G2661" s="156"/>
      <c r="H2661" s="100"/>
    </row>
    <row r="2662" spans="3:8" x14ac:dyDescent="0.25">
      <c r="C2662" s="100"/>
      <c r="G2662" s="156"/>
      <c r="H2662" s="100"/>
    </row>
    <row r="2663" spans="3:8" x14ac:dyDescent="0.25">
      <c r="C2663" s="100"/>
      <c r="G2663" s="156"/>
      <c r="H2663" s="100"/>
    </row>
    <row r="2664" spans="3:8" x14ac:dyDescent="0.25">
      <c r="C2664" s="100"/>
      <c r="G2664" s="156"/>
      <c r="H2664" s="100"/>
    </row>
    <row r="2665" spans="3:8" x14ac:dyDescent="0.25">
      <c r="C2665" s="100"/>
      <c r="G2665" s="156"/>
      <c r="H2665" s="100"/>
    </row>
    <row r="2666" spans="3:8" x14ac:dyDescent="0.25">
      <c r="C2666" s="100"/>
      <c r="G2666" s="156"/>
      <c r="H2666" s="100"/>
    </row>
    <row r="2667" spans="3:8" x14ac:dyDescent="0.25">
      <c r="C2667" s="100"/>
      <c r="G2667" s="156"/>
      <c r="H2667" s="100"/>
    </row>
    <row r="2668" spans="3:8" x14ac:dyDescent="0.25">
      <c r="C2668" s="100"/>
      <c r="G2668" s="156"/>
      <c r="H2668" s="100"/>
    </row>
    <row r="2669" spans="3:8" x14ac:dyDescent="0.25">
      <c r="C2669" s="100"/>
      <c r="G2669" s="156"/>
      <c r="H2669" s="100"/>
    </row>
    <row r="2670" spans="3:8" x14ac:dyDescent="0.25">
      <c r="C2670" s="100"/>
      <c r="G2670" s="156"/>
      <c r="H2670" s="100"/>
    </row>
    <row r="2671" spans="3:8" x14ac:dyDescent="0.25">
      <c r="C2671" s="100"/>
      <c r="G2671" s="156"/>
      <c r="H2671" s="100"/>
    </row>
    <row r="2672" spans="3:8" x14ac:dyDescent="0.25">
      <c r="C2672" s="100"/>
      <c r="G2672" s="156"/>
      <c r="H2672" s="100"/>
    </row>
    <row r="2673" spans="3:8" x14ac:dyDescent="0.25">
      <c r="C2673" s="100"/>
      <c r="G2673" s="156"/>
      <c r="H2673" s="100"/>
    </row>
    <row r="2674" spans="3:8" x14ac:dyDescent="0.25">
      <c r="C2674" s="100"/>
      <c r="G2674" s="156"/>
      <c r="H2674" s="100"/>
    </row>
    <row r="2675" spans="3:8" x14ac:dyDescent="0.25">
      <c r="C2675" s="100"/>
      <c r="G2675" s="156"/>
      <c r="H2675" s="100"/>
    </row>
    <row r="2676" spans="3:8" x14ac:dyDescent="0.25">
      <c r="C2676" s="100"/>
      <c r="G2676" s="156"/>
      <c r="H2676" s="100"/>
    </row>
    <row r="2677" spans="3:8" x14ac:dyDescent="0.25">
      <c r="C2677" s="100"/>
      <c r="G2677" s="156"/>
      <c r="H2677" s="100"/>
    </row>
    <row r="2678" spans="3:8" x14ac:dyDescent="0.25">
      <c r="C2678" s="100"/>
      <c r="G2678" s="156"/>
      <c r="H2678" s="100"/>
    </row>
    <row r="2679" spans="3:8" x14ac:dyDescent="0.25">
      <c r="C2679" s="100"/>
      <c r="G2679" s="156"/>
      <c r="H2679" s="100"/>
    </row>
    <row r="2680" spans="3:8" x14ac:dyDescent="0.25">
      <c r="C2680" s="100"/>
      <c r="G2680" s="156"/>
      <c r="H2680" s="100"/>
    </row>
    <row r="2681" spans="3:8" x14ac:dyDescent="0.25">
      <c r="C2681" s="100"/>
      <c r="G2681" s="156"/>
      <c r="H2681" s="100"/>
    </row>
    <row r="2682" spans="3:8" x14ac:dyDescent="0.25">
      <c r="C2682" s="100"/>
      <c r="G2682" s="156"/>
      <c r="H2682" s="100"/>
    </row>
    <row r="2683" spans="3:8" x14ac:dyDescent="0.25">
      <c r="C2683" s="100"/>
      <c r="G2683" s="156"/>
      <c r="H2683" s="100"/>
    </row>
    <row r="2684" spans="3:8" x14ac:dyDescent="0.25">
      <c r="C2684" s="100"/>
      <c r="G2684" s="156"/>
      <c r="H2684" s="100"/>
    </row>
    <row r="2685" spans="3:8" x14ac:dyDescent="0.25">
      <c r="C2685" s="100"/>
      <c r="G2685" s="156"/>
      <c r="H2685" s="100"/>
    </row>
    <row r="2686" spans="3:8" x14ac:dyDescent="0.25">
      <c r="C2686" s="100"/>
      <c r="G2686" s="156"/>
      <c r="H2686" s="100"/>
    </row>
    <row r="2687" spans="3:8" x14ac:dyDescent="0.25">
      <c r="C2687" s="100"/>
      <c r="G2687" s="156"/>
      <c r="H2687" s="100"/>
    </row>
    <row r="2688" spans="3:8" x14ac:dyDescent="0.25">
      <c r="C2688" s="100"/>
      <c r="G2688" s="156"/>
      <c r="H2688" s="100"/>
    </row>
    <row r="2689" spans="3:8" x14ac:dyDescent="0.25">
      <c r="C2689" s="100"/>
      <c r="G2689" s="156"/>
      <c r="H2689" s="100"/>
    </row>
    <row r="2690" spans="3:8" x14ac:dyDescent="0.25">
      <c r="C2690" s="100"/>
      <c r="G2690" s="156"/>
      <c r="H2690" s="100"/>
    </row>
    <row r="2691" spans="3:8" x14ac:dyDescent="0.25">
      <c r="C2691" s="100"/>
      <c r="G2691" s="156"/>
      <c r="H2691" s="100"/>
    </row>
    <row r="2692" spans="3:8" x14ac:dyDescent="0.25">
      <c r="C2692" s="100"/>
      <c r="G2692" s="156"/>
      <c r="H2692" s="100"/>
    </row>
    <row r="2693" spans="3:8" x14ac:dyDescent="0.25">
      <c r="C2693" s="100"/>
      <c r="G2693" s="156"/>
      <c r="H2693" s="100"/>
    </row>
    <row r="2694" spans="3:8" x14ac:dyDescent="0.25">
      <c r="C2694" s="100"/>
      <c r="G2694" s="156"/>
      <c r="H2694" s="100"/>
    </row>
    <row r="2695" spans="3:8" x14ac:dyDescent="0.25">
      <c r="C2695" s="100"/>
      <c r="G2695" s="156"/>
      <c r="H2695" s="100"/>
    </row>
    <row r="2696" spans="3:8" x14ac:dyDescent="0.25">
      <c r="C2696" s="100"/>
      <c r="G2696" s="156"/>
      <c r="H2696" s="100"/>
    </row>
    <row r="2697" spans="3:8" x14ac:dyDescent="0.25">
      <c r="C2697" s="100"/>
      <c r="G2697" s="156"/>
      <c r="H2697" s="100"/>
    </row>
    <row r="2698" spans="3:8" x14ac:dyDescent="0.25">
      <c r="C2698" s="100"/>
      <c r="G2698" s="156"/>
      <c r="H2698" s="100"/>
    </row>
    <row r="2699" spans="3:8" x14ac:dyDescent="0.25">
      <c r="C2699" s="100"/>
      <c r="G2699" s="156"/>
      <c r="H2699" s="100"/>
    </row>
    <row r="2700" spans="3:8" x14ac:dyDescent="0.25">
      <c r="C2700" s="100"/>
      <c r="G2700" s="156"/>
      <c r="H2700" s="100"/>
    </row>
    <row r="2701" spans="3:8" x14ac:dyDescent="0.25">
      <c r="C2701" s="100"/>
      <c r="G2701" s="156"/>
      <c r="H2701" s="100"/>
    </row>
    <row r="2702" spans="3:8" x14ac:dyDescent="0.25">
      <c r="C2702" s="100"/>
      <c r="G2702" s="156"/>
      <c r="H2702" s="100"/>
    </row>
    <row r="2703" spans="3:8" x14ac:dyDescent="0.25">
      <c r="C2703" s="100"/>
      <c r="G2703" s="156"/>
      <c r="H2703" s="100"/>
    </row>
    <row r="2704" spans="3:8" x14ac:dyDescent="0.25">
      <c r="C2704" s="100"/>
      <c r="G2704" s="156"/>
      <c r="H2704" s="100"/>
    </row>
    <row r="2705" spans="3:8" x14ac:dyDescent="0.25">
      <c r="C2705" s="100"/>
      <c r="G2705" s="156"/>
      <c r="H2705" s="100"/>
    </row>
    <row r="2706" spans="3:8" x14ac:dyDescent="0.25">
      <c r="C2706" s="100"/>
      <c r="G2706" s="156"/>
      <c r="H2706" s="100"/>
    </row>
    <row r="2707" spans="3:8" x14ac:dyDescent="0.25">
      <c r="C2707" s="100"/>
      <c r="G2707" s="156"/>
      <c r="H2707" s="100"/>
    </row>
    <row r="2708" spans="3:8" x14ac:dyDescent="0.25">
      <c r="C2708" s="100"/>
      <c r="G2708" s="156"/>
      <c r="H2708" s="100"/>
    </row>
    <row r="2709" spans="3:8" x14ac:dyDescent="0.25">
      <c r="C2709" s="100"/>
      <c r="G2709" s="156"/>
      <c r="H2709" s="100"/>
    </row>
    <row r="2710" spans="3:8" x14ac:dyDescent="0.25">
      <c r="C2710" s="100"/>
      <c r="G2710" s="156"/>
      <c r="H2710" s="100"/>
    </row>
    <row r="2711" spans="3:8" x14ac:dyDescent="0.25">
      <c r="C2711" s="100"/>
      <c r="G2711" s="156"/>
      <c r="H2711" s="100"/>
    </row>
    <row r="2712" spans="3:8" x14ac:dyDescent="0.25">
      <c r="C2712" s="100"/>
      <c r="G2712" s="156"/>
      <c r="H2712" s="100"/>
    </row>
    <row r="2713" spans="3:8" x14ac:dyDescent="0.25">
      <c r="C2713" s="100"/>
      <c r="G2713" s="156"/>
      <c r="H2713" s="100"/>
    </row>
    <row r="2714" spans="3:8" x14ac:dyDescent="0.25">
      <c r="C2714" s="100"/>
      <c r="G2714" s="156"/>
      <c r="H2714" s="100"/>
    </row>
    <row r="2715" spans="3:8" x14ac:dyDescent="0.25">
      <c r="C2715" s="100"/>
      <c r="G2715" s="156"/>
      <c r="H2715" s="100"/>
    </row>
    <row r="2716" spans="3:8" x14ac:dyDescent="0.25">
      <c r="C2716" s="100"/>
      <c r="G2716" s="156"/>
      <c r="H2716" s="100"/>
    </row>
    <row r="2717" spans="3:8" x14ac:dyDescent="0.25">
      <c r="C2717" s="100"/>
      <c r="G2717" s="156"/>
      <c r="H2717" s="100"/>
    </row>
    <row r="2718" spans="3:8" x14ac:dyDescent="0.25">
      <c r="C2718" s="100"/>
      <c r="G2718" s="156"/>
      <c r="H2718" s="100"/>
    </row>
    <row r="2719" spans="3:8" x14ac:dyDescent="0.25">
      <c r="C2719" s="100"/>
      <c r="G2719" s="156"/>
      <c r="H2719" s="100"/>
    </row>
    <row r="2720" spans="3:8" x14ac:dyDescent="0.25">
      <c r="C2720" s="100"/>
      <c r="G2720" s="156"/>
      <c r="H2720" s="100"/>
    </row>
    <row r="2721" spans="3:8" x14ac:dyDescent="0.25">
      <c r="C2721" s="100"/>
      <c r="G2721" s="156"/>
      <c r="H2721" s="100"/>
    </row>
    <row r="2722" spans="3:8" x14ac:dyDescent="0.25">
      <c r="C2722" s="100"/>
      <c r="G2722" s="156"/>
      <c r="H2722" s="100"/>
    </row>
    <row r="2723" spans="3:8" x14ac:dyDescent="0.25">
      <c r="C2723" s="100"/>
      <c r="G2723" s="156"/>
      <c r="H2723" s="100"/>
    </row>
    <row r="2724" spans="3:8" x14ac:dyDescent="0.25">
      <c r="C2724" s="100"/>
      <c r="G2724" s="156"/>
      <c r="H2724" s="100"/>
    </row>
    <row r="2725" spans="3:8" x14ac:dyDescent="0.25">
      <c r="C2725" s="100"/>
      <c r="G2725" s="156"/>
      <c r="H2725" s="100"/>
    </row>
    <row r="2726" spans="3:8" x14ac:dyDescent="0.25">
      <c r="C2726" s="100"/>
      <c r="G2726" s="156"/>
      <c r="H2726" s="100"/>
    </row>
    <row r="2727" spans="3:8" x14ac:dyDescent="0.25">
      <c r="C2727" s="100"/>
      <c r="G2727" s="156"/>
      <c r="H2727" s="100"/>
    </row>
    <row r="2728" spans="3:8" x14ac:dyDescent="0.25">
      <c r="C2728" s="100"/>
      <c r="G2728" s="156"/>
      <c r="H2728" s="100"/>
    </row>
    <row r="2729" spans="3:8" x14ac:dyDescent="0.25">
      <c r="C2729" s="100"/>
      <c r="G2729" s="156"/>
      <c r="H2729" s="100"/>
    </row>
    <row r="2730" spans="3:8" x14ac:dyDescent="0.25">
      <c r="C2730" s="100"/>
      <c r="G2730" s="156"/>
      <c r="H2730" s="100"/>
    </row>
    <row r="2731" spans="3:8" x14ac:dyDescent="0.25">
      <c r="C2731" s="100"/>
      <c r="G2731" s="156"/>
      <c r="H2731" s="100"/>
    </row>
    <row r="2732" spans="3:8" x14ac:dyDescent="0.25">
      <c r="C2732" s="100"/>
      <c r="G2732" s="156"/>
      <c r="H2732" s="100"/>
    </row>
    <row r="2733" spans="3:8" x14ac:dyDescent="0.25">
      <c r="C2733" s="100"/>
      <c r="G2733" s="156"/>
      <c r="H2733" s="100"/>
    </row>
    <row r="2734" spans="3:8" x14ac:dyDescent="0.25">
      <c r="C2734" s="100"/>
      <c r="G2734" s="156"/>
      <c r="H2734" s="100"/>
    </row>
    <row r="2735" spans="3:8" x14ac:dyDescent="0.25">
      <c r="C2735" s="100"/>
      <c r="G2735" s="156"/>
      <c r="H2735" s="100"/>
    </row>
    <row r="2736" spans="3:8" x14ac:dyDescent="0.25">
      <c r="C2736" s="100"/>
      <c r="G2736" s="156"/>
      <c r="H2736" s="100"/>
    </row>
    <row r="2737" spans="3:8" x14ac:dyDescent="0.25">
      <c r="C2737" s="100"/>
      <c r="G2737" s="156"/>
      <c r="H2737" s="100"/>
    </row>
    <row r="2738" spans="3:8" x14ac:dyDescent="0.25">
      <c r="C2738" s="100"/>
      <c r="G2738" s="156"/>
      <c r="H2738" s="100"/>
    </row>
    <row r="2739" spans="3:8" x14ac:dyDescent="0.25">
      <c r="C2739" s="100"/>
      <c r="G2739" s="156"/>
      <c r="H2739" s="100"/>
    </row>
    <row r="2740" spans="3:8" x14ac:dyDescent="0.25">
      <c r="C2740" s="100"/>
      <c r="G2740" s="156"/>
      <c r="H2740" s="100"/>
    </row>
    <row r="2741" spans="3:8" x14ac:dyDescent="0.25">
      <c r="C2741" s="100"/>
      <c r="G2741" s="156"/>
      <c r="H2741" s="100"/>
    </row>
    <row r="2742" spans="3:8" x14ac:dyDescent="0.25">
      <c r="C2742" s="100"/>
      <c r="G2742" s="156"/>
      <c r="H2742" s="100"/>
    </row>
    <row r="2743" spans="3:8" x14ac:dyDescent="0.25">
      <c r="C2743" s="100"/>
      <c r="G2743" s="156"/>
      <c r="H2743" s="100"/>
    </row>
    <row r="2744" spans="3:8" x14ac:dyDescent="0.25">
      <c r="C2744" s="100"/>
      <c r="G2744" s="156"/>
      <c r="H2744" s="100"/>
    </row>
    <row r="2745" spans="3:8" x14ac:dyDescent="0.25">
      <c r="C2745" s="100"/>
      <c r="G2745" s="156"/>
      <c r="H2745" s="100"/>
    </row>
    <row r="2746" spans="3:8" x14ac:dyDescent="0.25">
      <c r="C2746" s="100"/>
      <c r="G2746" s="156"/>
      <c r="H2746" s="100"/>
    </row>
    <row r="2747" spans="3:8" x14ac:dyDescent="0.25">
      <c r="C2747" s="100"/>
      <c r="G2747" s="156"/>
      <c r="H2747" s="100"/>
    </row>
    <row r="2748" spans="3:8" x14ac:dyDescent="0.25">
      <c r="C2748" s="100"/>
      <c r="G2748" s="156"/>
      <c r="H2748" s="100"/>
    </row>
    <row r="2749" spans="3:8" x14ac:dyDescent="0.25">
      <c r="C2749" s="100"/>
      <c r="G2749" s="156"/>
      <c r="H2749" s="100"/>
    </row>
    <row r="2750" spans="3:8" x14ac:dyDescent="0.25">
      <c r="C2750" s="100"/>
      <c r="G2750" s="156"/>
      <c r="H2750" s="100"/>
    </row>
    <row r="2751" spans="3:8" x14ac:dyDescent="0.25">
      <c r="C2751" s="100"/>
      <c r="G2751" s="156"/>
      <c r="H2751" s="100"/>
    </row>
    <row r="2752" spans="3:8" x14ac:dyDescent="0.25">
      <c r="C2752" s="100"/>
      <c r="G2752" s="156"/>
      <c r="H2752" s="100"/>
    </row>
    <row r="2753" spans="3:8" x14ac:dyDescent="0.25">
      <c r="C2753" s="100"/>
      <c r="G2753" s="156"/>
      <c r="H2753" s="100"/>
    </row>
    <row r="2754" spans="3:8" x14ac:dyDescent="0.25">
      <c r="C2754" s="100"/>
      <c r="G2754" s="156"/>
      <c r="H2754" s="100"/>
    </row>
    <row r="2755" spans="3:8" x14ac:dyDescent="0.25">
      <c r="C2755" s="100"/>
      <c r="G2755" s="156"/>
      <c r="H2755" s="100"/>
    </row>
    <row r="2756" spans="3:8" x14ac:dyDescent="0.25">
      <c r="C2756" s="100"/>
      <c r="G2756" s="156"/>
      <c r="H2756" s="100"/>
    </row>
    <row r="2757" spans="3:8" x14ac:dyDescent="0.25">
      <c r="C2757" s="100"/>
      <c r="G2757" s="156"/>
      <c r="H2757" s="100"/>
    </row>
    <row r="2758" spans="3:8" x14ac:dyDescent="0.25">
      <c r="C2758" s="100"/>
      <c r="G2758" s="156"/>
      <c r="H2758" s="100"/>
    </row>
    <row r="2759" spans="3:8" x14ac:dyDescent="0.25">
      <c r="C2759" s="100"/>
      <c r="G2759" s="156"/>
      <c r="H2759" s="100"/>
    </row>
    <row r="2760" spans="3:8" x14ac:dyDescent="0.25">
      <c r="C2760" s="100"/>
      <c r="G2760" s="156"/>
      <c r="H2760" s="100"/>
    </row>
    <row r="2761" spans="3:8" x14ac:dyDescent="0.25">
      <c r="C2761" s="100"/>
      <c r="G2761" s="156"/>
      <c r="H2761" s="100"/>
    </row>
    <row r="2762" spans="3:8" x14ac:dyDescent="0.25">
      <c r="C2762" s="100"/>
      <c r="G2762" s="156"/>
      <c r="H2762" s="100"/>
    </row>
    <row r="2763" spans="3:8" x14ac:dyDescent="0.25">
      <c r="C2763" s="100"/>
      <c r="G2763" s="156"/>
      <c r="H2763" s="100"/>
    </row>
    <row r="2764" spans="3:8" x14ac:dyDescent="0.25">
      <c r="C2764" s="100"/>
      <c r="G2764" s="156"/>
      <c r="H2764" s="100"/>
    </row>
    <row r="2765" spans="3:8" x14ac:dyDescent="0.25">
      <c r="C2765" s="100"/>
      <c r="G2765" s="156"/>
      <c r="H2765" s="100"/>
    </row>
    <row r="2766" spans="3:8" x14ac:dyDescent="0.25">
      <c r="C2766" s="100"/>
      <c r="G2766" s="156"/>
      <c r="H2766" s="100"/>
    </row>
    <row r="2767" spans="3:8" x14ac:dyDescent="0.25">
      <c r="C2767" s="100"/>
      <c r="G2767" s="156"/>
      <c r="H2767" s="100"/>
    </row>
    <row r="2768" spans="3:8" x14ac:dyDescent="0.25">
      <c r="C2768" s="100"/>
      <c r="G2768" s="156"/>
      <c r="H2768" s="100"/>
    </row>
    <row r="2769" spans="3:8" x14ac:dyDescent="0.25">
      <c r="C2769" s="100"/>
      <c r="G2769" s="156"/>
      <c r="H2769" s="100"/>
    </row>
    <row r="2770" spans="3:8" x14ac:dyDescent="0.25">
      <c r="C2770" s="100"/>
      <c r="G2770" s="156"/>
      <c r="H2770" s="100"/>
    </row>
    <row r="2771" spans="3:8" x14ac:dyDescent="0.25">
      <c r="C2771" s="100"/>
      <c r="G2771" s="156"/>
      <c r="H2771" s="100"/>
    </row>
    <row r="2772" spans="3:8" x14ac:dyDescent="0.25">
      <c r="C2772" s="100"/>
      <c r="G2772" s="156"/>
      <c r="H2772" s="100"/>
    </row>
    <row r="2773" spans="3:8" x14ac:dyDescent="0.25">
      <c r="C2773" s="100"/>
      <c r="G2773" s="156"/>
      <c r="H2773" s="100"/>
    </row>
    <row r="2774" spans="3:8" x14ac:dyDescent="0.25">
      <c r="C2774" s="100"/>
      <c r="G2774" s="156"/>
      <c r="H2774" s="100"/>
    </row>
    <row r="2775" spans="3:8" x14ac:dyDescent="0.25">
      <c r="C2775" s="100"/>
      <c r="G2775" s="156"/>
      <c r="H2775" s="100"/>
    </row>
    <row r="2776" spans="3:8" x14ac:dyDescent="0.25">
      <c r="C2776" s="100"/>
      <c r="G2776" s="156"/>
      <c r="H2776" s="100"/>
    </row>
    <row r="2777" spans="3:8" x14ac:dyDescent="0.25">
      <c r="C2777" s="100"/>
      <c r="G2777" s="156"/>
      <c r="H2777" s="100"/>
    </row>
    <row r="2778" spans="3:8" x14ac:dyDescent="0.25">
      <c r="C2778" s="100"/>
      <c r="G2778" s="156"/>
      <c r="H2778" s="100"/>
    </row>
    <row r="2779" spans="3:8" x14ac:dyDescent="0.25">
      <c r="C2779" s="100"/>
      <c r="G2779" s="156"/>
      <c r="H2779" s="100"/>
    </row>
    <row r="2780" spans="3:8" x14ac:dyDescent="0.25">
      <c r="C2780" s="100"/>
      <c r="G2780" s="156"/>
      <c r="H2780" s="100"/>
    </row>
    <row r="2781" spans="3:8" x14ac:dyDescent="0.25">
      <c r="C2781" s="100"/>
      <c r="G2781" s="156"/>
      <c r="H2781" s="100"/>
    </row>
    <row r="2782" spans="3:8" x14ac:dyDescent="0.25">
      <c r="C2782" s="100"/>
      <c r="G2782" s="156"/>
      <c r="H2782" s="100"/>
    </row>
    <row r="2783" spans="3:8" x14ac:dyDescent="0.25">
      <c r="C2783" s="100"/>
      <c r="G2783" s="156"/>
      <c r="H2783" s="100"/>
    </row>
    <row r="2784" spans="3:8" x14ac:dyDescent="0.25">
      <c r="C2784" s="100"/>
      <c r="G2784" s="156"/>
      <c r="H2784" s="100"/>
    </row>
    <row r="2785" spans="3:8" x14ac:dyDescent="0.25">
      <c r="C2785" s="100"/>
      <c r="G2785" s="156"/>
      <c r="H2785" s="100"/>
    </row>
    <row r="2786" spans="3:8" x14ac:dyDescent="0.25">
      <c r="C2786" s="100"/>
      <c r="G2786" s="156"/>
      <c r="H2786" s="100"/>
    </row>
    <row r="2787" spans="3:8" x14ac:dyDescent="0.25">
      <c r="C2787" s="100"/>
      <c r="G2787" s="156"/>
      <c r="H2787" s="100"/>
    </row>
    <row r="2788" spans="3:8" x14ac:dyDescent="0.25">
      <c r="C2788" s="100"/>
      <c r="G2788" s="156"/>
      <c r="H2788" s="100"/>
    </row>
    <row r="2789" spans="3:8" x14ac:dyDescent="0.25">
      <c r="C2789" s="100"/>
      <c r="G2789" s="156"/>
      <c r="H2789" s="100"/>
    </row>
    <row r="2790" spans="3:8" x14ac:dyDescent="0.25">
      <c r="C2790" s="100"/>
      <c r="G2790" s="156"/>
      <c r="H2790" s="100"/>
    </row>
    <row r="2791" spans="3:8" x14ac:dyDescent="0.25">
      <c r="C2791" s="100"/>
      <c r="G2791" s="156"/>
      <c r="H2791" s="100"/>
    </row>
    <row r="2792" spans="3:8" x14ac:dyDescent="0.25">
      <c r="C2792" s="100"/>
      <c r="G2792" s="156"/>
      <c r="H2792" s="100"/>
    </row>
    <row r="2793" spans="3:8" x14ac:dyDescent="0.25">
      <c r="C2793" s="100"/>
      <c r="G2793" s="156"/>
      <c r="H2793" s="100"/>
    </row>
    <row r="2794" spans="3:8" x14ac:dyDescent="0.25">
      <c r="C2794" s="100"/>
      <c r="G2794" s="156"/>
      <c r="H2794" s="100"/>
    </row>
    <row r="2795" spans="3:8" x14ac:dyDescent="0.25">
      <c r="C2795" s="100"/>
      <c r="G2795" s="156"/>
      <c r="H2795" s="100"/>
    </row>
    <row r="2796" spans="3:8" x14ac:dyDescent="0.25">
      <c r="C2796" s="100"/>
      <c r="G2796" s="156"/>
      <c r="H2796" s="100"/>
    </row>
    <row r="2797" spans="3:8" x14ac:dyDescent="0.25">
      <c r="C2797" s="100"/>
      <c r="G2797" s="156"/>
      <c r="H2797" s="100"/>
    </row>
    <row r="2798" spans="3:8" x14ac:dyDescent="0.25">
      <c r="C2798" s="100"/>
      <c r="G2798" s="156"/>
      <c r="H2798" s="100"/>
    </row>
    <row r="2799" spans="3:8" x14ac:dyDescent="0.25">
      <c r="C2799" s="100"/>
      <c r="G2799" s="156"/>
      <c r="H2799" s="100"/>
    </row>
    <row r="2800" spans="3:8" x14ac:dyDescent="0.25">
      <c r="C2800" s="100"/>
      <c r="G2800" s="156"/>
      <c r="H2800" s="100"/>
    </row>
    <row r="2801" spans="3:8" x14ac:dyDescent="0.25">
      <c r="C2801" s="100"/>
      <c r="G2801" s="156"/>
      <c r="H2801" s="100"/>
    </row>
    <row r="2802" spans="3:8" x14ac:dyDescent="0.25">
      <c r="C2802" s="100"/>
      <c r="G2802" s="156"/>
      <c r="H2802" s="100"/>
    </row>
    <row r="2803" spans="3:8" x14ac:dyDescent="0.25">
      <c r="C2803" s="100"/>
      <c r="G2803" s="156"/>
      <c r="H2803" s="100"/>
    </row>
    <row r="2804" spans="3:8" x14ac:dyDescent="0.25">
      <c r="C2804" s="100"/>
      <c r="G2804" s="156"/>
      <c r="H2804" s="100"/>
    </row>
    <row r="2805" spans="3:8" x14ac:dyDescent="0.25">
      <c r="C2805" s="100"/>
      <c r="G2805" s="156"/>
      <c r="H2805" s="100"/>
    </row>
    <row r="2806" spans="3:8" x14ac:dyDescent="0.25">
      <c r="C2806" s="100"/>
      <c r="G2806" s="156"/>
      <c r="H2806" s="100"/>
    </row>
    <row r="2807" spans="3:8" x14ac:dyDescent="0.25">
      <c r="C2807" s="100"/>
      <c r="G2807" s="156"/>
      <c r="H2807" s="100"/>
    </row>
    <row r="2808" spans="3:8" x14ac:dyDescent="0.25">
      <c r="C2808" s="100"/>
      <c r="G2808" s="156"/>
      <c r="H2808" s="100"/>
    </row>
    <row r="2809" spans="3:8" x14ac:dyDescent="0.25">
      <c r="C2809" s="100"/>
      <c r="G2809" s="156"/>
      <c r="H2809" s="100"/>
    </row>
    <row r="2810" spans="3:8" x14ac:dyDescent="0.25">
      <c r="C2810" s="100"/>
      <c r="G2810" s="156"/>
      <c r="H2810" s="100"/>
    </row>
    <row r="2811" spans="3:8" x14ac:dyDescent="0.25">
      <c r="C2811" s="100"/>
      <c r="G2811" s="156"/>
      <c r="H2811" s="100"/>
    </row>
    <row r="2812" spans="3:8" x14ac:dyDescent="0.25">
      <c r="C2812" s="100"/>
      <c r="G2812" s="156"/>
      <c r="H2812" s="100"/>
    </row>
    <row r="2813" spans="3:8" x14ac:dyDescent="0.25">
      <c r="C2813" s="100"/>
      <c r="G2813" s="156"/>
      <c r="H2813" s="100"/>
    </row>
    <row r="2814" spans="3:8" x14ac:dyDescent="0.25">
      <c r="C2814" s="100"/>
      <c r="G2814" s="156"/>
      <c r="H2814" s="100"/>
    </row>
    <row r="2815" spans="3:8" x14ac:dyDescent="0.25">
      <c r="C2815" s="100"/>
      <c r="G2815" s="156"/>
      <c r="H2815" s="100"/>
    </row>
    <row r="2816" spans="3:8" x14ac:dyDescent="0.25">
      <c r="C2816" s="100"/>
      <c r="G2816" s="156"/>
      <c r="H2816" s="100"/>
    </row>
    <row r="2817" spans="3:8" x14ac:dyDescent="0.25">
      <c r="C2817" s="100"/>
      <c r="G2817" s="156"/>
      <c r="H2817" s="100"/>
    </row>
    <row r="2818" spans="3:8" x14ac:dyDescent="0.25">
      <c r="C2818" s="100"/>
      <c r="G2818" s="156"/>
      <c r="H2818" s="100"/>
    </row>
    <row r="2819" spans="3:8" x14ac:dyDescent="0.25">
      <c r="C2819" s="100"/>
      <c r="G2819" s="156"/>
      <c r="H2819" s="100"/>
    </row>
    <row r="2820" spans="3:8" x14ac:dyDescent="0.25">
      <c r="C2820" s="100"/>
      <c r="G2820" s="156"/>
      <c r="H2820" s="100"/>
    </row>
    <row r="2821" spans="3:8" x14ac:dyDescent="0.25">
      <c r="C2821" s="100"/>
      <c r="G2821" s="156"/>
      <c r="H2821" s="100"/>
    </row>
    <row r="2822" spans="3:8" x14ac:dyDescent="0.25">
      <c r="C2822" s="100"/>
      <c r="G2822" s="156"/>
      <c r="H2822" s="100"/>
    </row>
    <row r="2823" spans="3:8" x14ac:dyDescent="0.25">
      <c r="C2823" s="100"/>
      <c r="G2823" s="156"/>
      <c r="H2823" s="100"/>
    </row>
    <row r="2824" spans="3:8" x14ac:dyDescent="0.25">
      <c r="C2824" s="100"/>
      <c r="G2824" s="156"/>
      <c r="H2824" s="100"/>
    </row>
    <row r="2825" spans="3:8" x14ac:dyDescent="0.25">
      <c r="C2825" s="100"/>
      <c r="G2825" s="156"/>
      <c r="H2825" s="100"/>
    </row>
    <row r="2826" spans="3:8" x14ac:dyDescent="0.25">
      <c r="C2826" s="100"/>
      <c r="G2826" s="156"/>
      <c r="H2826" s="100"/>
    </row>
    <row r="2827" spans="3:8" x14ac:dyDescent="0.25">
      <c r="C2827" s="100"/>
      <c r="G2827" s="156"/>
      <c r="H2827" s="100"/>
    </row>
    <row r="2828" spans="3:8" x14ac:dyDescent="0.25">
      <c r="C2828" s="100"/>
      <c r="G2828" s="156"/>
      <c r="H2828" s="100"/>
    </row>
    <row r="2829" spans="3:8" x14ac:dyDescent="0.25">
      <c r="C2829" s="100"/>
      <c r="G2829" s="156"/>
      <c r="H2829" s="100"/>
    </row>
    <row r="2830" spans="3:8" x14ac:dyDescent="0.25">
      <c r="C2830" s="100"/>
      <c r="G2830" s="156"/>
      <c r="H2830" s="100"/>
    </row>
    <row r="2831" spans="3:8" x14ac:dyDescent="0.25">
      <c r="C2831" s="100"/>
      <c r="G2831" s="156"/>
      <c r="H2831" s="100"/>
    </row>
    <row r="2832" spans="3:8" x14ac:dyDescent="0.25">
      <c r="C2832" s="100"/>
      <c r="G2832" s="156"/>
      <c r="H2832" s="100"/>
    </row>
    <row r="2833" spans="3:8" x14ac:dyDescent="0.25">
      <c r="C2833" s="100"/>
      <c r="G2833" s="156"/>
      <c r="H2833" s="100"/>
    </row>
    <row r="2834" spans="3:8" x14ac:dyDescent="0.25">
      <c r="C2834" s="100"/>
      <c r="G2834" s="156"/>
      <c r="H2834" s="100"/>
    </row>
    <row r="2835" spans="3:8" x14ac:dyDescent="0.25">
      <c r="C2835" s="100"/>
      <c r="G2835" s="156"/>
      <c r="H2835" s="100"/>
    </row>
    <row r="2836" spans="3:8" x14ac:dyDescent="0.25">
      <c r="C2836" s="100"/>
      <c r="G2836" s="156"/>
      <c r="H2836" s="100"/>
    </row>
    <row r="2837" spans="3:8" x14ac:dyDescent="0.25">
      <c r="C2837" s="100"/>
      <c r="G2837" s="156"/>
      <c r="H2837" s="100"/>
    </row>
    <row r="2838" spans="3:8" x14ac:dyDescent="0.25">
      <c r="C2838" s="100"/>
      <c r="G2838" s="156"/>
      <c r="H2838" s="100"/>
    </row>
    <row r="2839" spans="3:8" x14ac:dyDescent="0.25">
      <c r="C2839" s="100"/>
      <c r="G2839" s="156"/>
      <c r="H2839" s="100"/>
    </row>
    <row r="2840" spans="3:8" x14ac:dyDescent="0.25">
      <c r="C2840" s="100"/>
      <c r="G2840" s="156"/>
      <c r="H2840" s="100"/>
    </row>
    <row r="2841" spans="3:8" x14ac:dyDescent="0.25">
      <c r="C2841" s="100"/>
      <c r="G2841" s="156"/>
      <c r="H2841" s="100"/>
    </row>
    <row r="2842" spans="3:8" x14ac:dyDescent="0.25">
      <c r="C2842" s="100"/>
      <c r="G2842" s="156"/>
      <c r="H2842" s="100"/>
    </row>
    <row r="2843" spans="3:8" x14ac:dyDescent="0.25">
      <c r="C2843" s="100"/>
      <c r="G2843" s="156"/>
      <c r="H2843" s="100"/>
    </row>
    <row r="2844" spans="3:8" x14ac:dyDescent="0.25">
      <c r="C2844" s="100"/>
      <c r="G2844" s="156"/>
      <c r="H2844" s="100"/>
    </row>
    <row r="2845" spans="3:8" x14ac:dyDescent="0.25">
      <c r="C2845" s="100"/>
      <c r="G2845" s="156"/>
      <c r="H2845" s="100"/>
    </row>
    <row r="2846" spans="3:8" x14ac:dyDescent="0.25">
      <c r="C2846" s="100"/>
      <c r="G2846" s="156"/>
      <c r="H2846" s="100"/>
    </row>
    <row r="2847" spans="3:8" x14ac:dyDescent="0.25">
      <c r="C2847" s="100"/>
      <c r="G2847" s="156"/>
      <c r="H2847" s="100"/>
    </row>
    <row r="2848" spans="3:8" x14ac:dyDescent="0.25">
      <c r="C2848" s="100"/>
      <c r="G2848" s="156"/>
      <c r="H2848" s="100"/>
    </row>
    <row r="2849" spans="3:8" x14ac:dyDescent="0.25">
      <c r="C2849" s="100"/>
      <c r="G2849" s="156"/>
      <c r="H2849" s="100"/>
    </row>
    <row r="2850" spans="3:8" x14ac:dyDescent="0.25">
      <c r="C2850" s="100"/>
      <c r="G2850" s="156"/>
      <c r="H2850" s="100"/>
    </row>
    <row r="2851" spans="3:8" x14ac:dyDescent="0.25">
      <c r="C2851" s="100"/>
      <c r="G2851" s="156"/>
      <c r="H2851" s="100"/>
    </row>
    <row r="2852" spans="3:8" x14ac:dyDescent="0.25">
      <c r="C2852" s="100"/>
      <c r="G2852" s="156"/>
      <c r="H2852" s="100"/>
    </row>
    <row r="2853" spans="3:8" x14ac:dyDescent="0.25">
      <c r="C2853" s="100"/>
      <c r="G2853" s="156"/>
      <c r="H2853" s="100"/>
    </row>
    <row r="2854" spans="3:8" x14ac:dyDescent="0.25">
      <c r="C2854" s="100"/>
      <c r="G2854" s="156"/>
      <c r="H2854" s="100"/>
    </row>
    <row r="2855" spans="3:8" x14ac:dyDescent="0.25">
      <c r="C2855" s="100"/>
      <c r="G2855" s="156"/>
      <c r="H2855" s="100"/>
    </row>
    <row r="2856" spans="3:8" x14ac:dyDescent="0.25">
      <c r="C2856" s="100"/>
      <c r="G2856" s="156"/>
      <c r="H2856" s="100"/>
    </row>
    <row r="2857" spans="3:8" x14ac:dyDescent="0.25">
      <c r="C2857" s="100"/>
      <c r="G2857" s="156"/>
      <c r="H2857" s="100"/>
    </row>
    <row r="2858" spans="3:8" x14ac:dyDescent="0.25">
      <c r="C2858" s="100"/>
      <c r="G2858" s="156"/>
      <c r="H2858" s="100"/>
    </row>
    <row r="2859" spans="3:8" x14ac:dyDescent="0.25">
      <c r="C2859" s="100"/>
      <c r="G2859" s="156"/>
      <c r="H2859" s="100"/>
    </row>
    <row r="2860" spans="3:8" x14ac:dyDescent="0.25">
      <c r="C2860" s="100"/>
      <c r="G2860" s="156"/>
      <c r="H2860" s="100"/>
    </row>
    <row r="2861" spans="3:8" x14ac:dyDescent="0.25">
      <c r="C2861" s="100"/>
      <c r="G2861" s="156"/>
      <c r="H2861" s="100"/>
    </row>
    <row r="2862" spans="3:8" x14ac:dyDescent="0.25">
      <c r="C2862" s="100"/>
      <c r="G2862" s="156"/>
      <c r="H2862" s="100"/>
    </row>
    <row r="2863" spans="3:8" x14ac:dyDescent="0.25">
      <c r="C2863" s="100"/>
      <c r="G2863" s="156"/>
      <c r="H2863" s="100"/>
    </row>
    <row r="2864" spans="3:8" x14ac:dyDescent="0.25">
      <c r="C2864" s="100"/>
      <c r="G2864" s="156"/>
      <c r="H2864" s="100"/>
    </row>
    <row r="2865" spans="3:8" x14ac:dyDescent="0.25">
      <c r="C2865" s="100"/>
      <c r="G2865" s="156"/>
      <c r="H2865" s="100"/>
    </row>
    <row r="2866" spans="3:8" x14ac:dyDescent="0.25">
      <c r="C2866" s="100"/>
      <c r="G2866" s="156"/>
      <c r="H2866" s="100"/>
    </row>
    <row r="2867" spans="3:8" x14ac:dyDescent="0.25">
      <c r="C2867" s="100"/>
      <c r="G2867" s="156"/>
      <c r="H2867" s="100"/>
    </row>
    <row r="2868" spans="3:8" x14ac:dyDescent="0.25">
      <c r="C2868" s="100"/>
      <c r="G2868" s="156"/>
      <c r="H2868" s="100"/>
    </row>
    <row r="2869" spans="3:8" x14ac:dyDescent="0.25">
      <c r="C2869" s="100"/>
      <c r="G2869" s="156"/>
      <c r="H2869" s="100"/>
    </row>
    <row r="2870" spans="3:8" x14ac:dyDescent="0.25">
      <c r="C2870" s="100"/>
      <c r="G2870" s="156"/>
      <c r="H2870" s="100"/>
    </row>
    <row r="2871" spans="3:8" x14ac:dyDescent="0.25">
      <c r="C2871" s="100"/>
      <c r="G2871" s="156"/>
      <c r="H2871" s="100"/>
    </row>
    <row r="2872" spans="3:8" x14ac:dyDescent="0.25">
      <c r="C2872" s="100"/>
      <c r="G2872" s="156"/>
      <c r="H2872" s="100"/>
    </row>
    <row r="2873" spans="3:8" x14ac:dyDescent="0.25">
      <c r="C2873" s="100"/>
      <c r="G2873" s="156"/>
      <c r="H2873" s="100"/>
    </row>
    <row r="2874" spans="3:8" x14ac:dyDescent="0.25">
      <c r="C2874" s="100"/>
      <c r="G2874" s="156"/>
      <c r="H2874" s="100"/>
    </row>
    <row r="2875" spans="3:8" x14ac:dyDescent="0.25">
      <c r="C2875" s="100"/>
      <c r="G2875" s="156"/>
      <c r="H2875" s="100"/>
    </row>
    <row r="2876" spans="3:8" x14ac:dyDescent="0.25">
      <c r="C2876" s="100"/>
      <c r="G2876" s="156"/>
      <c r="H2876" s="100"/>
    </row>
    <row r="2877" spans="3:8" x14ac:dyDescent="0.25">
      <c r="C2877" s="100"/>
      <c r="G2877" s="156"/>
      <c r="H2877" s="100"/>
    </row>
    <row r="2878" spans="3:8" x14ac:dyDescent="0.25">
      <c r="C2878" s="100"/>
      <c r="G2878" s="156"/>
      <c r="H2878" s="100"/>
    </row>
    <row r="2879" spans="3:8" x14ac:dyDescent="0.25">
      <c r="C2879" s="100"/>
      <c r="G2879" s="156"/>
      <c r="H2879" s="100"/>
    </row>
    <row r="2880" spans="3:8" x14ac:dyDescent="0.25">
      <c r="C2880" s="100"/>
      <c r="G2880" s="156"/>
      <c r="H2880" s="100"/>
    </row>
    <row r="2881" spans="3:8" x14ac:dyDescent="0.25">
      <c r="C2881" s="100"/>
      <c r="G2881" s="156"/>
      <c r="H2881" s="100"/>
    </row>
    <row r="2882" spans="3:8" x14ac:dyDescent="0.25">
      <c r="C2882" s="100"/>
      <c r="G2882" s="156"/>
      <c r="H2882" s="100"/>
    </row>
    <row r="2883" spans="3:8" x14ac:dyDescent="0.25">
      <c r="C2883" s="100"/>
      <c r="G2883" s="156"/>
      <c r="H2883" s="100"/>
    </row>
    <row r="2884" spans="3:8" x14ac:dyDescent="0.25">
      <c r="C2884" s="100"/>
      <c r="G2884" s="156"/>
      <c r="H2884" s="100"/>
    </row>
    <row r="2885" spans="3:8" x14ac:dyDescent="0.25">
      <c r="C2885" s="100"/>
      <c r="G2885" s="156"/>
      <c r="H2885" s="100"/>
    </row>
    <row r="2886" spans="3:8" x14ac:dyDescent="0.25">
      <c r="C2886" s="100"/>
      <c r="G2886" s="156"/>
      <c r="H2886" s="100"/>
    </row>
    <row r="2887" spans="3:8" x14ac:dyDescent="0.25">
      <c r="C2887" s="100"/>
      <c r="G2887" s="156"/>
      <c r="H2887" s="100"/>
    </row>
    <row r="2888" spans="3:8" x14ac:dyDescent="0.25">
      <c r="C2888" s="100"/>
      <c r="G2888" s="156"/>
      <c r="H2888" s="100"/>
    </row>
    <row r="2889" spans="3:8" x14ac:dyDescent="0.25">
      <c r="C2889" s="100"/>
      <c r="G2889" s="156"/>
      <c r="H2889" s="100"/>
    </row>
    <row r="2890" spans="3:8" x14ac:dyDescent="0.25">
      <c r="C2890" s="100"/>
      <c r="G2890" s="156"/>
      <c r="H2890" s="100"/>
    </row>
    <row r="2891" spans="3:8" x14ac:dyDescent="0.25">
      <c r="C2891" s="100"/>
      <c r="G2891" s="156"/>
      <c r="H2891" s="100"/>
    </row>
    <row r="2892" spans="3:8" x14ac:dyDescent="0.25">
      <c r="C2892" s="100"/>
      <c r="G2892" s="156"/>
      <c r="H2892" s="100"/>
    </row>
    <row r="2893" spans="3:8" x14ac:dyDescent="0.25">
      <c r="C2893" s="100"/>
      <c r="G2893" s="156"/>
      <c r="H2893" s="100"/>
    </row>
    <row r="2894" spans="3:8" x14ac:dyDescent="0.25">
      <c r="C2894" s="100"/>
      <c r="G2894" s="156"/>
      <c r="H2894" s="100"/>
    </row>
    <row r="2895" spans="3:8" x14ac:dyDescent="0.25">
      <c r="C2895" s="100"/>
      <c r="G2895" s="156"/>
      <c r="H2895" s="100"/>
    </row>
    <row r="2896" spans="3:8" x14ac:dyDescent="0.25">
      <c r="C2896" s="100"/>
      <c r="G2896" s="156"/>
      <c r="H2896" s="100"/>
    </row>
    <row r="2897" spans="3:8" x14ac:dyDescent="0.25">
      <c r="C2897" s="100"/>
      <c r="G2897" s="156"/>
      <c r="H2897" s="100"/>
    </row>
    <row r="2898" spans="3:8" x14ac:dyDescent="0.25">
      <c r="C2898" s="100"/>
      <c r="G2898" s="156"/>
      <c r="H2898" s="100"/>
    </row>
    <row r="2899" spans="3:8" x14ac:dyDescent="0.25">
      <c r="C2899" s="100"/>
      <c r="G2899" s="156"/>
      <c r="H2899" s="100"/>
    </row>
    <row r="2900" spans="3:8" x14ac:dyDescent="0.25">
      <c r="C2900" s="100"/>
      <c r="G2900" s="156"/>
      <c r="H2900" s="100"/>
    </row>
    <row r="2901" spans="3:8" x14ac:dyDescent="0.25">
      <c r="C2901" s="100"/>
      <c r="G2901" s="156"/>
      <c r="H2901" s="100"/>
    </row>
    <row r="2902" spans="3:8" x14ac:dyDescent="0.25">
      <c r="C2902" s="100"/>
      <c r="G2902" s="156"/>
      <c r="H2902" s="100"/>
    </row>
    <row r="2903" spans="3:8" x14ac:dyDescent="0.25">
      <c r="C2903" s="100"/>
      <c r="G2903" s="156"/>
      <c r="H2903" s="100"/>
    </row>
    <row r="2904" spans="3:8" x14ac:dyDescent="0.25">
      <c r="C2904" s="100"/>
      <c r="G2904" s="156"/>
      <c r="H2904" s="100"/>
    </row>
    <row r="2905" spans="3:8" x14ac:dyDescent="0.25">
      <c r="C2905" s="100"/>
      <c r="G2905" s="156"/>
      <c r="H2905" s="100"/>
    </row>
    <row r="2906" spans="3:8" x14ac:dyDescent="0.25">
      <c r="C2906" s="100"/>
      <c r="G2906" s="156"/>
      <c r="H2906" s="100"/>
    </row>
    <row r="2907" spans="3:8" x14ac:dyDescent="0.25">
      <c r="C2907" s="100"/>
      <c r="G2907" s="156"/>
      <c r="H2907" s="100"/>
    </row>
    <row r="2908" spans="3:8" x14ac:dyDescent="0.25">
      <c r="C2908" s="100"/>
      <c r="G2908" s="156"/>
      <c r="H2908" s="100"/>
    </row>
    <row r="2909" spans="3:8" x14ac:dyDescent="0.25">
      <c r="C2909" s="100"/>
      <c r="G2909" s="156"/>
      <c r="H2909" s="100"/>
    </row>
    <row r="2910" spans="3:8" x14ac:dyDescent="0.25">
      <c r="C2910" s="100"/>
      <c r="G2910" s="156"/>
      <c r="H2910" s="100"/>
    </row>
    <row r="2911" spans="3:8" x14ac:dyDescent="0.25">
      <c r="C2911" s="100"/>
      <c r="G2911" s="156"/>
      <c r="H2911" s="100"/>
    </row>
    <row r="2912" spans="3:8" x14ac:dyDescent="0.25">
      <c r="C2912" s="100"/>
      <c r="G2912" s="156"/>
      <c r="H2912" s="100"/>
    </row>
    <row r="2913" spans="3:8" x14ac:dyDescent="0.25">
      <c r="C2913" s="100"/>
      <c r="G2913" s="156"/>
      <c r="H2913" s="100"/>
    </row>
    <row r="2914" spans="3:8" x14ac:dyDescent="0.25">
      <c r="C2914" s="100"/>
      <c r="G2914" s="156"/>
      <c r="H2914" s="100"/>
    </row>
    <row r="2915" spans="3:8" x14ac:dyDescent="0.25">
      <c r="C2915" s="100"/>
      <c r="G2915" s="156"/>
      <c r="H2915" s="100"/>
    </row>
    <row r="2916" spans="3:8" x14ac:dyDescent="0.25">
      <c r="C2916" s="100"/>
      <c r="G2916" s="156"/>
      <c r="H2916" s="100"/>
    </row>
    <row r="2917" spans="3:8" x14ac:dyDescent="0.25">
      <c r="C2917" s="100"/>
      <c r="G2917" s="156"/>
      <c r="H2917" s="100"/>
    </row>
    <row r="2918" spans="3:8" x14ac:dyDescent="0.25">
      <c r="C2918" s="100"/>
      <c r="G2918" s="156"/>
      <c r="H2918" s="100"/>
    </row>
    <row r="2919" spans="3:8" x14ac:dyDescent="0.25">
      <c r="C2919" s="100"/>
      <c r="G2919" s="156"/>
      <c r="H2919" s="100"/>
    </row>
    <row r="2920" spans="3:8" x14ac:dyDescent="0.25">
      <c r="C2920" s="100"/>
      <c r="G2920" s="156"/>
      <c r="H2920" s="100"/>
    </row>
    <row r="2921" spans="3:8" x14ac:dyDescent="0.25">
      <c r="C2921" s="100"/>
      <c r="G2921" s="156"/>
      <c r="H2921" s="100"/>
    </row>
    <row r="2922" spans="3:8" x14ac:dyDescent="0.25">
      <c r="C2922" s="100"/>
      <c r="G2922" s="156"/>
      <c r="H2922" s="100"/>
    </row>
    <row r="2923" spans="3:8" x14ac:dyDescent="0.25">
      <c r="C2923" s="100"/>
      <c r="G2923" s="156"/>
      <c r="H2923" s="100"/>
    </row>
    <row r="2924" spans="3:8" x14ac:dyDescent="0.25">
      <c r="C2924" s="100"/>
      <c r="G2924" s="156"/>
      <c r="H2924" s="100"/>
    </row>
    <row r="2925" spans="3:8" x14ac:dyDescent="0.25">
      <c r="C2925" s="100"/>
      <c r="G2925" s="156"/>
      <c r="H2925" s="100"/>
    </row>
    <row r="2926" spans="3:8" x14ac:dyDescent="0.25">
      <c r="C2926" s="100"/>
      <c r="G2926" s="156"/>
      <c r="H2926" s="100"/>
    </row>
    <row r="2927" spans="3:8" x14ac:dyDescent="0.25">
      <c r="C2927" s="100"/>
      <c r="G2927" s="156"/>
      <c r="H2927" s="100"/>
    </row>
    <row r="2928" spans="3:8" x14ac:dyDescent="0.25">
      <c r="C2928" s="100"/>
      <c r="G2928" s="156"/>
      <c r="H2928" s="100"/>
    </row>
    <row r="2929" spans="3:8" x14ac:dyDescent="0.25">
      <c r="C2929" s="100"/>
      <c r="G2929" s="156"/>
      <c r="H2929" s="100"/>
    </row>
    <row r="2930" spans="3:8" x14ac:dyDescent="0.25">
      <c r="C2930" s="100"/>
      <c r="G2930" s="156"/>
      <c r="H2930" s="100"/>
    </row>
    <row r="2931" spans="3:8" x14ac:dyDescent="0.25">
      <c r="C2931" s="100"/>
      <c r="G2931" s="156"/>
      <c r="H2931" s="100"/>
    </row>
    <row r="2932" spans="3:8" x14ac:dyDescent="0.25">
      <c r="C2932" s="100"/>
      <c r="G2932" s="156"/>
      <c r="H2932" s="100"/>
    </row>
    <row r="2933" spans="3:8" x14ac:dyDescent="0.25">
      <c r="C2933" s="100"/>
      <c r="G2933" s="156"/>
      <c r="H2933" s="100"/>
    </row>
    <row r="2934" spans="3:8" x14ac:dyDescent="0.25">
      <c r="C2934" s="100"/>
      <c r="G2934" s="156"/>
      <c r="H2934" s="100"/>
    </row>
    <row r="2935" spans="3:8" x14ac:dyDescent="0.25">
      <c r="C2935" s="100"/>
      <c r="G2935" s="156"/>
      <c r="H2935" s="100"/>
    </row>
    <row r="2936" spans="3:8" x14ac:dyDescent="0.25">
      <c r="C2936" s="100"/>
      <c r="G2936" s="156"/>
      <c r="H2936" s="100"/>
    </row>
    <row r="2937" spans="3:8" x14ac:dyDescent="0.25">
      <c r="C2937" s="100"/>
      <c r="G2937" s="156"/>
      <c r="H2937" s="100"/>
    </row>
    <row r="2938" spans="3:8" x14ac:dyDescent="0.25">
      <c r="C2938" s="100"/>
      <c r="G2938" s="156"/>
      <c r="H2938" s="100"/>
    </row>
    <row r="2939" spans="3:8" x14ac:dyDescent="0.25">
      <c r="C2939" s="100"/>
      <c r="G2939" s="156"/>
      <c r="H2939" s="100"/>
    </row>
    <row r="2940" spans="3:8" x14ac:dyDescent="0.25">
      <c r="C2940" s="100"/>
      <c r="G2940" s="156"/>
      <c r="H2940" s="100"/>
    </row>
    <row r="2941" spans="3:8" x14ac:dyDescent="0.25">
      <c r="C2941" s="100"/>
      <c r="G2941" s="156"/>
      <c r="H2941" s="100"/>
    </row>
    <row r="2942" spans="3:8" x14ac:dyDescent="0.25">
      <c r="C2942" s="100"/>
      <c r="G2942" s="156"/>
      <c r="H2942" s="100"/>
    </row>
    <row r="2943" spans="3:8" x14ac:dyDescent="0.25">
      <c r="C2943" s="100"/>
      <c r="G2943" s="156"/>
      <c r="H2943" s="100"/>
    </row>
    <row r="2944" spans="3:8" x14ac:dyDescent="0.25">
      <c r="C2944" s="100"/>
      <c r="G2944" s="156"/>
      <c r="H2944" s="100"/>
    </row>
    <row r="2945" spans="3:8" x14ac:dyDescent="0.25">
      <c r="C2945" s="100"/>
      <c r="G2945" s="156"/>
      <c r="H2945" s="100"/>
    </row>
    <row r="2946" spans="3:8" x14ac:dyDescent="0.25">
      <c r="C2946" s="100"/>
      <c r="G2946" s="156"/>
      <c r="H2946" s="100"/>
    </row>
    <row r="2947" spans="3:8" x14ac:dyDescent="0.25">
      <c r="C2947" s="100"/>
      <c r="G2947" s="156"/>
      <c r="H2947" s="100"/>
    </row>
    <row r="2948" spans="3:8" x14ac:dyDescent="0.25">
      <c r="C2948" s="100"/>
      <c r="G2948" s="156"/>
      <c r="H2948" s="100"/>
    </row>
    <row r="2949" spans="3:8" x14ac:dyDescent="0.25">
      <c r="C2949" s="100"/>
      <c r="G2949" s="156"/>
      <c r="H2949" s="100"/>
    </row>
    <row r="2950" spans="3:8" x14ac:dyDescent="0.25">
      <c r="C2950" s="100"/>
      <c r="G2950" s="156"/>
      <c r="H2950" s="100"/>
    </row>
    <row r="2951" spans="3:8" x14ac:dyDescent="0.25">
      <c r="C2951" s="100"/>
      <c r="G2951" s="156"/>
      <c r="H2951" s="100"/>
    </row>
    <row r="2952" spans="3:8" x14ac:dyDescent="0.25">
      <c r="C2952" s="100"/>
      <c r="G2952" s="156"/>
      <c r="H2952" s="100"/>
    </row>
    <row r="2953" spans="3:8" x14ac:dyDescent="0.25">
      <c r="C2953" s="100"/>
      <c r="G2953" s="156"/>
      <c r="H2953" s="100"/>
    </row>
    <row r="2954" spans="3:8" x14ac:dyDescent="0.25">
      <c r="C2954" s="100"/>
      <c r="G2954" s="156"/>
      <c r="H2954" s="100"/>
    </row>
    <row r="2955" spans="3:8" x14ac:dyDescent="0.25">
      <c r="C2955" s="100"/>
      <c r="G2955" s="156"/>
      <c r="H2955" s="100"/>
    </row>
    <row r="2956" spans="3:8" x14ac:dyDescent="0.25">
      <c r="C2956" s="100"/>
      <c r="G2956" s="156"/>
      <c r="H2956" s="100"/>
    </row>
    <row r="2957" spans="3:8" x14ac:dyDescent="0.25">
      <c r="C2957" s="100"/>
      <c r="G2957" s="156"/>
      <c r="H2957" s="100"/>
    </row>
    <row r="2958" spans="3:8" x14ac:dyDescent="0.25">
      <c r="C2958" s="100"/>
      <c r="G2958" s="156"/>
      <c r="H2958" s="100"/>
    </row>
    <row r="2959" spans="3:8" x14ac:dyDescent="0.25">
      <c r="C2959" s="100"/>
      <c r="G2959" s="156"/>
      <c r="H2959" s="100"/>
    </row>
    <row r="2960" spans="3:8" x14ac:dyDescent="0.25">
      <c r="C2960" s="100"/>
      <c r="G2960" s="156"/>
      <c r="H2960" s="100"/>
    </row>
    <row r="2961" spans="3:8" x14ac:dyDescent="0.25">
      <c r="C2961" s="100"/>
      <c r="G2961" s="156"/>
      <c r="H2961" s="100"/>
    </row>
    <row r="2962" spans="3:8" x14ac:dyDescent="0.25">
      <c r="C2962" s="100"/>
      <c r="G2962" s="156"/>
      <c r="H2962" s="100"/>
    </row>
    <row r="2963" spans="3:8" x14ac:dyDescent="0.25">
      <c r="C2963" s="100"/>
      <c r="G2963" s="156"/>
      <c r="H2963" s="100"/>
    </row>
    <row r="2964" spans="3:8" x14ac:dyDescent="0.25">
      <c r="C2964" s="100"/>
      <c r="G2964" s="156"/>
      <c r="H2964" s="100"/>
    </row>
    <row r="2965" spans="3:8" x14ac:dyDescent="0.25">
      <c r="C2965" s="100"/>
      <c r="G2965" s="156"/>
      <c r="H2965" s="100"/>
    </row>
    <row r="2966" spans="3:8" x14ac:dyDescent="0.25">
      <c r="C2966" s="100"/>
      <c r="G2966" s="156"/>
      <c r="H2966" s="100"/>
    </row>
    <row r="2967" spans="3:8" x14ac:dyDescent="0.25">
      <c r="C2967" s="100"/>
      <c r="G2967" s="156"/>
      <c r="H2967" s="100"/>
    </row>
    <row r="2968" spans="3:8" x14ac:dyDescent="0.25">
      <c r="C2968" s="100"/>
      <c r="G2968" s="156"/>
      <c r="H2968" s="100"/>
    </row>
    <row r="2969" spans="3:8" x14ac:dyDescent="0.25">
      <c r="C2969" s="100"/>
      <c r="G2969" s="156"/>
      <c r="H2969" s="100"/>
    </row>
    <row r="2970" spans="3:8" x14ac:dyDescent="0.25">
      <c r="C2970" s="100"/>
      <c r="G2970" s="156"/>
      <c r="H2970" s="100"/>
    </row>
    <row r="2971" spans="3:8" x14ac:dyDescent="0.25">
      <c r="C2971" s="100"/>
      <c r="G2971" s="156"/>
      <c r="H2971" s="100"/>
    </row>
    <row r="2972" spans="3:8" x14ac:dyDescent="0.25">
      <c r="C2972" s="100"/>
      <c r="G2972" s="156"/>
      <c r="H2972" s="100"/>
    </row>
    <row r="2973" spans="3:8" x14ac:dyDescent="0.25">
      <c r="C2973" s="100"/>
      <c r="G2973" s="156"/>
      <c r="H2973" s="100"/>
    </row>
    <row r="2974" spans="3:8" x14ac:dyDescent="0.25">
      <c r="C2974" s="100"/>
      <c r="G2974" s="156"/>
      <c r="H2974" s="100"/>
    </row>
    <row r="2975" spans="3:8" x14ac:dyDescent="0.25">
      <c r="C2975" s="100"/>
      <c r="G2975" s="156"/>
      <c r="H2975" s="100"/>
    </row>
    <row r="2976" spans="3:8" x14ac:dyDescent="0.25">
      <c r="C2976" s="100"/>
      <c r="G2976" s="156"/>
      <c r="H2976" s="100"/>
    </row>
    <row r="2977" spans="3:8" x14ac:dyDescent="0.25">
      <c r="C2977" s="100"/>
      <c r="G2977" s="156"/>
      <c r="H2977" s="100"/>
    </row>
    <row r="2978" spans="3:8" x14ac:dyDescent="0.25">
      <c r="C2978" s="100"/>
      <c r="G2978" s="156"/>
      <c r="H2978" s="100"/>
    </row>
    <row r="2979" spans="3:8" x14ac:dyDescent="0.25">
      <c r="C2979" s="100"/>
      <c r="G2979" s="156"/>
      <c r="H2979" s="100"/>
    </row>
    <row r="2980" spans="3:8" x14ac:dyDescent="0.25">
      <c r="C2980" s="100"/>
      <c r="G2980" s="156"/>
      <c r="H2980" s="100"/>
    </row>
    <row r="2981" spans="3:8" x14ac:dyDescent="0.25">
      <c r="C2981" s="100"/>
      <c r="G2981" s="156"/>
      <c r="H2981" s="100"/>
    </row>
    <row r="2982" spans="3:8" x14ac:dyDescent="0.25">
      <c r="C2982" s="100"/>
      <c r="G2982" s="156"/>
      <c r="H2982" s="100"/>
    </row>
    <row r="2983" spans="3:8" x14ac:dyDescent="0.25">
      <c r="C2983" s="100"/>
      <c r="G2983" s="156"/>
      <c r="H2983" s="100"/>
    </row>
    <row r="2984" spans="3:8" x14ac:dyDescent="0.25">
      <c r="C2984" s="100"/>
      <c r="G2984" s="156"/>
      <c r="H2984" s="100"/>
    </row>
    <row r="2985" spans="3:8" x14ac:dyDescent="0.25">
      <c r="C2985" s="100"/>
      <c r="G2985" s="156"/>
      <c r="H2985" s="100"/>
    </row>
    <row r="2986" spans="3:8" x14ac:dyDescent="0.25">
      <c r="C2986" s="100"/>
      <c r="G2986" s="156"/>
      <c r="H2986" s="100"/>
    </row>
    <row r="2987" spans="3:8" x14ac:dyDescent="0.25">
      <c r="C2987" s="100"/>
      <c r="G2987" s="156"/>
      <c r="H2987" s="100"/>
    </row>
    <row r="2988" spans="3:8" x14ac:dyDescent="0.25">
      <c r="C2988" s="100"/>
      <c r="G2988" s="156"/>
      <c r="H2988" s="100"/>
    </row>
    <row r="2989" spans="3:8" x14ac:dyDescent="0.25">
      <c r="C2989" s="100"/>
      <c r="G2989" s="156"/>
      <c r="H2989" s="100"/>
    </row>
    <row r="2990" spans="3:8" x14ac:dyDescent="0.25">
      <c r="C2990" s="100"/>
      <c r="G2990" s="156"/>
      <c r="H2990" s="100"/>
    </row>
    <row r="2991" spans="3:8" x14ac:dyDescent="0.25">
      <c r="C2991" s="100"/>
      <c r="G2991" s="156"/>
      <c r="H2991" s="100"/>
    </row>
    <row r="2992" spans="3:8" x14ac:dyDescent="0.25">
      <c r="C2992" s="100"/>
      <c r="G2992" s="156"/>
      <c r="H2992" s="100"/>
    </row>
    <row r="2993" spans="3:8" x14ac:dyDescent="0.25">
      <c r="C2993" s="100"/>
      <c r="G2993" s="156"/>
      <c r="H2993" s="100"/>
    </row>
    <row r="2994" spans="3:8" x14ac:dyDescent="0.25">
      <c r="C2994" s="100"/>
      <c r="G2994" s="156"/>
      <c r="H2994" s="100"/>
    </row>
    <row r="2995" spans="3:8" x14ac:dyDescent="0.25">
      <c r="C2995" s="100"/>
      <c r="G2995" s="156"/>
      <c r="H2995" s="100"/>
    </row>
    <row r="2996" spans="3:8" x14ac:dyDescent="0.25">
      <c r="C2996" s="100"/>
      <c r="G2996" s="156"/>
      <c r="H2996" s="100"/>
    </row>
    <row r="2997" spans="3:8" x14ac:dyDescent="0.25">
      <c r="C2997" s="100"/>
      <c r="G2997" s="156"/>
      <c r="H2997" s="100"/>
    </row>
    <row r="2998" spans="3:8" x14ac:dyDescent="0.25">
      <c r="C2998" s="100"/>
      <c r="G2998" s="156"/>
      <c r="H2998" s="100"/>
    </row>
    <row r="2999" spans="3:8" x14ac:dyDescent="0.25">
      <c r="C2999" s="100"/>
      <c r="G2999" s="156"/>
      <c r="H2999" s="100"/>
    </row>
    <row r="3000" spans="3:8" x14ac:dyDescent="0.25">
      <c r="C3000" s="100"/>
      <c r="G3000" s="156"/>
      <c r="H3000" s="100"/>
    </row>
    <row r="3001" spans="3:8" x14ac:dyDescent="0.25">
      <c r="C3001" s="100"/>
      <c r="G3001" s="156"/>
      <c r="H3001" s="100"/>
    </row>
    <row r="3002" spans="3:8" x14ac:dyDescent="0.25">
      <c r="C3002" s="100"/>
      <c r="G3002" s="156"/>
      <c r="H3002" s="100"/>
    </row>
    <row r="3003" spans="3:8" x14ac:dyDescent="0.25">
      <c r="C3003" s="100"/>
      <c r="G3003" s="156"/>
      <c r="H3003" s="100"/>
    </row>
    <row r="3004" spans="3:8" x14ac:dyDescent="0.25">
      <c r="C3004" s="100"/>
      <c r="G3004" s="156"/>
      <c r="H3004" s="100"/>
    </row>
    <row r="3005" spans="3:8" x14ac:dyDescent="0.25">
      <c r="C3005" s="100"/>
      <c r="G3005" s="156"/>
      <c r="H3005" s="100"/>
    </row>
    <row r="3006" spans="3:8" x14ac:dyDescent="0.25">
      <c r="C3006" s="100"/>
      <c r="G3006" s="156"/>
      <c r="H3006" s="100"/>
    </row>
    <row r="3007" spans="3:8" x14ac:dyDescent="0.25">
      <c r="C3007" s="100"/>
      <c r="G3007" s="156"/>
      <c r="H3007" s="100"/>
    </row>
    <row r="3008" spans="3:8" x14ac:dyDescent="0.25">
      <c r="C3008" s="100"/>
      <c r="G3008" s="156"/>
      <c r="H3008" s="100"/>
    </row>
    <row r="3009" spans="3:8" x14ac:dyDescent="0.25">
      <c r="C3009" s="100"/>
      <c r="G3009" s="156"/>
      <c r="H3009" s="100"/>
    </row>
    <row r="3010" spans="3:8" x14ac:dyDescent="0.25">
      <c r="C3010" s="100"/>
      <c r="G3010" s="156"/>
      <c r="H3010" s="100"/>
    </row>
    <row r="3011" spans="3:8" x14ac:dyDescent="0.25">
      <c r="C3011" s="100"/>
      <c r="G3011" s="156"/>
      <c r="H3011" s="100"/>
    </row>
    <row r="3012" spans="3:8" x14ac:dyDescent="0.25">
      <c r="C3012" s="100"/>
      <c r="G3012" s="156"/>
      <c r="H3012" s="100"/>
    </row>
    <row r="3013" spans="3:8" x14ac:dyDescent="0.25">
      <c r="C3013" s="100"/>
      <c r="G3013" s="156"/>
      <c r="H3013" s="100"/>
    </row>
    <row r="3014" spans="3:8" x14ac:dyDescent="0.25">
      <c r="C3014" s="100"/>
      <c r="G3014" s="156"/>
      <c r="H3014" s="100"/>
    </row>
    <row r="3015" spans="3:8" x14ac:dyDescent="0.25">
      <c r="C3015" s="100"/>
      <c r="G3015" s="156"/>
      <c r="H3015" s="100"/>
    </row>
    <row r="3016" spans="3:8" x14ac:dyDescent="0.25">
      <c r="C3016" s="100"/>
      <c r="G3016" s="156"/>
      <c r="H3016" s="100"/>
    </row>
    <row r="3017" spans="3:8" x14ac:dyDescent="0.25">
      <c r="C3017" s="100"/>
      <c r="G3017" s="156"/>
      <c r="H3017" s="100"/>
    </row>
    <row r="3018" spans="3:8" x14ac:dyDescent="0.25">
      <c r="C3018" s="100"/>
      <c r="G3018" s="156"/>
      <c r="H3018" s="100"/>
    </row>
    <row r="3019" spans="3:8" x14ac:dyDescent="0.25">
      <c r="C3019" s="100"/>
      <c r="G3019" s="156"/>
      <c r="H3019" s="100"/>
    </row>
    <row r="3020" spans="3:8" x14ac:dyDescent="0.25">
      <c r="C3020" s="100"/>
      <c r="G3020" s="156"/>
      <c r="H3020" s="100"/>
    </row>
    <row r="3021" spans="3:8" x14ac:dyDescent="0.25">
      <c r="C3021" s="100"/>
      <c r="G3021" s="156"/>
      <c r="H3021" s="100"/>
    </row>
    <row r="3022" spans="3:8" x14ac:dyDescent="0.25">
      <c r="C3022" s="100"/>
      <c r="G3022" s="156"/>
      <c r="H3022" s="100"/>
    </row>
    <row r="3023" spans="3:8" x14ac:dyDescent="0.25">
      <c r="C3023" s="100"/>
      <c r="G3023" s="156"/>
      <c r="H3023" s="100"/>
    </row>
    <row r="3024" spans="3:8" x14ac:dyDescent="0.25">
      <c r="C3024" s="100"/>
      <c r="G3024" s="156"/>
      <c r="H3024" s="100"/>
    </row>
    <row r="3025" spans="3:8" x14ac:dyDescent="0.25">
      <c r="C3025" s="100"/>
      <c r="G3025" s="156"/>
      <c r="H3025" s="100"/>
    </row>
    <row r="3026" spans="3:8" x14ac:dyDescent="0.25">
      <c r="C3026" s="100"/>
      <c r="G3026" s="156"/>
      <c r="H3026" s="100"/>
    </row>
    <row r="3027" spans="3:8" x14ac:dyDescent="0.25">
      <c r="C3027" s="100"/>
      <c r="G3027" s="156"/>
      <c r="H3027" s="100"/>
    </row>
    <row r="3028" spans="3:8" x14ac:dyDescent="0.25">
      <c r="C3028" s="100"/>
      <c r="G3028" s="156"/>
      <c r="H3028" s="100"/>
    </row>
    <row r="3029" spans="3:8" x14ac:dyDescent="0.25">
      <c r="C3029" s="100"/>
      <c r="G3029" s="156"/>
      <c r="H3029" s="100"/>
    </row>
    <row r="3030" spans="3:8" x14ac:dyDescent="0.25">
      <c r="C3030" s="100"/>
      <c r="G3030" s="156"/>
      <c r="H3030" s="100"/>
    </row>
    <row r="3031" spans="3:8" x14ac:dyDescent="0.25">
      <c r="C3031" s="100"/>
      <c r="G3031" s="156"/>
      <c r="H3031" s="100"/>
    </row>
    <row r="3032" spans="3:8" x14ac:dyDescent="0.25">
      <c r="C3032" s="100"/>
      <c r="G3032" s="156"/>
      <c r="H3032" s="100"/>
    </row>
    <row r="3033" spans="3:8" x14ac:dyDescent="0.25">
      <c r="C3033" s="100"/>
      <c r="G3033" s="156"/>
      <c r="H3033" s="100"/>
    </row>
    <row r="3034" spans="3:8" x14ac:dyDescent="0.25">
      <c r="C3034" s="100"/>
      <c r="G3034" s="156"/>
      <c r="H3034" s="100"/>
    </row>
    <row r="3035" spans="3:8" x14ac:dyDescent="0.25">
      <c r="C3035" s="100"/>
      <c r="G3035" s="156"/>
      <c r="H3035" s="100"/>
    </row>
    <row r="3036" spans="3:8" x14ac:dyDescent="0.25">
      <c r="C3036" s="100"/>
      <c r="G3036" s="156"/>
      <c r="H3036" s="100"/>
    </row>
    <row r="3037" spans="3:8" x14ac:dyDescent="0.25">
      <c r="C3037" s="100"/>
      <c r="G3037" s="156"/>
      <c r="H3037" s="100"/>
    </row>
    <row r="3038" spans="3:8" x14ac:dyDescent="0.25">
      <c r="C3038" s="100"/>
      <c r="G3038" s="156"/>
      <c r="H3038" s="100"/>
    </row>
    <row r="3039" spans="3:8" x14ac:dyDescent="0.25">
      <c r="C3039" s="100"/>
      <c r="G3039" s="156"/>
      <c r="H3039" s="100"/>
    </row>
    <row r="3040" spans="3:8" x14ac:dyDescent="0.25">
      <c r="C3040" s="100"/>
      <c r="G3040" s="156"/>
      <c r="H3040" s="100"/>
    </row>
    <row r="3041" spans="3:8" x14ac:dyDescent="0.25">
      <c r="C3041" s="100"/>
      <c r="G3041" s="156"/>
      <c r="H3041" s="100"/>
    </row>
    <row r="3042" spans="3:8" x14ac:dyDescent="0.25">
      <c r="C3042" s="100"/>
      <c r="G3042" s="156"/>
      <c r="H3042" s="100"/>
    </row>
    <row r="3043" spans="3:8" x14ac:dyDescent="0.25">
      <c r="C3043" s="100"/>
      <c r="G3043" s="156"/>
      <c r="H3043" s="100"/>
    </row>
    <row r="3044" spans="3:8" x14ac:dyDescent="0.25">
      <c r="C3044" s="100"/>
      <c r="G3044" s="156"/>
      <c r="H3044" s="100"/>
    </row>
    <row r="3045" spans="3:8" x14ac:dyDescent="0.25">
      <c r="C3045" s="100"/>
      <c r="G3045" s="156"/>
      <c r="H3045" s="100"/>
    </row>
    <row r="3046" spans="3:8" x14ac:dyDescent="0.25">
      <c r="C3046" s="100"/>
      <c r="G3046" s="156"/>
      <c r="H3046" s="100"/>
    </row>
    <row r="3047" spans="3:8" x14ac:dyDescent="0.25">
      <c r="C3047" s="100"/>
      <c r="G3047" s="156"/>
      <c r="H3047" s="100"/>
    </row>
    <row r="3048" spans="3:8" x14ac:dyDescent="0.25">
      <c r="C3048" s="100"/>
      <c r="G3048" s="156"/>
      <c r="H3048" s="100"/>
    </row>
    <row r="3049" spans="3:8" x14ac:dyDescent="0.25">
      <c r="C3049" s="100"/>
      <c r="G3049" s="156"/>
      <c r="H3049" s="100"/>
    </row>
    <row r="3050" spans="3:8" x14ac:dyDescent="0.25">
      <c r="C3050" s="100"/>
      <c r="G3050" s="156"/>
      <c r="H3050" s="100"/>
    </row>
    <row r="3051" spans="3:8" x14ac:dyDescent="0.25">
      <c r="C3051" s="100"/>
      <c r="G3051" s="156"/>
      <c r="H3051" s="100"/>
    </row>
    <row r="3052" spans="3:8" x14ac:dyDescent="0.25">
      <c r="C3052" s="100"/>
      <c r="G3052" s="156"/>
      <c r="H3052" s="100"/>
    </row>
    <row r="3053" spans="3:8" x14ac:dyDescent="0.25">
      <c r="C3053" s="100"/>
      <c r="G3053" s="156"/>
      <c r="H3053" s="100"/>
    </row>
    <row r="3054" spans="3:8" x14ac:dyDescent="0.25">
      <c r="C3054" s="100"/>
      <c r="G3054" s="156"/>
      <c r="H3054" s="100"/>
    </row>
    <row r="3055" spans="3:8" x14ac:dyDescent="0.25">
      <c r="C3055" s="100"/>
      <c r="G3055" s="156"/>
      <c r="H3055" s="100"/>
    </row>
    <row r="3056" spans="3:8" x14ac:dyDescent="0.25">
      <c r="C3056" s="100"/>
      <c r="G3056" s="156"/>
      <c r="H3056" s="100"/>
    </row>
    <row r="3057" spans="3:8" x14ac:dyDescent="0.25">
      <c r="C3057" s="100"/>
      <c r="G3057" s="156"/>
      <c r="H3057" s="100"/>
    </row>
    <row r="3058" spans="3:8" x14ac:dyDescent="0.25">
      <c r="C3058" s="100"/>
      <c r="G3058" s="156"/>
      <c r="H3058" s="100"/>
    </row>
    <row r="3059" spans="3:8" x14ac:dyDescent="0.25">
      <c r="C3059" s="100"/>
      <c r="G3059" s="156"/>
      <c r="H3059" s="100"/>
    </row>
    <row r="3060" spans="3:8" x14ac:dyDescent="0.25">
      <c r="C3060" s="100"/>
      <c r="G3060" s="156"/>
      <c r="H3060" s="100"/>
    </row>
    <row r="3061" spans="3:8" x14ac:dyDescent="0.25">
      <c r="C3061" s="100"/>
      <c r="G3061" s="156"/>
      <c r="H3061" s="100"/>
    </row>
    <row r="3062" spans="3:8" x14ac:dyDescent="0.25">
      <c r="C3062" s="100"/>
      <c r="G3062" s="156"/>
      <c r="H3062" s="100"/>
    </row>
    <row r="3063" spans="3:8" x14ac:dyDescent="0.25">
      <c r="C3063" s="100"/>
      <c r="G3063" s="156"/>
      <c r="H3063" s="100"/>
    </row>
    <row r="3064" spans="3:8" x14ac:dyDescent="0.25">
      <c r="C3064" s="100"/>
      <c r="G3064" s="156"/>
      <c r="H3064" s="100"/>
    </row>
    <row r="3065" spans="3:8" x14ac:dyDescent="0.25">
      <c r="C3065" s="100"/>
      <c r="G3065" s="156"/>
      <c r="H3065" s="100"/>
    </row>
    <row r="3066" spans="3:8" x14ac:dyDescent="0.25">
      <c r="C3066" s="100"/>
      <c r="G3066" s="156"/>
      <c r="H3066" s="100"/>
    </row>
    <row r="3067" spans="3:8" x14ac:dyDescent="0.25">
      <c r="C3067" s="100"/>
      <c r="G3067" s="156"/>
      <c r="H3067" s="100"/>
    </row>
    <row r="3068" spans="3:8" x14ac:dyDescent="0.25">
      <c r="C3068" s="100"/>
      <c r="G3068" s="156"/>
      <c r="H3068" s="100"/>
    </row>
    <row r="3069" spans="3:8" x14ac:dyDescent="0.25">
      <c r="C3069" s="100"/>
      <c r="G3069" s="156"/>
      <c r="H3069" s="100"/>
    </row>
    <row r="3070" spans="3:8" x14ac:dyDescent="0.25">
      <c r="C3070" s="100"/>
      <c r="G3070" s="156"/>
      <c r="H3070" s="100"/>
    </row>
    <row r="3071" spans="3:8" x14ac:dyDescent="0.25">
      <c r="C3071" s="100"/>
      <c r="G3071" s="156"/>
      <c r="H3071" s="100"/>
    </row>
    <row r="3072" spans="3:8" x14ac:dyDescent="0.25">
      <c r="C3072" s="100"/>
      <c r="G3072" s="156"/>
      <c r="H3072" s="100"/>
    </row>
    <row r="3073" spans="3:8" x14ac:dyDescent="0.25">
      <c r="C3073" s="100"/>
      <c r="G3073" s="156"/>
      <c r="H3073" s="100"/>
    </row>
    <row r="3074" spans="3:8" x14ac:dyDescent="0.25">
      <c r="C3074" s="100"/>
      <c r="G3074" s="156"/>
      <c r="H3074" s="100"/>
    </row>
    <row r="3075" spans="3:8" x14ac:dyDescent="0.25">
      <c r="C3075" s="100"/>
      <c r="G3075" s="156"/>
      <c r="H3075" s="100"/>
    </row>
    <row r="3076" spans="3:8" x14ac:dyDescent="0.25">
      <c r="C3076" s="100"/>
      <c r="G3076" s="156"/>
      <c r="H3076" s="100"/>
    </row>
    <row r="3077" spans="3:8" x14ac:dyDescent="0.25">
      <c r="C3077" s="100"/>
      <c r="G3077" s="156"/>
      <c r="H3077" s="100"/>
    </row>
    <row r="3078" spans="3:8" x14ac:dyDescent="0.25">
      <c r="C3078" s="100"/>
      <c r="G3078" s="156"/>
      <c r="H3078" s="100"/>
    </row>
    <row r="3079" spans="3:8" x14ac:dyDescent="0.25">
      <c r="C3079" s="100"/>
      <c r="G3079" s="156"/>
      <c r="H3079" s="100"/>
    </row>
    <row r="3080" spans="3:8" x14ac:dyDescent="0.25">
      <c r="C3080" s="100"/>
      <c r="G3080" s="156"/>
      <c r="H3080" s="100"/>
    </row>
    <row r="3081" spans="3:8" x14ac:dyDescent="0.25">
      <c r="C3081" s="100"/>
      <c r="G3081" s="156"/>
      <c r="H3081" s="100"/>
    </row>
    <row r="3082" spans="3:8" x14ac:dyDescent="0.25">
      <c r="C3082" s="100"/>
      <c r="G3082" s="156"/>
      <c r="H3082" s="100"/>
    </row>
    <row r="3083" spans="3:8" x14ac:dyDescent="0.25">
      <c r="C3083" s="100"/>
      <c r="G3083" s="156"/>
      <c r="H3083" s="100"/>
    </row>
    <row r="3084" spans="3:8" x14ac:dyDescent="0.25">
      <c r="C3084" s="100"/>
      <c r="G3084" s="156"/>
      <c r="H3084" s="100"/>
    </row>
    <row r="3085" spans="3:8" x14ac:dyDescent="0.25">
      <c r="C3085" s="100"/>
      <c r="G3085" s="156"/>
      <c r="H3085" s="100"/>
    </row>
    <row r="3086" spans="3:8" x14ac:dyDescent="0.25">
      <c r="C3086" s="100"/>
      <c r="G3086" s="156"/>
      <c r="H3086" s="100"/>
    </row>
    <row r="3087" spans="3:8" x14ac:dyDescent="0.25">
      <c r="C3087" s="100"/>
      <c r="G3087" s="156"/>
      <c r="H3087" s="100"/>
    </row>
    <row r="3088" spans="3:8" x14ac:dyDescent="0.25">
      <c r="C3088" s="100"/>
      <c r="G3088" s="156"/>
      <c r="H3088" s="100"/>
    </row>
    <row r="3089" spans="3:8" x14ac:dyDescent="0.25">
      <c r="C3089" s="100"/>
      <c r="G3089" s="156"/>
      <c r="H3089" s="100"/>
    </row>
    <row r="3090" spans="3:8" x14ac:dyDescent="0.25">
      <c r="C3090" s="100"/>
      <c r="G3090" s="156"/>
      <c r="H3090" s="100"/>
    </row>
    <row r="3091" spans="3:8" x14ac:dyDescent="0.25">
      <c r="C3091" s="100"/>
      <c r="G3091" s="156"/>
      <c r="H3091" s="100"/>
    </row>
    <row r="3092" spans="3:8" x14ac:dyDescent="0.25">
      <c r="C3092" s="100"/>
      <c r="G3092" s="156"/>
      <c r="H3092" s="100"/>
    </row>
    <row r="3093" spans="3:8" x14ac:dyDescent="0.25">
      <c r="C3093" s="100"/>
      <c r="G3093" s="156"/>
      <c r="H3093" s="100"/>
    </row>
    <row r="3094" spans="3:8" x14ac:dyDescent="0.25">
      <c r="C3094" s="100"/>
      <c r="G3094" s="156"/>
      <c r="H3094" s="100"/>
    </row>
    <row r="3095" spans="3:8" x14ac:dyDescent="0.25">
      <c r="C3095" s="100"/>
      <c r="G3095" s="156"/>
      <c r="H3095" s="100"/>
    </row>
    <row r="3096" spans="3:8" x14ac:dyDescent="0.25">
      <c r="C3096" s="100"/>
      <c r="G3096" s="156"/>
      <c r="H3096" s="100"/>
    </row>
    <row r="3097" spans="3:8" x14ac:dyDescent="0.25">
      <c r="C3097" s="100"/>
      <c r="G3097" s="156"/>
      <c r="H3097" s="100"/>
    </row>
    <row r="3098" spans="3:8" x14ac:dyDescent="0.25">
      <c r="C3098" s="100"/>
      <c r="G3098" s="156"/>
      <c r="H3098" s="100"/>
    </row>
    <row r="3099" spans="3:8" x14ac:dyDescent="0.25">
      <c r="C3099" s="100"/>
      <c r="G3099" s="156"/>
      <c r="H3099" s="100"/>
    </row>
    <row r="3100" spans="3:8" x14ac:dyDescent="0.25">
      <c r="C3100" s="100"/>
      <c r="G3100" s="156"/>
      <c r="H3100" s="100"/>
    </row>
    <row r="3101" spans="3:8" x14ac:dyDescent="0.25">
      <c r="C3101" s="100"/>
      <c r="G3101" s="156"/>
      <c r="H3101" s="100"/>
    </row>
    <row r="3102" spans="3:8" x14ac:dyDescent="0.25">
      <c r="C3102" s="100"/>
      <c r="G3102" s="156"/>
      <c r="H3102" s="100"/>
    </row>
    <row r="3103" spans="3:8" x14ac:dyDescent="0.25">
      <c r="C3103" s="100"/>
      <c r="G3103" s="156"/>
      <c r="H3103" s="100"/>
    </row>
    <row r="3104" spans="3:8" x14ac:dyDescent="0.25">
      <c r="C3104" s="100"/>
      <c r="G3104" s="156"/>
      <c r="H3104" s="100"/>
    </row>
    <row r="3105" spans="3:8" x14ac:dyDescent="0.25">
      <c r="C3105" s="100"/>
      <c r="G3105" s="156"/>
      <c r="H3105" s="100"/>
    </row>
    <row r="3106" spans="3:8" x14ac:dyDescent="0.25">
      <c r="C3106" s="100"/>
      <c r="G3106" s="156"/>
      <c r="H3106" s="100"/>
    </row>
    <row r="3107" spans="3:8" x14ac:dyDescent="0.25">
      <c r="C3107" s="100"/>
      <c r="G3107" s="156"/>
      <c r="H3107" s="100"/>
    </row>
    <row r="3108" spans="3:8" x14ac:dyDescent="0.25">
      <c r="C3108" s="100"/>
      <c r="G3108" s="156"/>
      <c r="H3108" s="100"/>
    </row>
    <row r="3109" spans="3:8" x14ac:dyDescent="0.25">
      <c r="C3109" s="100"/>
      <c r="G3109" s="156"/>
      <c r="H3109" s="100"/>
    </row>
    <row r="3110" spans="3:8" x14ac:dyDescent="0.25">
      <c r="C3110" s="100"/>
      <c r="G3110" s="156"/>
      <c r="H3110" s="100"/>
    </row>
    <row r="3111" spans="3:8" x14ac:dyDescent="0.25">
      <c r="C3111" s="100"/>
      <c r="G3111" s="156"/>
      <c r="H3111" s="100"/>
    </row>
    <row r="3112" spans="3:8" x14ac:dyDescent="0.25">
      <c r="C3112" s="100"/>
      <c r="G3112" s="156"/>
      <c r="H3112" s="100"/>
    </row>
    <row r="3113" spans="3:8" x14ac:dyDescent="0.25">
      <c r="C3113" s="100"/>
      <c r="G3113" s="156"/>
      <c r="H3113" s="100"/>
    </row>
    <row r="3114" spans="3:8" x14ac:dyDescent="0.25">
      <c r="C3114" s="100"/>
      <c r="G3114" s="156"/>
      <c r="H3114" s="100"/>
    </row>
    <row r="3115" spans="3:8" x14ac:dyDescent="0.25">
      <c r="C3115" s="100"/>
      <c r="G3115" s="156"/>
      <c r="H3115" s="100"/>
    </row>
    <row r="3116" spans="3:8" x14ac:dyDescent="0.25">
      <c r="C3116" s="100"/>
      <c r="G3116" s="156"/>
      <c r="H3116" s="100"/>
    </row>
    <row r="3117" spans="3:8" x14ac:dyDescent="0.25">
      <c r="C3117" s="100"/>
      <c r="G3117" s="156"/>
      <c r="H3117" s="100"/>
    </row>
    <row r="3118" spans="3:8" x14ac:dyDescent="0.25">
      <c r="C3118" s="100"/>
      <c r="G3118" s="156"/>
      <c r="H3118" s="100"/>
    </row>
    <row r="3119" spans="3:8" x14ac:dyDescent="0.25">
      <c r="C3119" s="100"/>
      <c r="G3119" s="156"/>
      <c r="H3119" s="100"/>
    </row>
    <row r="3120" spans="3:8" x14ac:dyDescent="0.25">
      <c r="C3120" s="100"/>
      <c r="G3120" s="156"/>
      <c r="H3120" s="100"/>
    </row>
    <row r="3121" spans="3:8" x14ac:dyDescent="0.25">
      <c r="C3121" s="100"/>
      <c r="G3121" s="156"/>
      <c r="H3121" s="100"/>
    </row>
    <row r="3122" spans="3:8" x14ac:dyDescent="0.25">
      <c r="C3122" s="100"/>
      <c r="G3122" s="156"/>
      <c r="H3122" s="100"/>
    </row>
    <row r="3123" spans="3:8" x14ac:dyDescent="0.25">
      <c r="C3123" s="100"/>
      <c r="G3123" s="156"/>
      <c r="H3123" s="100"/>
    </row>
    <row r="3124" spans="3:8" x14ac:dyDescent="0.25">
      <c r="C3124" s="100"/>
      <c r="G3124" s="156"/>
      <c r="H3124" s="100"/>
    </row>
    <row r="3125" spans="3:8" x14ac:dyDescent="0.25">
      <c r="C3125" s="100"/>
      <c r="G3125" s="156"/>
      <c r="H3125" s="100"/>
    </row>
    <row r="3126" spans="3:8" x14ac:dyDescent="0.25">
      <c r="C3126" s="100"/>
      <c r="G3126" s="156"/>
      <c r="H3126" s="100"/>
    </row>
    <row r="3127" spans="3:8" x14ac:dyDescent="0.25">
      <c r="C3127" s="100"/>
      <c r="G3127" s="156"/>
      <c r="H3127" s="100"/>
    </row>
    <row r="3128" spans="3:8" x14ac:dyDescent="0.25">
      <c r="C3128" s="100"/>
      <c r="G3128" s="156"/>
      <c r="H3128" s="100"/>
    </row>
    <row r="3129" spans="3:8" x14ac:dyDescent="0.25">
      <c r="C3129" s="100"/>
      <c r="G3129" s="156"/>
      <c r="H3129" s="100"/>
    </row>
    <row r="3130" spans="3:8" x14ac:dyDescent="0.25">
      <c r="C3130" s="100"/>
      <c r="G3130" s="156"/>
      <c r="H3130" s="100"/>
    </row>
    <row r="3131" spans="3:8" x14ac:dyDescent="0.25">
      <c r="C3131" s="100"/>
      <c r="G3131" s="156"/>
      <c r="H3131" s="100"/>
    </row>
    <row r="3132" spans="3:8" x14ac:dyDescent="0.25">
      <c r="C3132" s="100"/>
      <c r="G3132" s="156"/>
      <c r="H3132" s="100"/>
    </row>
    <row r="3133" spans="3:8" x14ac:dyDescent="0.25">
      <c r="C3133" s="100"/>
      <c r="G3133" s="156"/>
      <c r="H3133" s="100"/>
    </row>
    <row r="3134" spans="3:8" x14ac:dyDescent="0.25">
      <c r="C3134" s="100"/>
      <c r="G3134" s="156"/>
      <c r="H3134" s="100"/>
    </row>
    <row r="3135" spans="3:8" x14ac:dyDescent="0.25">
      <c r="C3135" s="100"/>
      <c r="G3135" s="156"/>
      <c r="H3135" s="100"/>
    </row>
    <row r="3136" spans="3:8" x14ac:dyDescent="0.25">
      <c r="C3136" s="100"/>
      <c r="G3136" s="156"/>
      <c r="H3136" s="100"/>
    </row>
    <row r="3137" spans="3:8" x14ac:dyDescent="0.25">
      <c r="C3137" s="100"/>
      <c r="G3137" s="156"/>
      <c r="H3137" s="100"/>
    </row>
    <row r="3138" spans="3:8" x14ac:dyDescent="0.25">
      <c r="C3138" s="100"/>
      <c r="G3138" s="156"/>
      <c r="H3138" s="100"/>
    </row>
    <row r="3139" spans="3:8" x14ac:dyDescent="0.25">
      <c r="C3139" s="100"/>
      <c r="G3139" s="156"/>
      <c r="H3139" s="100"/>
    </row>
    <row r="3140" spans="3:8" x14ac:dyDescent="0.25">
      <c r="C3140" s="100"/>
      <c r="G3140" s="156"/>
      <c r="H3140" s="100"/>
    </row>
    <row r="3141" spans="3:8" x14ac:dyDescent="0.25">
      <c r="C3141" s="100"/>
      <c r="G3141" s="156"/>
      <c r="H3141" s="100"/>
    </row>
    <row r="3142" spans="3:8" x14ac:dyDescent="0.25">
      <c r="C3142" s="100"/>
      <c r="G3142" s="156"/>
      <c r="H3142" s="100"/>
    </row>
    <row r="3143" spans="3:8" x14ac:dyDescent="0.25">
      <c r="C3143" s="100"/>
      <c r="G3143" s="156"/>
      <c r="H3143" s="100"/>
    </row>
    <row r="3144" spans="3:8" x14ac:dyDescent="0.25">
      <c r="C3144" s="100"/>
      <c r="G3144" s="156"/>
      <c r="H3144" s="100"/>
    </row>
    <row r="3145" spans="3:8" x14ac:dyDescent="0.25">
      <c r="C3145" s="100"/>
      <c r="G3145" s="156"/>
      <c r="H3145" s="100"/>
    </row>
    <row r="3146" spans="3:8" x14ac:dyDescent="0.25">
      <c r="C3146" s="100"/>
      <c r="G3146" s="156"/>
      <c r="H3146" s="100"/>
    </row>
    <row r="3147" spans="3:8" x14ac:dyDescent="0.25">
      <c r="C3147" s="100"/>
      <c r="G3147" s="156"/>
      <c r="H3147" s="100"/>
    </row>
    <row r="3148" spans="3:8" x14ac:dyDescent="0.25">
      <c r="C3148" s="100"/>
      <c r="G3148" s="156"/>
      <c r="H3148" s="100"/>
    </row>
    <row r="3149" spans="3:8" x14ac:dyDescent="0.25">
      <c r="C3149" s="100"/>
      <c r="G3149" s="156"/>
      <c r="H3149" s="100"/>
    </row>
    <row r="3150" spans="3:8" x14ac:dyDescent="0.25">
      <c r="C3150" s="100"/>
      <c r="G3150" s="156"/>
      <c r="H3150" s="100"/>
    </row>
    <row r="3151" spans="3:8" x14ac:dyDescent="0.25">
      <c r="C3151" s="100"/>
      <c r="G3151" s="156"/>
      <c r="H3151" s="100"/>
    </row>
    <row r="3152" spans="3:8" x14ac:dyDescent="0.25">
      <c r="C3152" s="100"/>
      <c r="G3152" s="156"/>
      <c r="H3152" s="100"/>
    </row>
    <row r="3153" spans="3:8" x14ac:dyDescent="0.25">
      <c r="C3153" s="100"/>
      <c r="G3153" s="156"/>
      <c r="H3153" s="100"/>
    </row>
    <row r="3154" spans="3:8" x14ac:dyDescent="0.25">
      <c r="C3154" s="100"/>
      <c r="G3154" s="156"/>
      <c r="H3154" s="100"/>
    </row>
    <row r="3155" spans="3:8" x14ac:dyDescent="0.25">
      <c r="C3155" s="100"/>
      <c r="G3155" s="156"/>
      <c r="H3155" s="100"/>
    </row>
    <row r="3156" spans="3:8" x14ac:dyDescent="0.25">
      <c r="C3156" s="100"/>
      <c r="G3156" s="156"/>
      <c r="H3156" s="100"/>
    </row>
    <row r="3157" spans="3:8" x14ac:dyDescent="0.25">
      <c r="C3157" s="100"/>
      <c r="G3157" s="156"/>
      <c r="H3157" s="100"/>
    </row>
    <row r="3158" spans="3:8" x14ac:dyDescent="0.25">
      <c r="C3158" s="100"/>
      <c r="G3158" s="156"/>
      <c r="H3158" s="100"/>
    </row>
    <row r="3159" spans="3:8" x14ac:dyDescent="0.25">
      <c r="C3159" s="100"/>
      <c r="G3159" s="156"/>
      <c r="H3159" s="100"/>
    </row>
    <row r="3160" spans="3:8" x14ac:dyDescent="0.25">
      <c r="C3160" s="100"/>
      <c r="G3160" s="156"/>
      <c r="H3160" s="100"/>
    </row>
    <row r="3161" spans="3:8" x14ac:dyDescent="0.25">
      <c r="C3161" s="100"/>
      <c r="G3161" s="156"/>
      <c r="H3161" s="100"/>
    </row>
    <row r="3162" spans="3:8" x14ac:dyDescent="0.25">
      <c r="C3162" s="100"/>
      <c r="G3162" s="156"/>
      <c r="H3162" s="100"/>
    </row>
    <row r="3163" spans="3:8" x14ac:dyDescent="0.25">
      <c r="C3163" s="100"/>
      <c r="G3163" s="156"/>
      <c r="H3163" s="100"/>
    </row>
    <row r="3164" spans="3:8" x14ac:dyDescent="0.25">
      <c r="C3164" s="100"/>
      <c r="G3164" s="156"/>
      <c r="H3164" s="100"/>
    </row>
    <row r="3165" spans="3:8" x14ac:dyDescent="0.25">
      <c r="C3165" s="100"/>
      <c r="G3165" s="156"/>
      <c r="H3165" s="100"/>
    </row>
    <row r="3166" spans="3:8" x14ac:dyDescent="0.25">
      <c r="C3166" s="100"/>
      <c r="G3166" s="156"/>
      <c r="H3166" s="100"/>
    </row>
    <row r="3167" spans="3:8" x14ac:dyDescent="0.25">
      <c r="C3167" s="100"/>
      <c r="G3167" s="156"/>
      <c r="H3167" s="100"/>
    </row>
    <row r="3168" spans="3:8" x14ac:dyDescent="0.25">
      <c r="C3168" s="100"/>
      <c r="G3168" s="156"/>
      <c r="H3168" s="100"/>
    </row>
    <row r="3169" spans="3:8" x14ac:dyDescent="0.25">
      <c r="C3169" s="100"/>
      <c r="G3169" s="156"/>
      <c r="H3169" s="100"/>
    </row>
    <row r="3170" spans="3:8" x14ac:dyDescent="0.25">
      <c r="C3170" s="100"/>
      <c r="G3170" s="156"/>
      <c r="H3170" s="100"/>
    </row>
    <row r="3171" spans="3:8" x14ac:dyDescent="0.25">
      <c r="C3171" s="100"/>
      <c r="G3171" s="156"/>
      <c r="H3171" s="100"/>
    </row>
    <row r="3172" spans="3:8" x14ac:dyDescent="0.25">
      <c r="C3172" s="100"/>
      <c r="G3172" s="156"/>
      <c r="H3172" s="100"/>
    </row>
    <row r="3173" spans="3:8" x14ac:dyDescent="0.25">
      <c r="C3173" s="100"/>
      <c r="G3173" s="156"/>
      <c r="H3173" s="100"/>
    </row>
    <row r="3174" spans="3:8" x14ac:dyDescent="0.25">
      <c r="C3174" s="100"/>
      <c r="G3174" s="156"/>
      <c r="H3174" s="100"/>
    </row>
    <row r="3175" spans="3:8" x14ac:dyDescent="0.25">
      <c r="C3175" s="100"/>
      <c r="G3175" s="156"/>
      <c r="H3175" s="100"/>
    </row>
    <row r="3176" spans="3:8" x14ac:dyDescent="0.25">
      <c r="C3176" s="100"/>
      <c r="G3176" s="156"/>
      <c r="H3176" s="100"/>
    </row>
    <row r="3177" spans="3:8" x14ac:dyDescent="0.25">
      <c r="C3177" s="100"/>
      <c r="G3177" s="156"/>
      <c r="H3177" s="100"/>
    </row>
    <row r="3178" spans="3:8" x14ac:dyDescent="0.25">
      <c r="C3178" s="100"/>
      <c r="G3178" s="156"/>
      <c r="H3178" s="100"/>
    </row>
    <row r="3179" spans="3:8" x14ac:dyDescent="0.25">
      <c r="C3179" s="100"/>
      <c r="G3179" s="156"/>
      <c r="H3179" s="100"/>
    </row>
    <row r="3180" spans="3:8" x14ac:dyDescent="0.25">
      <c r="C3180" s="100"/>
      <c r="G3180" s="156"/>
      <c r="H3180" s="100"/>
    </row>
    <row r="3181" spans="3:8" x14ac:dyDescent="0.25">
      <c r="C3181" s="100"/>
      <c r="G3181" s="156"/>
      <c r="H3181" s="100"/>
    </row>
    <row r="3182" spans="3:8" x14ac:dyDescent="0.25">
      <c r="C3182" s="100"/>
      <c r="G3182" s="156"/>
      <c r="H3182" s="100"/>
    </row>
    <row r="3183" spans="3:8" x14ac:dyDescent="0.25">
      <c r="C3183" s="100"/>
      <c r="G3183" s="156"/>
      <c r="H3183" s="100"/>
    </row>
    <row r="3184" spans="3:8" x14ac:dyDescent="0.25">
      <c r="C3184" s="100"/>
      <c r="G3184" s="156"/>
      <c r="H3184" s="100"/>
    </row>
    <row r="3185" spans="3:8" x14ac:dyDescent="0.25">
      <c r="C3185" s="100"/>
      <c r="G3185" s="156"/>
      <c r="H3185" s="100"/>
    </row>
    <row r="3186" spans="3:8" x14ac:dyDescent="0.25">
      <c r="C3186" s="100"/>
      <c r="G3186" s="156"/>
      <c r="H3186" s="100"/>
    </row>
    <row r="3187" spans="3:8" x14ac:dyDescent="0.25">
      <c r="C3187" s="100"/>
      <c r="G3187" s="156"/>
      <c r="H3187" s="100"/>
    </row>
    <row r="3188" spans="3:8" x14ac:dyDescent="0.25">
      <c r="C3188" s="100"/>
      <c r="G3188" s="156"/>
      <c r="H3188" s="100"/>
    </row>
    <row r="3189" spans="3:8" x14ac:dyDescent="0.25">
      <c r="C3189" s="100"/>
      <c r="G3189" s="156"/>
      <c r="H3189" s="100"/>
    </row>
    <row r="3190" spans="3:8" x14ac:dyDescent="0.25">
      <c r="C3190" s="100"/>
      <c r="G3190" s="156"/>
      <c r="H3190" s="100"/>
    </row>
    <row r="3191" spans="3:8" x14ac:dyDescent="0.25">
      <c r="C3191" s="100"/>
      <c r="G3191" s="156"/>
      <c r="H3191" s="100"/>
    </row>
    <row r="3192" spans="3:8" x14ac:dyDescent="0.25">
      <c r="C3192" s="100"/>
      <c r="G3192" s="156"/>
      <c r="H3192" s="100"/>
    </row>
    <row r="3193" spans="3:8" x14ac:dyDescent="0.25">
      <c r="C3193" s="100"/>
      <c r="G3193" s="156"/>
      <c r="H3193" s="100"/>
    </row>
    <row r="3194" spans="3:8" x14ac:dyDescent="0.25">
      <c r="C3194" s="100"/>
      <c r="G3194" s="156"/>
      <c r="H3194" s="100"/>
    </row>
    <row r="3195" spans="3:8" x14ac:dyDescent="0.25">
      <c r="C3195" s="100"/>
      <c r="G3195" s="156"/>
      <c r="H3195" s="100"/>
    </row>
    <row r="3196" spans="3:8" x14ac:dyDescent="0.25">
      <c r="C3196" s="100"/>
      <c r="G3196" s="156"/>
      <c r="H3196" s="100"/>
    </row>
    <row r="3197" spans="3:8" x14ac:dyDescent="0.25">
      <c r="C3197" s="100"/>
      <c r="G3197" s="156"/>
      <c r="H3197" s="100"/>
    </row>
    <row r="3198" spans="3:8" x14ac:dyDescent="0.25">
      <c r="C3198" s="100"/>
      <c r="G3198" s="156"/>
      <c r="H3198" s="100"/>
    </row>
    <row r="3199" spans="3:8" x14ac:dyDescent="0.25">
      <c r="C3199" s="100"/>
      <c r="G3199" s="156"/>
      <c r="H3199" s="100"/>
    </row>
    <row r="3200" spans="3:8" x14ac:dyDescent="0.25">
      <c r="C3200" s="100"/>
      <c r="G3200" s="156"/>
      <c r="H3200" s="100"/>
    </row>
    <row r="3201" spans="3:8" x14ac:dyDescent="0.25">
      <c r="C3201" s="100"/>
      <c r="G3201" s="156"/>
      <c r="H3201" s="100"/>
    </row>
    <row r="3202" spans="3:8" x14ac:dyDescent="0.25">
      <c r="C3202" s="100"/>
      <c r="G3202" s="156"/>
      <c r="H3202" s="100"/>
    </row>
    <row r="3203" spans="3:8" x14ac:dyDescent="0.25">
      <c r="C3203" s="100"/>
      <c r="G3203" s="156"/>
      <c r="H3203" s="100"/>
    </row>
    <row r="3204" spans="3:8" x14ac:dyDescent="0.25">
      <c r="C3204" s="100"/>
      <c r="G3204" s="156"/>
      <c r="H3204" s="100"/>
    </row>
    <row r="3205" spans="3:8" x14ac:dyDescent="0.25">
      <c r="C3205" s="100"/>
      <c r="G3205" s="156"/>
      <c r="H3205" s="100"/>
    </row>
    <row r="3206" spans="3:8" x14ac:dyDescent="0.25">
      <c r="C3206" s="100"/>
      <c r="G3206" s="156"/>
      <c r="H3206" s="100"/>
    </row>
    <row r="3207" spans="3:8" x14ac:dyDescent="0.25">
      <c r="C3207" s="100"/>
      <c r="G3207" s="156"/>
      <c r="H3207" s="100"/>
    </row>
    <row r="3208" spans="3:8" x14ac:dyDescent="0.25">
      <c r="C3208" s="100"/>
      <c r="G3208" s="156"/>
      <c r="H3208" s="100"/>
    </row>
    <row r="3209" spans="3:8" x14ac:dyDescent="0.25">
      <c r="C3209" s="100"/>
      <c r="G3209" s="156"/>
      <c r="H3209" s="100"/>
    </row>
    <row r="3210" spans="3:8" x14ac:dyDescent="0.25">
      <c r="C3210" s="100"/>
      <c r="G3210" s="156"/>
      <c r="H3210" s="100"/>
    </row>
    <row r="3211" spans="3:8" x14ac:dyDescent="0.25">
      <c r="C3211" s="100"/>
      <c r="G3211" s="156"/>
      <c r="H3211" s="100"/>
    </row>
    <row r="3212" spans="3:8" x14ac:dyDescent="0.25">
      <c r="C3212" s="100"/>
      <c r="G3212" s="156"/>
      <c r="H3212" s="100"/>
    </row>
    <row r="3213" spans="3:8" x14ac:dyDescent="0.25">
      <c r="C3213" s="100"/>
      <c r="G3213" s="156"/>
      <c r="H3213" s="100"/>
    </row>
    <row r="3214" spans="3:8" x14ac:dyDescent="0.25">
      <c r="C3214" s="100"/>
      <c r="G3214" s="156"/>
      <c r="H3214" s="100"/>
    </row>
    <row r="3215" spans="3:8" x14ac:dyDescent="0.25">
      <c r="C3215" s="100"/>
      <c r="G3215" s="156"/>
      <c r="H3215" s="100"/>
    </row>
    <row r="3216" spans="3:8" x14ac:dyDescent="0.25">
      <c r="C3216" s="100"/>
      <c r="G3216" s="156"/>
      <c r="H3216" s="100"/>
    </row>
    <row r="3217" spans="3:8" x14ac:dyDescent="0.25">
      <c r="C3217" s="100"/>
      <c r="G3217" s="156"/>
      <c r="H3217" s="100"/>
    </row>
    <row r="3218" spans="3:8" x14ac:dyDescent="0.25">
      <c r="C3218" s="100"/>
      <c r="G3218" s="156"/>
      <c r="H3218" s="100"/>
    </row>
    <row r="3219" spans="3:8" x14ac:dyDescent="0.25">
      <c r="C3219" s="100"/>
      <c r="G3219" s="156"/>
      <c r="H3219" s="100"/>
    </row>
    <row r="3220" spans="3:8" x14ac:dyDescent="0.25">
      <c r="C3220" s="100"/>
      <c r="G3220" s="156"/>
      <c r="H3220" s="100"/>
    </row>
    <row r="3221" spans="3:8" x14ac:dyDescent="0.25">
      <c r="C3221" s="100"/>
      <c r="G3221" s="156"/>
      <c r="H3221" s="100"/>
    </row>
    <row r="3222" spans="3:8" x14ac:dyDescent="0.25">
      <c r="C3222" s="100"/>
      <c r="G3222" s="156"/>
      <c r="H3222" s="100"/>
    </row>
    <row r="3223" spans="3:8" x14ac:dyDescent="0.25">
      <c r="C3223" s="100"/>
      <c r="G3223" s="156"/>
      <c r="H3223" s="100"/>
    </row>
    <row r="3224" spans="3:8" x14ac:dyDescent="0.25">
      <c r="C3224" s="100"/>
      <c r="G3224" s="156"/>
      <c r="H3224" s="100"/>
    </row>
    <row r="3225" spans="3:8" x14ac:dyDescent="0.25">
      <c r="C3225" s="100"/>
      <c r="G3225" s="156"/>
      <c r="H3225" s="100"/>
    </row>
    <row r="3226" spans="3:8" x14ac:dyDescent="0.25">
      <c r="C3226" s="100"/>
      <c r="G3226" s="156"/>
      <c r="H3226" s="100"/>
    </row>
    <row r="3227" spans="3:8" x14ac:dyDescent="0.25">
      <c r="C3227" s="100"/>
      <c r="G3227" s="156"/>
      <c r="H3227" s="100"/>
    </row>
    <row r="3228" spans="3:8" x14ac:dyDescent="0.25">
      <c r="C3228" s="100"/>
      <c r="G3228" s="156"/>
      <c r="H3228" s="100"/>
    </row>
    <row r="3229" spans="3:8" x14ac:dyDescent="0.25">
      <c r="C3229" s="100"/>
      <c r="G3229" s="156"/>
      <c r="H3229" s="100"/>
    </row>
    <row r="3230" spans="3:8" x14ac:dyDescent="0.25">
      <c r="C3230" s="100"/>
      <c r="G3230" s="156"/>
      <c r="H3230" s="100"/>
    </row>
    <row r="3231" spans="3:8" x14ac:dyDescent="0.25">
      <c r="C3231" s="100"/>
      <c r="G3231" s="156"/>
      <c r="H3231" s="100"/>
    </row>
    <row r="3232" spans="3:8" x14ac:dyDescent="0.25">
      <c r="C3232" s="100"/>
      <c r="G3232" s="156"/>
      <c r="H3232" s="100"/>
    </row>
    <row r="3233" spans="3:8" x14ac:dyDescent="0.25">
      <c r="C3233" s="100"/>
      <c r="G3233" s="156"/>
      <c r="H3233" s="100"/>
    </row>
    <row r="3234" spans="3:8" x14ac:dyDescent="0.25">
      <c r="C3234" s="100"/>
      <c r="G3234" s="156"/>
      <c r="H3234" s="100"/>
    </row>
    <row r="3235" spans="3:8" x14ac:dyDescent="0.25">
      <c r="C3235" s="100"/>
      <c r="G3235" s="156"/>
      <c r="H3235" s="100"/>
    </row>
    <row r="3236" spans="3:8" x14ac:dyDescent="0.25">
      <c r="C3236" s="100"/>
      <c r="G3236" s="156"/>
      <c r="H3236" s="100"/>
    </row>
    <row r="3237" spans="3:8" x14ac:dyDescent="0.25">
      <c r="C3237" s="100"/>
      <c r="G3237" s="156"/>
      <c r="H3237" s="100"/>
    </row>
    <row r="3238" spans="3:8" x14ac:dyDescent="0.25">
      <c r="C3238" s="100"/>
      <c r="G3238" s="156"/>
      <c r="H3238" s="100"/>
    </row>
    <row r="3239" spans="3:8" x14ac:dyDescent="0.25">
      <c r="C3239" s="100"/>
      <c r="G3239" s="156"/>
      <c r="H3239" s="100"/>
    </row>
    <row r="3240" spans="3:8" x14ac:dyDescent="0.25">
      <c r="C3240" s="100"/>
      <c r="G3240" s="156"/>
      <c r="H3240" s="100"/>
    </row>
    <row r="3241" spans="3:8" x14ac:dyDescent="0.25">
      <c r="C3241" s="100"/>
      <c r="G3241" s="156"/>
      <c r="H3241" s="100"/>
    </row>
    <row r="3242" spans="3:8" x14ac:dyDescent="0.25">
      <c r="C3242" s="100"/>
      <c r="G3242" s="156"/>
      <c r="H3242" s="100"/>
    </row>
    <row r="3243" spans="3:8" x14ac:dyDescent="0.25">
      <c r="C3243" s="100"/>
      <c r="G3243" s="156"/>
      <c r="H3243" s="100"/>
    </row>
    <row r="3244" spans="3:8" x14ac:dyDescent="0.25">
      <c r="C3244" s="100"/>
      <c r="G3244" s="156"/>
      <c r="H3244" s="100"/>
    </row>
    <row r="3245" spans="3:8" x14ac:dyDescent="0.25">
      <c r="C3245" s="100"/>
      <c r="G3245" s="156"/>
      <c r="H3245" s="100"/>
    </row>
    <row r="3246" spans="3:8" x14ac:dyDescent="0.25">
      <c r="C3246" s="100"/>
      <c r="G3246" s="156"/>
      <c r="H3246" s="100"/>
    </row>
    <row r="3247" spans="3:8" x14ac:dyDescent="0.25">
      <c r="C3247" s="100"/>
      <c r="G3247" s="156"/>
      <c r="H3247" s="100"/>
    </row>
    <row r="3248" spans="3:8" x14ac:dyDescent="0.25">
      <c r="C3248" s="100"/>
      <c r="G3248" s="156"/>
      <c r="H3248" s="100"/>
    </row>
    <row r="3249" spans="3:8" x14ac:dyDescent="0.25">
      <c r="C3249" s="100"/>
      <c r="G3249" s="156"/>
      <c r="H3249" s="100"/>
    </row>
    <row r="3250" spans="3:8" x14ac:dyDescent="0.25">
      <c r="C3250" s="100"/>
      <c r="G3250" s="156"/>
      <c r="H3250" s="100"/>
    </row>
    <row r="3251" spans="3:8" x14ac:dyDescent="0.25">
      <c r="C3251" s="100"/>
      <c r="G3251" s="156"/>
      <c r="H3251" s="100"/>
    </row>
    <row r="3252" spans="3:8" x14ac:dyDescent="0.25">
      <c r="C3252" s="100"/>
      <c r="G3252" s="156"/>
      <c r="H3252" s="100"/>
    </row>
    <row r="3253" spans="3:8" x14ac:dyDescent="0.25">
      <c r="C3253" s="100"/>
      <c r="G3253" s="156"/>
      <c r="H3253" s="100"/>
    </row>
    <row r="3254" spans="3:8" x14ac:dyDescent="0.25">
      <c r="C3254" s="100"/>
      <c r="G3254" s="156"/>
      <c r="H3254" s="100"/>
    </row>
    <row r="3255" spans="3:8" x14ac:dyDescent="0.25">
      <c r="C3255" s="100"/>
      <c r="G3255" s="156"/>
      <c r="H3255" s="100"/>
    </row>
    <row r="3256" spans="3:8" x14ac:dyDescent="0.25">
      <c r="C3256" s="100"/>
      <c r="G3256" s="156"/>
      <c r="H3256" s="100"/>
    </row>
    <row r="3257" spans="3:8" x14ac:dyDescent="0.25">
      <c r="C3257" s="100"/>
      <c r="G3257" s="156"/>
      <c r="H3257" s="100"/>
    </row>
    <row r="3258" spans="3:8" x14ac:dyDescent="0.25">
      <c r="C3258" s="100"/>
      <c r="G3258" s="156"/>
      <c r="H3258" s="100"/>
    </row>
    <row r="3259" spans="3:8" x14ac:dyDescent="0.25">
      <c r="C3259" s="100"/>
      <c r="G3259" s="156"/>
      <c r="H3259" s="100"/>
    </row>
    <row r="3260" spans="3:8" x14ac:dyDescent="0.25">
      <c r="C3260" s="100"/>
      <c r="G3260" s="156"/>
      <c r="H3260" s="100"/>
    </row>
    <row r="3261" spans="3:8" x14ac:dyDescent="0.25">
      <c r="C3261" s="100"/>
      <c r="G3261" s="156"/>
      <c r="H3261" s="100"/>
    </row>
    <row r="3262" spans="3:8" x14ac:dyDescent="0.25">
      <c r="C3262" s="100"/>
      <c r="G3262" s="156"/>
      <c r="H3262" s="100"/>
    </row>
    <row r="3263" spans="3:8" x14ac:dyDescent="0.25">
      <c r="C3263" s="100"/>
      <c r="G3263" s="156"/>
      <c r="H3263" s="100"/>
    </row>
    <row r="3264" spans="3:8" x14ac:dyDescent="0.25">
      <c r="C3264" s="100"/>
      <c r="G3264" s="156"/>
      <c r="H3264" s="100"/>
    </row>
    <row r="3265" spans="3:8" x14ac:dyDescent="0.25">
      <c r="C3265" s="100"/>
      <c r="G3265" s="156"/>
      <c r="H3265" s="100"/>
    </row>
    <row r="3266" spans="3:8" x14ac:dyDescent="0.25">
      <c r="C3266" s="100"/>
      <c r="G3266" s="156"/>
      <c r="H3266" s="100"/>
    </row>
    <row r="3267" spans="3:8" x14ac:dyDescent="0.25">
      <c r="C3267" s="100"/>
      <c r="G3267" s="156"/>
      <c r="H3267" s="100"/>
    </row>
    <row r="3268" spans="3:8" x14ac:dyDescent="0.25">
      <c r="C3268" s="100"/>
      <c r="G3268" s="156"/>
      <c r="H3268" s="100"/>
    </row>
    <row r="3269" spans="3:8" x14ac:dyDescent="0.25">
      <c r="C3269" s="100"/>
      <c r="G3269" s="156"/>
      <c r="H3269" s="100"/>
    </row>
    <row r="3270" spans="3:8" x14ac:dyDescent="0.25">
      <c r="C3270" s="100"/>
      <c r="G3270" s="156"/>
      <c r="H3270" s="100"/>
    </row>
    <row r="3271" spans="3:8" x14ac:dyDescent="0.25">
      <c r="C3271" s="100"/>
      <c r="G3271" s="156"/>
      <c r="H3271" s="100"/>
    </row>
    <row r="3272" spans="3:8" x14ac:dyDescent="0.25">
      <c r="C3272" s="100"/>
      <c r="G3272" s="156"/>
      <c r="H3272" s="100"/>
    </row>
    <row r="3273" spans="3:8" x14ac:dyDescent="0.25">
      <c r="C3273" s="100"/>
      <c r="G3273" s="156"/>
      <c r="H3273" s="100"/>
    </row>
    <row r="3274" spans="3:8" x14ac:dyDescent="0.25">
      <c r="C3274" s="100"/>
      <c r="G3274" s="156"/>
      <c r="H3274" s="100"/>
    </row>
    <row r="3275" spans="3:8" x14ac:dyDescent="0.25">
      <c r="C3275" s="100"/>
      <c r="G3275" s="156"/>
      <c r="H3275" s="100"/>
    </row>
    <row r="3276" spans="3:8" x14ac:dyDescent="0.25">
      <c r="C3276" s="100"/>
      <c r="G3276" s="156"/>
      <c r="H3276" s="100"/>
    </row>
    <row r="3277" spans="3:8" x14ac:dyDescent="0.25">
      <c r="C3277" s="100"/>
      <c r="G3277" s="156"/>
      <c r="H3277" s="100"/>
    </row>
    <row r="3278" spans="3:8" x14ac:dyDescent="0.25">
      <c r="C3278" s="100"/>
      <c r="G3278" s="156"/>
      <c r="H3278" s="100"/>
    </row>
    <row r="3279" spans="3:8" x14ac:dyDescent="0.25">
      <c r="C3279" s="100"/>
      <c r="G3279" s="156"/>
      <c r="H3279" s="100"/>
    </row>
    <row r="3280" spans="3:8" x14ac:dyDescent="0.25">
      <c r="C3280" s="100"/>
      <c r="G3280" s="156"/>
      <c r="H3280" s="100"/>
    </row>
    <row r="3281" spans="3:8" x14ac:dyDescent="0.25">
      <c r="C3281" s="100"/>
      <c r="G3281" s="156"/>
      <c r="H3281" s="100"/>
    </row>
    <row r="3282" spans="3:8" x14ac:dyDescent="0.25">
      <c r="C3282" s="100"/>
      <c r="G3282" s="156"/>
      <c r="H3282" s="100"/>
    </row>
    <row r="3283" spans="3:8" x14ac:dyDescent="0.25">
      <c r="C3283" s="100"/>
      <c r="G3283" s="156"/>
      <c r="H3283" s="100"/>
    </row>
    <row r="3284" spans="3:8" x14ac:dyDescent="0.25">
      <c r="C3284" s="100"/>
      <c r="G3284" s="156"/>
      <c r="H3284" s="100"/>
    </row>
    <row r="3285" spans="3:8" x14ac:dyDescent="0.25">
      <c r="C3285" s="100"/>
      <c r="G3285" s="156"/>
      <c r="H3285" s="100"/>
    </row>
    <row r="3286" spans="3:8" x14ac:dyDescent="0.25">
      <c r="C3286" s="100"/>
      <c r="G3286" s="156"/>
      <c r="H3286" s="100"/>
    </row>
    <row r="3287" spans="3:8" x14ac:dyDescent="0.25">
      <c r="C3287" s="100"/>
      <c r="G3287" s="156"/>
      <c r="H3287" s="100"/>
    </row>
    <row r="3288" spans="3:8" x14ac:dyDescent="0.25">
      <c r="C3288" s="100"/>
      <c r="G3288" s="156"/>
      <c r="H3288" s="100"/>
    </row>
    <row r="3289" spans="3:8" x14ac:dyDescent="0.25">
      <c r="C3289" s="100"/>
      <c r="G3289" s="156"/>
      <c r="H3289" s="100"/>
    </row>
    <row r="3290" spans="3:8" x14ac:dyDescent="0.25">
      <c r="C3290" s="100"/>
      <c r="G3290" s="156"/>
      <c r="H3290" s="100"/>
    </row>
    <row r="3291" spans="3:8" x14ac:dyDescent="0.25">
      <c r="C3291" s="100"/>
      <c r="G3291" s="156"/>
      <c r="H3291" s="100"/>
    </row>
    <row r="3292" spans="3:8" x14ac:dyDescent="0.25">
      <c r="C3292" s="100"/>
      <c r="G3292" s="156"/>
      <c r="H3292" s="100"/>
    </row>
    <row r="3293" spans="3:8" x14ac:dyDescent="0.25">
      <c r="C3293" s="100"/>
      <c r="G3293" s="156"/>
      <c r="H3293" s="100"/>
    </row>
    <row r="3294" spans="3:8" x14ac:dyDescent="0.25">
      <c r="C3294" s="100"/>
      <c r="G3294" s="156"/>
      <c r="H3294" s="100"/>
    </row>
    <row r="3295" spans="3:8" x14ac:dyDescent="0.25">
      <c r="C3295" s="100"/>
      <c r="G3295" s="156"/>
      <c r="H3295" s="100"/>
    </row>
    <row r="3296" spans="3:8" x14ac:dyDescent="0.25">
      <c r="C3296" s="100"/>
      <c r="G3296" s="156"/>
      <c r="H3296" s="100"/>
    </row>
    <row r="3297" spans="3:8" x14ac:dyDescent="0.25">
      <c r="C3297" s="100"/>
      <c r="G3297" s="156"/>
      <c r="H3297" s="100"/>
    </row>
    <row r="3298" spans="3:8" x14ac:dyDescent="0.25">
      <c r="C3298" s="100"/>
      <c r="G3298" s="156"/>
      <c r="H3298" s="100"/>
    </row>
    <row r="3299" spans="3:8" x14ac:dyDescent="0.25">
      <c r="C3299" s="100"/>
      <c r="G3299" s="156"/>
      <c r="H3299" s="100"/>
    </row>
    <row r="3300" spans="3:8" x14ac:dyDescent="0.25">
      <c r="C3300" s="100"/>
      <c r="G3300" s="156"/>
      <c r="H3300" s="100"/>
    </row>
    <row r="3301" spans="3:8" x14ac:dyDescent="0.25">
      <c r="C3301" s="100"/>
      <c r="G3301" s="156"/>
      <c r="H3301" s="100"/>
    </row>
    <row r="3302" spans="3:8" x14ac:dyDescent="0.25">
      <c r="C3302" s="100"/>
      <c r="G3302" s="156"/>
      <c r="H3302" s="100"/>
    </row>
    <row r="3303" spans="3:8" x14ac:dyDescent="0.25">
      <c r="C3303" s="100"/>
      <c r="G3303" s="156"/>
      <c r="H3303" s="100"/>
    </row>
    <row r="3304" spans="3:8" x14ac:dyDescent="0.25">
      <c r="C3304" s="100"/>
      <c r="G3304" s="156"/>
      <c r="H3304" s="100"/>
    </row>
    <row r="3305" spans="3:8" x14ac:dyDescent="0.25">
      <c r="C3305" s="100"/>
      <c r="G3305" s="156"/>
      <c r="H3305" s="100"/>
    </row>
    <row r="3306" spans="3:8" x14ac:dyDescent="0.25">
      <c r="C3306" s="100"/>
      <c r="G3306" s="156"/>
      <c r="H3306" s="100"/>
    </row>
    <row r="3307" spans="3:8" x14ac:dyDescent="0.25">
      <c r="C3307" s="100"/>
      <c r="G3307" s="156"/>
      <c r="H3307" s="100"/>
    </row>
    <row r="3308" spans="3:8" x14ac:dyDescent="0.25">
      <c r="C3308" s="100"/>
      <c r="G3308" s="156"/>
      <c r="H3308" s="100"/>
    </row>
    <row r="3309" spans="3:8" x14ac:dyDescent="0.25">
      <c r="C3309" s="100"/>
      <c r="G3309" s="156"/>
      <c r="H3309" s="100"/>
    </row>
    <row r="3310" spans="3:8" x14ac:dyDescent="0.25">
      <c r="C3310" s="100"/>
      <c r="G3310" s="156"/>
      <c r="H3310" s="100"/>
    </row>
    <row r="3311" spans="3:8" x14ac:dyDescent="0.25">
      <c r="C3311" s="100"/>
      <c r="G3311" s="156"/>
      <c r="H3311" s="100"/>
    </row>
    <row r="3312" spans="3:8" x14ac:dyDescent="0.25">
      <c r="C3312" s="100"/>
      <c r="G3312" s="156"/>
      <c r="H3312" s="100"/>
    </row>
    <row r="3313" spans="3:8" x14ac:dyDescent="0.25">
      <c r="C3313" s="100"/>
      <c r="G3313" s="156"/>
      <c r="H3313" s="100"/>
    </row>
    <row r="3314" spans="3:8" x14ac:dyDescent="0.25">
      <c r="C3314" s="100"/>
      <c r="G3314" s="156"/>
      <c r="H3314" s="100"/>
    </row>
    <row r="3315" spans="3:8" x14ac:dyDescent="0.25">
      <c r="C3315" s="100"/>
      <c r="G3315" s="156"/>
      <c r="H3315" s="100"/>
    </row>
    <row r="3316" spans="3:8" x14ac:dyDescent="0.25">
      <c r="C3316" s="100"/>
      <c r="G3316" s="156"/>
      <c r="H3316" s="100"/>
    </row>
    <row r="3317" spans="3:8" x14ac:dyDescent="0.25">
      <c r="C3317" s="100"/>
      <c r="G3317" s="156"/>
      <c r="H3317" s="100"/>
    </row>
    <row r="3318" spans="3:8" x14ac:dyDescent="0.25">
      <c r="C3318" s="100"/>
      <c r="G3318" s="156"/>
      <c r="H3318" s="100"/>
    </row>
    <row r="3319" spans="3:8" x14ac:dyDescent="0.25">
      <c r="C3319" s="100"/>
      <c r="G3319" s="156"/>
      <c r="H3319" s="100"/>
    </row>
    <row r="3320" spans="3:8" x14ac:dyDescent="0.25">
      <c r="C3320" s="100"/>
      <c r="G3320" s="156"/>
      <c r="H3320" s="100"/>
    </row>
    <row r="3321" spans="3:8" x14ac:dyDescent="0.25">
      <c r="C3321" s="100"/>
      <c r="G3321" s="156"/>
      <c r="H3321" s="100"/>
    </row>
    <row r="3322" spans="3:8" x14ac:dyDescent="0.25">
      <c r="C3322" s="100"/>
      <c r="G3322" s="156"/>
      <c r="H3322" s="100"/>
    </row>
    <row r="3323" spans="3:8" x14ac:dyDescent="0.25">
      <c r="C3323" s="100"/>
      <c r="G3323" s="156"/>
      <c r="H3323" s="100"/>
    </row>
    <row r="3324" spans="3:8" x14ac:dyDescent="0.25">
      <c r="C3324" s="100"/>
      <c r="G3324" s="156"/>
      <c r="H3324" s="100"/>
    </row>
    <row r="3325" spans="3:8" x14ac:dyDescent="0.25">
      <c r="C3325" s="100"/>
      <c r="G3325" s="156"/>
      <c r="H3325" s="100"/>
    </row>
    <row r="3326" spans="3:8" x14ac:dyDescent="0.25">
      <c r="C3326" s="100"/>
      <c r="G3326" s="156"/>
      <c r="H3326" s="100"/>
    </row>
    <row r="3327" spans="3:8" x14ac:dyDescent="0.25">
      <c r="C3327" s="100"/>
      <c r="G3327" s="156"/>
      <c r="H3327" s="100"/>
    </row>
    <row r="3328" spans="3:8" x14ac:dyDescent="0.25">
      <c r="C3328" s="100"/>
      <c r="G3328" s="156"/>
      <c r="H3328" s="100"/>
    </row>
    <row r="3329" spans="3:8" x14ac:dyDescent="0.25">
      <c r="C3329" s="100"/>
      <c r="G3329" s="156"/>
      <c r="H3329" s="100"/>
    </row>
    <row r="3330" spans="3:8" x14ac:dyDescent="0.25">
      <c r="C3330" s="100"/>
      <c r="G3330" s="156"/>
      <c r="H3330" s="100"/>
    </row>
    <row r="3331" spans="3:8" x14ac:dyDescent="0.25">
      <c r="C3331" s="100"/>
      <c r="G3331" s="156"/>
      <c r="H3331" s="100"/>
    </row>
    <row r="3332" spans="3:8" x14ac:dyDescent="0.25">
      <c r="C3332" s="100"/>
      <c r="G3332" s="156"/>
      <c r="H3332" s="100"/>
    </row>
    <row r="3333" spans="3:8" x14ac:dyDescent="0.25">
      <c r="C3333" s="100"/>
      <c r="G3333" s="156"/>
      <c r="H3333" s="100"/>
    </row>
    <row r="3334" spans="3:8" x14ac:dyDescent="0.25">
      <c r="C3334" s="100"/>
      <c r="G3334" s="156"/>
      <c r="H3334" s="100"/>
    </row>
    <row r="3335" spans="3:8" x14ac:dyDescent="0.25">
      <c r="C3335" s="100"/>
      <c r="G3335" s="156"/>
      <c r="H3335" s="100"/>
    </row>
    <row r="3336" spans="3:8" x14ac:dyDescent="0.25">
      <c r="C3336" s="100"/>
      <c r="G3336" s="156"/>
      <c r="H3336" s="100"/>
    </row>
    <row r="3337" spans="3:8" x14ac:dyDescent="0.25">
      <c r="C3337" s="100"/>
      <c r="G3337" s="156"/>
      <c r="H3337" s="100"/>
    </row>
    <row r="3338" spans="3:8" x14ac:dyDescent="0.25">
      <c r="C3338" s="100"/>
      <c r="G3338" s="156"/>
      <c r="H3338" s="100"/>
    </row>
    <row r="3339" spans="3:8" x14ac:dyDescent="0.25">
      <c r="C3339" s="100"/>
      <c r="G3339" s="156"/>
      <c r="H3339" s="100"/>
    </row>
    <row r="3340" spans="3:8" x14ac:dyDescent="0.25">
      <c r="C3340" s="100"/>
      <c r="G3340" s="156"/>
      <c r="H3340" s="100"/>
    </row>
    <row r="3341" spans="3:8" x14ac:dyDescent="0.25">
      <c r="C3341" s="100"/>
      <c r="G3341" s="156"/>
      <c r="H3341" s="100"/>
    </row>
    <row r="3342" spans="3:8" x14ac:dyDescent="0.25">
      <c r="C3342" s="100"/>
      <c r="G3342" s="156"/>
      <c r="H3342" s="100"/>
    </row>
    <row r="3343" spans="3:8" x14ac:dyDescent="0.25">
      <c r="C3343" s="100"/>
      <c r="G3343" s="156"/>
      <c r="H3343" s="100"/>
    </row>
    <row r="3344" spans="3:8" x14ac:dyDescent="0.25">
      <c r="C3344" s="100"/>
      <c r="G3344" s="156"/>
      <c r="H3344" s="100"/>
    </row>
    <row r="3345" spans="3:8" x14ac:dyDescent="0.25">
      <c r="C3345" s="100"/>
      <c r="G3345" s="156"/>
      <c r="H3345" s="100"/>
    </row>
    <row r="3346" spans="3:8" x14ac:dyDescent="0.25">
      <c r="C3346" s="100"/>
      <c r="G3346" s="156"/>
      <c r="H3346" s="100"/>
    </row>
    <row r="3347" spans="3:8" x14ac:dyDescent="0.25">
      <c r="C3347" s="100"/>
      <c r="G3347" s="156"/>
      <c r="H3347" s="100"/>
    </row>
    <row r="3348" spans="3:8" x14ac:dyDescent="0.25">
      <c r="C3348" s="100"/>
      <c r="G3348" s="156"/>
      <c r="H3348" s="100"/>
    </row>
    <row r="3349" spans="3:8" x14ac:dyDescent="0.25">
      <c r="C3349" s="100"/>
      <c r="G3349" s="156"/>
      <c r="H3349" s="100"/>
    </row>
    <row r="3350" spans="3:8" x14ac:dyDescent="0.25">
      <c r="C3350" s="100"/>
      <c r="G3350" s="156"/>
      <c r="H3350" s="100"/>
    </row>
    <row r="3351" spans="3:8" x14ac:dyDescent="0.25">
      <c r="C3351" s="100"/>
      <c r="G3351" s="156"/>
      <c r="H3351" s="100"/>
    </row>
    <row r="3352" spans="3:8" x14ac:dyDescent="0.25">
      <c r="C3352" s="100"/>
      <c r="G3352" s="156"/>
      <c r="H3352" s="100"/>
    </row>
    <row r="3353" spans="3:8" x14ac:dyDescent="0.25">
      <c r="C3353" s="100"/>
      <c r="G3353" s="156"/>
      <c r="H3353" s="100"/>
    </row>
    <row r="3354" spans="3:8" x14ac:dyDescent="0.25">
      <c r="C3354" s="100"/>
      <c r="G3354" s="156"/>
      <c r="H3354" s="100"/>
    </row>
    <row r="3355" spans="3:8" x14ac:dyDescent="0.25">
      <c r="C3355" s="100"/>
      <c r="G3355" s="156"/>
      <c r="H3355" s="100"/>
    </row>
    <row r="3356" spans="3:8" x14ac:dyDescent="0.25">
      <c r="C3356" s="100"/>
      <c r="G3356" s="156"/>
      <c r="H3356" s="100"/>
    </row>
    <row r="3357" spans="3:8" x14ac:dyDescent="0.25">
      <c r="C3357" s="100"/>
      <c r="G3357" s="156"/>
      <c r="H3357" s="100"/>
    </row>
    <row r="3358" spans="3:8" x14ac:dyDescent="0.25">
      <c r="C3358" s="100"/>
      <c r="G3358" s="156"/>
      <c r="H3358" s="100"/>
    </row>
    <row r="3359" spans="3:8" x14ac:dyDescent="0.25">
      <c r="C3359" s="100"/>
      <c r="G3359" s="156"/>
      <c r="H3359" s="100"/>
    </row>
    <row r="3360" spans="3:8" x14ac:dyDescent="0.25">
      <c r="C3360" s="100"/>
      <c r="G3360" s="156"/>
      <c r="H3360" s="100"/>
    </row>
    <row r="3361" spans="3:8" x14ac:dyDescent="0.25">
      <c r="C3361" s="100"/>
      <c r="G3361" s="156"/>
      <c r="H3361" s="100"/>
    </row>
    <row r="3362" spans="3:8" x14ac:dyDescent="0.25">
      <c r="C3362" s="100"/>
      <c r="G3362" s="156"/>
      <c r="H3362" s="100"/>
    </row>
    <row r="3363" spans="3:8" x14ac:dyDescent="0.25">
      <c r="C3363" s="100"/>
      <c r="G3363" s="156"/>
      <c r="H3363" s="100"/>
    </row>
    <row r="3364" spans="3:8" x14ac:dyDescent="0.25">
      <c r="C3364" s="100"/>
      <c r="G3364" s="156"/>
      <c r="H3364" s="100"/>
    </row>
    <row r="3365" spans="3:8" x14ac:dyDescent="0.25">
      <c r="C3365" s="100"/>
      <c r="G3365" s="156"/>
      <c r="H3365" s="100"/>
    </row>
    <row r="3366" spans="3:8" x14ac:dyDescent="0.25">
      <c r="C3366" s="100"/>
      <c r="G3366" s="156"/>
      <c r="H3366" s="100"/>
    </row>
    <row r="3367" spans="3:8" x14ac:dyDescent="0.25">
      <c r="C3367" s="100"/>
      <c r="G3367" s="156"/>
      <c r="H3367" s="100"/>
    </row>
    <row r="3368" spans="3:8" x14ac:dyDescent="0.25">
      <c r="C3368" s="100"/>
      <c r="G3368" s="156"/>
      <c r="H3368" s="100"/>
    </row>
    <row r="3369" spans="3:8" x14ac:dyDescent="0.25">
      <c r="C3369" s="100"/>
      <c r="G3369" s="156"/>
      <c r="H3369" s="100"/>
    </row>
    <row r="3370" spans="3:8" x14ac:dyDescent="0.25">
      <c r="C3370" s="100"/>
      <c r="G3370" s="156"/>
      <c r="H3370" s="100"/>
    </row>
    <row r="3371" spans="3:8" x14ac:dyDescent="0.25">
      <c r="C3371" s="100"/>
      <c r="G3371" s="156"/>
      <c r="H3371" s="100"/>
    </row>
    <row r="3372" spans="3:8" x14ac:dyDescent="0.25">
      <c r="C3372" s="100"/>
      <c r="G3372" s="156"/>
      <c r="H3372" s="100"/>
    </row>
    <row r="3373" spans="3:8" x14ac:dyDescent="0.25">
      <c r="C3373" s="100"/>
      <c r="G3373" s="156"/>
      <c r="H3373" s="100"/>
    </row>
    <row r="3374" spans="3:8" x14ac:dyDescent="0.25">
      <c r="C3374" s="100"/>
      <c r="G3374" s="156"/>
      <c r="H3374" s="100"/>
    </row>
    <row r="3375" spans="3:8" x14ac:dyDescent="0.25">
      <c r="C3375" s="100"/>
      <c r="G3375" s="156"/>
      <c r="H3375" s="100"/>
    </row>
    <row r="3376" spans="3:8" x14ac:dyDescent="0.25">
      <c r="C3376" s="100"/>
      <c r="G3376" s="156"/>
      <c r="H3376" s="100"/>
    </row>
    <row r="3377" spans="3:8" x14ac:dyDescent="0.25">
      <c r="C3377" s="100"/>
      <c r="G3377" s="156"/>
      <c r="H3377" s="100"/>
    </row>
    <row r="3378" spans="3:8" x14ac:dyDescent="0.25">
      <c r="C3378" s="100"/>
      <c r="G3378" s="156"/>
      <c r="H3378" s="100"/>
    </row>
    <row r="3379" spans="3:8" x14ac:dyDescent="0.25">
      <c r="C3379" s="100"/>
      <c r="G3379" s="156"/>
      <c r="H3379" s="100"/>
    </row>
    <row r="3380" spans="3:8" x14ac:dyDescent="0.25">
      <c r="C3380" s="100"/>
      <c r="G3380" s="156"/>
      <c r="H3380" s="100"/>
    </row>
    <row r="3381" spans="3:8" x14ac:dyDescent="0.25">
      <c r="C3381" s="100"/>
      <c r="G3381" s="156"/>
      <c r="H3381" s="100"/>
    </row>
    <row r="3382" spans="3:8" x14ac:dyDescent="0.25">
      <c r="C3382" s="100"/>
      <c r="G3382" s="156"/>
      <c r="H3382" s="100"/>
    </row>
    <row r="3383" spans="3:8" x14ac:dyDescent="0.25">
      <c r="C3383" s="100"/>
      <c r="G3383" s="156"/>
      <c r="H3383" s="100"/>
    </row>
    <row r="3384" spans="3:8" x14ac:dyDescent="0.25">
      <c r="C3384" s="100"/>
      <c r="G3384" s="156"/>
      <c r="H3384" s="100"/>
    </row>
    <row r="3385" spans="3:8" x14ac:dyDescent="0.25">
      <c r="C3385" s="100"/>
      <c r="G3385" s="156"/>
      <c r="H3385" s="100"/>
    </row>
    <row r="3386" spans="3:8" x14ac:dyDescent="0.25">
      <c r="C3386" s="100"/>
      <c r="G3386" s="156"/>
      <c r="H3386" s="100"/>
    </row>
    <row r="3387" spans="3:8" x14ac:dyDescent="0.25">
      <c r="C3387" s="100"/>
      <c r="G3387" s="156"/>
      <c r="H3387" s="100"/>
    </row>
    <row r="3388" spans="3:8" x14ac:dyDescent="0.25">
      <c r="C3388" s="100"/>
      <c r="G3388" s="156"/>
      <c r="H3388" s="100"/>
    </row>
    <row r="3389" spans="3:8" x14ac:dyDescent="0.25">
      <c r="C3389" s="100"/>
      <c r="G3389" s="156"/>
      <c r="H3389" s="100"/>
    </row>
    <row r="3390" spans="3:8" x14ac:dyDescent="0.25">
      <c r="C3390" s="100"/>
      <c r="G3390" s="156"/>
      <c r="H3390" s="100"/>
    </row>
    <row r="3391" spans="3:8" x14ac:dyDescent="0.25">
      <c r="C3391" s="100"/>
      <c r="G3391" s="156"/>
      <c r="H3391" s="100"/>
    </row>
    <row r="3392" spans="3:8" x14ac:dyDescent="0.25">
      <c r="C3392" s="100"/>
      <c r="G3392" s="156"/>
      <c r="H3392" s="100"/>
    </row>
    <row r="3393" spans="3:8" x14ac:dyDescent="0.25">
      <c r="C3393" s="100"/>
      <c r="G3393" s="156"/>
      <c r="H3393" s="100"/>
    </row>
    <row r="3394" spans="3:8" x14ac:dyDescent="0.25">
      <c r="C3394" s="100"/>
      <c r="G3394" s="156"/>
      <c r="H3394" s="100"/>
    </row>
    <row r="3395" spans="3:8" x14ac:dyDescent="0.25">
      <c r="C3395" s="100"/>
      <c r="G3395" s="156"/>
      <c r="H3395" s="100"/>
    </row>
    <row r="3396" spans="3:8" x14ac:dyDescent="0.25">
      <c r="C3396" s="100"/>
      <c r="G3396" s="156"/>
      <c r="H3396" s="100"/>
    </row>
    <row r="3397" spans="3:8" x14ac:dyDescent="0.25">
      <c r="C3397" s="100"/>
      <c r="G3397" s="156"/>
      <c r="H3397" s="100"/>
    </row>
    <row r="3398" spans="3:8" x14ac:dyDescent="0.25">
      <c r="C3398" s="100"/>
      <c r="G3398" s="156"/>
      <c r="H3398" s="100"/>
    </row>
    <row r="3399" spans="3:8" x14ac:dyDescent="0.25">
      <c r="C3399" s="100"/>
      <c r="G3399" s="156"/>
      <c r="H3399" s="100"/>
    </row>
    <row r="3400" spans="3:8" x14ac:dyDescent="0.25">
      <c r="C3400" s="100"/>
      <c r="G3400" s="156"/>
      <c r="H3400" s="100"/>
    </row>
    <row r="3401" spans="3:8" x14ac:dyDescent="0.25">
      <c r="C3401" s="100"/>
      <c r="G3401" s="156"/>
      <c r="H3401" s="100"/>
    </row>
    <row r="3402" spans="3:8" x14ac:dyDescent="0.25">
      <c r="C3402" s="100"/>
      <c r="G3402" s="156"/>
      <c r="H3402" s="100"/>
    </row>
    <row r="3403" spans="3:8" x14ac:dyDescent="0.25">
      <c r="C3403" s="100"/>
      <c r="G3403" s="156"/>
      <c r="H3403" s="100"/>
    </row>
    <row r="3404" spans="3:8" x14ac:dyDescent="0.25">
      <c r="C3404" s="100"/>
      <c r="G3404" s="156"/>
      <c r="H3404" s="100"/>
    </row>
    <row r="3405" spans="3:8" x14ac:dyDescent="0.25">
      <c r="C3405" s="100"/>
      <c r="G3405" s="156"/>
      <c r="H3405" s="100"/>
    </row>
    <row r="3406" spans="3:8" x14ac:dyDescent="0.25">
      <c r="C3406" s="100"/>
      <c r="G3406" s="156"/>
      <c r="H3406" s="100"/>
    </row>
    <row r="3407" spans="3:8" x14ac:dyDescent="0.25">
      <c r="C3407" s="100"/>
      <c r="G3407" s="156"/>
      <c r="H3407" s="100"/>
    </row>
    <row r="3408" spans="3:8" x14ac:dyDescent="0.25">
      <c r="C3408" s="100"/>
      <c r="G3408" s="156"/>
      <c r="H3408" s="100"/>
    </row>
    <row r="3409" spans="3:8" x14ac:dyDescent="0.25">
      <c r="C3409" s="100"/>
      <c r="G3409" s="156"/>
      <c r="H3409" s="100"/>
    </row>
    <row r="3410" spans="3:8" x14ac:dyDescent="0.25">
      <c r="C3410" s="100"/>
      <c r="G3410" s="156"/>
      <c r="H3410" s="100"/>
    </row>
    <row r="3411" spans="3:8" x14ac:dyDescent="0.25">
      <c r="C3411" s="100"/>
      <c r="G3411" s="156"/>
      <c r="H3411" s="100"/>
    </row>
    <row r="3412" spans="3:8" x14ac:dyDescent="0.25">
      <c r="C3412" s="100"/>
      <c r="G3412" s="156"/>
      <c r="H3412" s="100"/>
    </row>
    <row r="3413" spans="3:8" x14ac:dyDescent="0.25">
      <c r="C3413" s="100"/>
      <c r="G3413" s="156"/>
      <c r="H3413" s="100"/>
    </row>
    <row r="3414" spans="3:8" x14ac:dyDescent="0.25">
      <c r="C3414" s="100"/>
      <c r="G3414" s="156"/>
      <c r="H3414" s="100"/>
    </row>
    <row r="3415" spans="3:8" x14ac:dyDescent="0.25">
      <c r="C3415" s="100"/>
      <c r="G3415" s="156"/>
      <c r="H3415" s="100"/>
    </row>
    <row r="3416" spans="3:8" x14ac:dyDescent="0.25">
      <c r="C3416" s="100"/>
      <c r="G3416" s="156"/>
      <c r="H3416" s="100"/>
    </row>
    <row r="3417" spans="3:8" x14ac:dyDescent="0.25">
      <c r="C3417" s="100"/>
      <c r="G3417" s="156"/>
      <c r="H3417" s="100"/>
    </row>
    <row r="3418" spans="3:8" x14ac:dyDescent="0.25">
      <c r="C3418" s="100"/>
      <c r="G3418" s="156"/>
      <c r="H3418" s="100"/>
    </row>
    <row r="3419" spans="3:8" x14ac:dyDescent="0.25">
      <c r="C3419" s="100"/>
      <c r="G3419" s="156"/>
      <c r="H3419" s="100"/>
    </row>
    <row r="3420" spans="3:8" x14ac:dyDescent="0.25">
      <c r="C3420" s="100"/>
      <c r="G3420" s="156"/>
      <c r="H3420" s="100"/>
    </row>
    <row r="3421" spans="3:8" x14ac:dyDescent="0.25">
      <c r="C3421" s="100"/>
      <c r="G3421" s="156"/>
      <c r="H3421" s="100"/>
    </row>
    <row r="3422" spans="3:8" x14ac:dyDescent="0.25">
      <c r="C3422" s="100"/>
      <c r="G3422" s="156"/>
      <c r="H3422" s="100"/>
    </row>
    <row r="3423" spans="3:8" x14ac:dyDescent="0.25">
      <c r="C3423" s="100"/>
      <c r="G3423" s="156"/>
      <c r="H3423" s="100"/>
    </row>
    <row r="3424" spans="3:8" x14ac:dyDescent="0.25">
      <c r="C3424" s="100"/>
      <c r="G3424" s="156"/>
      <c r="H3424" s="100"/>
    </row>
    <row r="3425" spans="3:8" x14ac:dyDescent="0.25">
      <c r="C3425" s="100"/>
      <c r="G3425" s="156"/>
      <c r="H3425" s="100"/>
    </row>
    <row r="3426" spans="3:8" x14ac:dyDescent="0.25">
      <c r="C3426" s="100"/>
      <c r="G3426" s="156"/>
      <c r="H3426" s="100"/>
    </row>
    <row r="3427" spans="3:8" x14ac:dyDescent="0.25">
      <c r="C3427" s="100"/>
      <c r="G3427" s="156"/>
      <c r="H3427" s="100"/>
    </row>
    <row r="3428" spans="3:8" x14ac:dyDescent="0.25">
      <c r="C3428" s="100"/>
      <c r="G3428" s="156"/>
      <c r="H3428" s="100"/>
    </row>
    <row r="3429" spans="3:8" x14ac:dyDescent="0.25">
      <c r="C3429" s="100"/>
      <c r="G3429" s="156"/>
      <c r="H3429" s="100"/>
    </row>
    <row r="3430" spans="3:8" x14ac:dyDescent="0.25">
      <c r="C3430" s="100"/>
      <c r="G3430" s="156"/>
      <c r="H3430" s="100"/>
    </row>
    <row r="3431" spans="3:8" x14ac:dyDescent="0.25">
      <c r="C3431" s="100"/>
      <c r="G3431" s="156"/>
      <c r="H3431" s="100"/>
    </row>
    <row r="3432" spans="3:8" x14ac:dyDescent="0.25">
      <c r="C3432" s="100"/>
      <c r="G3432" s="156"/>
      <c r="H3432" s="100"/>
    </row>
    <row r="3433" spans="3:8" x14ac:dyDescent="0.25">
      <c r="C3433" s="100"/>
      <c r="G3433" s="156"/>
      <c r="H3433" s="100"/>
    </row>
    <row r="3434" spans="3:8" x14ac:dyDescent="0.25">
      <c r="C3434" s="100"/>
      <c r="G3434" s="156"/>
      <c r="H3434" s="100"/>
    </row>
    <row r="3435" spans="3:8" x14ac:dyDescent="0.25">
      <c r="C3435" s="100"/>
      <c r="G3435" s="156"/>
      <c r="H3435" s="100"/>
    </row>
    <row r="3436" spans="3:8" x14ac:dyDescent="0.25">
      <c r="C3436" s="100"/>
      <c r="G3436" s="156"/>
      <c r="H3436" s="100"/>
    </row>
    <row r="3437" spans="3:8" x14ac:dyDescent="0.25">
      <c r="C3437" s="100"/>
      <c r="G3437" s="156"/>
      <c r="H3437" s="100"/>
    </row>
    <row r="3438" spans="3:8" x14ac:dyDescent="0.25">
      <c r="C3438" s="100"/>
      <c r="G3438" s="156"/>
      <c r="H3438" s="100"/>
    </row>
    <row r="3439" spans="3:8" x14ac:dyDescent="0.25">
      <c r="C3439" s="100"/>
      <c r="G3439" s="156"/>
      <c r="H3439" s="100"/>
    </row>
    <row r="3440" spans="3:8" x14ac:dyDescent="0.25">
      <c r="C3440" s="100"/>
      <c r="G3440" s="156"/>
      <c r="H3440" s="100"/>
    </row>
    <row r="3441" spans="3:8" x14ac:dyDescent="0.25">
      <c r="C3441" s="100"/>
      <c r="G3441" s="156"/>
      <c r="H3441" s="100"/>
    </row>
    <row r="3442" spans="3:8" x14ac:dyDescent="0.25">
      <c r="C3442" s="100"/>
      <c r="G3442" s="156"/>
      <c r="H3442" s="100"/>
    </row>
    <row r="3443" spans="3:8" x14ac:dyDescent="0.25">
      <c r="C3443" s="100"/>
      <c r="G3443" s="156"/>
      <c r="H3443" s="100"/>
    </row>
    <row r="3444" spans="3:8" x14ac:dyDescent="0.25">
      <c r="C3444" s="100"/>
      <c r="G3444" s="156"/>
      <c r="H3444" s="100"/>
    </row>
    <row r="3445" spans="3:8" x14ac:dyDescent="0.25">
      <c r="C3445" s="100"/>
      <c r="G3445" s="156"/>
      <c r="H3445" s="100"/>
    </row>
    <row r="3446" spans="3:8" x14ac:dyDescent="0.25">
      <c r="C3446" s="100"/>
      <c r="G3446" s="156"/>
      <c r="H3446" s="100"/>
    </row>
    <row r="3447" spans="3:8" x14ac:dyDescent="0.25">
      <c r="C3447" s="100"/>
      <c r="G3447" s="156"/>
      <c r="H3447" s="100"/>
    </row>
    <row r="3448" spans="3:8" x14ac:dyDescent="0.25">
      <c r="C3448" s="100"/>
      <c r="G3448" s="156"/>
      <c r="H3448" s="100"/>
    </row>
    <row r="3449" spans="3:8" x14ac:dyDescent="0.25">
      <c r="C3449" s="100"/>
      <c r="G3449" s="156"/>
      <c r="H3449" s="100"/>
    </row>
    <row r="3450" spans="3:8" x14ac:dyDescent="0.25">
      <c r="C3450" s="100"/>
      <c r="G3450" s="156"/>
      <c r="H3450" s="100"/>
    </row>
    <row r="3451" spans="3:8" x14ac:dyDescent="0.25">
      <c r="C3451" s="100"/>
      <c r="G3451" s="156"/>
      <c r="H3451" s="100"/>
    </row>
    <row r="3452" spans="3:8" x14ac:dyDescent="0.25">
      <c r="C3452" s="100"/>
      <c r="G3452" s="156"/>
      <c r="H3452" s="100"/>
    </row>
    <row r="3453" spans="3:8" x14ac:dyDescent="0.25">
      <c r="C3453" s="100"/>
      <c r="G3453" s="156"/>
      <c r="H3453" s="100"/>
    </row>
    <row r="3454" spans="3:8" x14ac:dyDescent="0.25">
      <c r="C3454" s="100"/>
      <c r="G3454" s="156"/>
      <c r="H3454" s="100"/>
    </row>
    <row r="3455" spans="3:8" x14ac:dyDescent="0.25">
      <c r="C3455" s="100"/>
      <c r="G3455" s="156"/>
      <c r="H3455" s="100"/>
    </row>
    <row r="3456" spans="3:8" x14ac:dyDescent="0.25">
      <c r="C3456" s="100"/>
      <c r="G3456" s="156"/>
      <c r="H3456" s="100"/>
    </row>
    <row r="3457" spans="3:8" x14ac:dyDescent="0.25">
      <c r="C3457" s="100"/>
      <c r="G3457" s="156"/>
      <c r="H3457" s="100"/>
    </row>
    <row r="3458" spans="3:8" x14ac:dyDescent="0.25">
      <c r="C3458" s="100"/>
      <c r="G3458" s="156"/>
      <c r="H3458" s="100"/>
    </row>
    <row r="3459" spans="3:8" x14ac:dyDescent="0.25">
      <c r="C3459" s="100"/>
      <c r="G3459" s="156"/>
      <c r="H3459" s="100"/>
    </row>
    <row r="3460" spans="3:8" x14ac:dyDescent="0.25">
      <c r="C3460" s="100"/>
      <c r="G3460" s="156"/>
      <c r="H3460" s="100"/>
    </row>
    <row r="3461" spans="3:8" x14ac:dyDescent="0.25">
      <c r="C3461" s="100"/>
      <c r="G3461" s="156"/>
      <c r="H3461" s="100"/>
    </row>
    <row r="3462" spans="3:8" x14ac:dyDescent="0.25">
      <c r="C3462" s="100"/>
      <c r="G3462" s="156"/>
      <c r="H3462" s="100"/>
    </row>
    <row r="3463" spans="3:8" x14ac:dyDescent="0.25">
      <c r="C3463" s="100"/>
      <c r="G3463" s="156"/>
      <c r="H3463" s="100"/>
    </row>
    <row r="3464" spans="3:8" x14ac:dyDescent="0.25">
      <c r="C3464" s="100"/>
      <c r="G3464" s="156"/>
      <c r="H3464" s="100"/>
    </row>
    <row r="3465" spans="3:8" x14ac:dyDescent="0.25">
      <c r="C3465" s="100"/>
      <c r="G3465" s="156"/>
      <c r="H3465" s="100"/>
    </row>
    <row r="3466" spans="3:8" x14ac:dyDescent="0.25">
      <c r="C3466" s="100"/>
      <c r="G3466" s="156"/>
      <c r="H3466" s="100"/>
    </row>
    <row r="3467" spans="3:8" x14ac:dyDescent="0.25">
      <c r="C3467" s="100"/>
      <c r="G3467" s="156"/>
      <c r="H3467" s="100"/>
    </row>
    <row r="3468" spans="3:8" x14ac:dyDescent="0.25">
      <c r="C3468" s="100"/>
      <c r="G3468" s="156"/>
      <c r="H3468" s="100"/>
    </row>
    <row r="3469" spans="3:8" x14ac:dyDescent="0.25">
      <c r="C3469" s="100"/>
      <c r="G3469" s="156"/>
      <c r="H3469" s="100"/>
    </row>
    <row r="3470" spans="3:8" x14ac:dyDescent="0.25">
      <c r="C3470" s="100"/>
      <c r="G3470" s="156"/>
      <c r="H3470" s="100"/>
    </row>
    <row r="3471" spans="3:8" x14ac:dyDescent="0.25">
      <c r="C3471" s="100"/>
      <c r="G3471" s="156"/>
      <c r="H3471" s="100"/>
    </row>
    <row r="3472" spans="3:8" x14ac:dyDescent="0.25">
      <c r="C3472" s="100"/>
      <c r="G3472" s="156"/>
      <c r="H3472" s="100"/>
    </row>
    <row r="3473" spans="3:8" x14ac:dyDescent="0.25">
      <c r="C3473" s="100"/>
      <c r="G3473" s="156"/>
      <c r="H3473" s="100"/>
    </row>
    <row r="3474" spans="3:8" x14ac:dyDescent="0.25">
      <c r="C3474" s="100"/>
      <c r="G3474" s="156"/>
      <c r="H3474" s="100"/>
    </row>
    <row r="3475" spans="3:8" x14ac:dyDescent="0.25">
      <c r="C3475" s="100"/>
      <c r="G3475" s="156"/>
      <c r="H3475" s="100"/>
    </row>
    <row r="3476" spans="3:8" x14ac:dyDescent="0.25">
      <c r="C3476" s="100"/>
      <c r="G3476" s="156"/>
      <c r="H3476" s="100"/>
    </row>
    <row r="3477" spans="3:8" x14ac:dyDescent="0.25">
      <c r="C3477" s="100"/>
      <c r="G3477" s="156"/>
      <c r="H3477" s="100"/>
    </row>
    <row r="3478" spans="3:8" x14ac:dyDescent="0.25">
      <c r="C3478" s="100"/>
      <c r="G3478" s="156"/>
      <c r="H3478" s="100"/>
    </row>
    <row r="3479" spans="3:8" x14ac:dyDescent="0.25">
      <c r="C3479" s="100"/>
      <c r="G3479" s="156"/>
      <c r="H3479" s="100"/>
    </row>
    <row r="3480" spans="3:8" x14ac:dyDescent="0.25">
      <c r="C3480" s="100"/>
      <c r="G3480" s="156"/>
      <c r="H3480" s="100"/>
    </row>
    <row r="3481" spans="3:8" x14ac:dyDescent="0.25">
      <c r="C3481" s="100"/>
      <c r="G3481" s="156"/>
      <c r="H3481" s="100"/>
    </row>
    <row r="3482" spans="3:8" x14ac:dyDescent="0.25">
      <c r="C3482" s="100"/>
      <c r="G3482" s="156"/>
      <c r="H3482" s="100"/>
    </row>
    <row r="3483" spans="3:8" x14ac:dyDescent="0.25">
      <c r="C3483" s="100"/>
      <c r="G3483" s="156"/>
      <c r="H3483" s="100"/>
    </row>
    <row r="3484" spans="3:8" x14ac:dyDescent="0.25">
      <c r="C3484" s="100"/>
      <c r="G3484" s="156"/>
      <c r="H3484" s="100"/>
    </row>
    <row r="3485" spans="3:8" x14ac:dyDescent="0.25">
      <c r="C3485" s="100"/>
      <c r="G3485" s="156"/>
      <c r="H3485" s="100"/>
    </row>
    <row r="3486" spans="3:8" x14ac:dyDescent="0.25">
      <c r="C3486" s="100"/>
      <c r="G3486" s="156"/>
      <c r="H3486" s="100"/>
    </row>
    <row r="3487" spans="3:8" x14ac:dyDescent="0.25">
      <c r="C3487" s="100"/>
      <c r="G3487" s="156"/>
      <c r="H3487" s="100"/>
    </row>
    <row r="3488" spans="3:8" x14ac:dyDescent="0.25">
      <c r="C3488" s="100"/>
      <c r="G3488" s="156"/>
      <c r="H3488" s="100"/>
    </row>
    <row r="3489" spans="3:8" x14ac:dyDescent="0.25">
      <c r="C3489" s="100"/>
      <c r="G3489" s="156"/>
      <c r="H3489" s="100"/>
    </row>
    <row r="3490" spans="3:8" x14ac:dyDescent="0.25">
      <c r="C3490" s="100"/>
      <c r="G3490" s="156"/>
      <c r="H3490" s="100"/>
    </row>
    <row r="3491" spans="3:8" x14ac:dyDescent="0.25">
      <c r="C3491" s="100"/>
      <c r="G3491" s="156"/>
      <c r="H3491" s="100"/>
    </row>
    <row r="3492" spans="3:8" x14ac:dyDescent="0.25">
      <c r="C3492" s="100"/>
      <c r="G3492" s="156"/>
      <c r="H3492" s="100"/>
    </row>
    <row r="3493" spans="3:8" x14ac:dyDescent="0.25">
      <c r="C3493" s="100"/>
      <c r="G3493" s="156"/>
      <c r="H3493" s="100"/>
    </row>
    <row r="3494" spans="3:8" x14ac:dyDescent="0.25">
      <c r="C3494" s="100"/>
      <c r="G3494" s="156"/>
      <c r="H3494" s="100"/>
    </row>
    <row r="3495" spans="3:8" x14ac:dyDescent="0.25">
      <c r="C3495" s="100"/>
      <c r="G3495" s="156"/>
      <c r="H3495" s="100"/>
    </row>
    <row r="3496" spans="3:8" x14ac:dyDescent="0.25">
      <c r="C3496" s="100"/>
      <c r="G3496" s="156"/>
      <c r="H3496" s="100"/>
    </row>
    <row r="3497" spans="3:8" x14ac:dyDescent="0.25">
      <c r="C3497" s="100"/>
      <c r="G3497" s="156"/>
      <c r="H3497" s="100"/>
    </row>
    <row r="3498" spans="3:8" x14ac:dyDescent="0.25">
      <c r="C3498" s="100"/>
      <c r="G3498" s="156"/>
      <c r="H3498" s="100"/>
    </row>
    <row r="3499" spans="3:8" x14ac:dyDescent="0.25">
      <c r="C3499" s="100"/>
      <c r="G3499" s="156"/>
      <c r="H3499" s="100"/>
    </row>
    <row r="3500" spans="3:8" x14ac:dyDescent="0.25">
      <c r="C3500" s="100"/>
      <c r="G3500" s="156"/>
      <c r="H3500" s="100"/>
    </row>
    <row r="3501" spans="3:8" x14ac:dyDescent="0.25">
      <c r="C3501" s="100"/>
      <c r="G3501" s="156"/>
      <c r="H3501" s="100"/>
    </row>
    <row r="3502" spans="3:8" x14ac:dyDescent="0.25">
      <c r="C3502" s="100"/>
      <c r="G3502" s="156"/>
      <c r="H3502" s="100"/>
    </row>
    <row r="3503" spans="3:8" x14ac:dyDescent="0.25">
      <c r="C3503" s="100"/>
      <c r="G3503" s="156"/>
      <c r="H3503" s="100"/>
    </row>
    <row r="3504" spans="3:8" x14ac:dyDescent="0.25">
      <c r="C3504" s="100"/>
      <c r="G3504" s="156"/>
      <c r="H3504" s="100"/>
    </row>
    <row r="3505" spans="3:8" x14ac:dyDescent="0.25">
      <c r="C3505" s="100"/>
      <c r="G3505" s="156"/>
      <c r="H3505" s="100"/>
    </row>
    <row r="3506" spans="3:8" x14ac:dyDescent="0.25">
      <c r="C3506" s="100"/>
      <c r="G3506" s="156"/>
      <c r="H3506" s="100"/>
    </row>
    <row r="3507" spans="3:8" x14ac:dyDescent="0.25">
      <c r="C3507" s="100"/>
      <c r="G3507" s="156"/>
      <c r="H3507" s="100"/>
    </row>
    <row r="3508" spans="3:8" x14ac:dyDescent="0.25">
      <c r="C3508" s="100"/>
      <c r="G3508" s="156"/>
      <c r="H3508" s="100"/>
    </row>
    <row r="3509" spans="3:8" x14ac:dyDescent="0.25">
      <c r="C3509" s="100"/>
      <c r="G3509" s="156"/>
      <c r="H3509" s="100"/>
    </row>
    <row r="3510" spans="3:8" x14ac:dyDescent="0.25">
      <c r="C3510" s="100"/>
      <c r="G3510" s="156"/>
      <c r="H3510" s="100"/>
    </row>
    <row r="3511" spans="3:8" x14ac:dyDescent="0.25">
      <c r="C3511" s="100"/>
      <c r="G3511" s="156"/>
      <c r="H3511" s="100"/>
    </row>
    <row r="3512" spans="3:8" x14ac:dyDescent="0.25">
      <c r="C3512" s="100"/>
      <c r="G3512" s="156"/>
      <c r="H3512" s="100"/>
    </row>
    <row r="3513" spans="3:8" x14ac:dyDescent="0.25">
      <c r="C3513" s="100"/>
      <c r="G3513" s="156"/>
      <c r="H3513" s="100"/>
    </row>
    <row r="3514" spans="3:8" x14ac:dyDescent="0.25">
      <c r="C3514" s="100"/>
      <c r="G3514" s="156"/>
      <c r="H3514" s="100"/>
    </row>
    <row r="3515" spans="3:8" x14ac:dyDescent="0.25">
      <c r="C3515" s="100"/>
      <c r="G3515" s="156"/>
      <c r="H3515" s="100"/>
    </row>
    <row r="3516" spans="3:8" x14ac:dyDescent="0.25">
      <c r="C3516" s="100"/>
      <c r="G3516" s="156"/>
      <c r="H3516" s="100"/>
    </row>
    <row r="3517" spans="3:8" x14ac:dyDescent="0.25">
      <c r="C3517" s="100"/>
      <c r="G3517" s="156"/>
      <c r="H3517" s="100"/>
    </row>
    <row r="3518" spans="3:8" x14ac:dyDescent="0.25">
      <c r="C3518" s="100"/>
      <c r="G3518" s="156"/>
      <c r="H3518" s="100"/>
    </row>
    <row r="3519" spans="3:8" x14ac:dyDescent="0.25">
      <c r="C3519" s="100"/>
      <c r="G3519" s="156"/>
      <c r="H3519" s="100"/>
    </row>
    <row r="3520" spans="3:8" x14ac:dyDescent="0.25">
      <c r="C3520" s="100"/>
      <c r="G3520" s="156"/>
      <c r="H3520" s="100"/>
    </row>
    <row r="3521" spans="3:8" x14ac:dyDescent="0.25">
      <c r="C3521" s="100"/>
      <c r="G3521" s="156"/>
      <c r="H3521" s="100"/>
    </row>
    <row r="3522" spans="3:8" x14ac:dyDescent="0.25">
      <c r="C3522" s="100"/>
      <c r="G3522" s="156"/>
      <c r="H3522" s="100"/>
    </row>
    <row r="3523" spans="3:8" x14ac:dyDescent="0.25">
      <c r="C3523" s="100"/>
      <c r="G3523" s="156"/>
      <c r="H3523" s="100"/>
    </row>
    <row r="3524" spans="3:8" x14ac:dyDescent="0.25">
      <c r="C3524" s="100"/>
      <c r="G3524" s="156"/>
      <c r="H3524" s="100"/>
    </row>
    <row r="3525" spans="3:8" x14ac:dyDescent="0.25">
      <c r="C3525" s="100"/>
      <c r="G3525" s="156"/>
      <c r="H3525" s="100"/>
    </row>
    <row r="3526" spans="3:8" x14ac:dyDescent="0.25">
      <c r="C3526" s="100"/>
      <c r="G3526" s="156"/>
      <c r="H3526" s="100"/>
    </row>
    <row r="3527" spans="3:8" x14ac:dyDescent="0.25">
      <c r="C3527" s="100"/>
      <c r="G3527" s="156"/>
      <c r="H3527" s="100"/>
    </row>
    <row r="3528" spans="3:8" x14ac:dyDescent="0.25">
      <c r="C3528" s="100"/>
      <c r="G3528" s="156"/>
      <c r="H3528" s="100"/>
    </row>
    <row r="3529" spans="3:8" x14ac:dyDescent="0.25">
      <c r="C3529" s="100"/>
      <c r="G3529" s="156"/>
      <c r="H3529" s="100"/>
    </row>
    <row r="3530" spans="3:8" x14ac:dyDescent="0.25">
      <c r="C3530" s="100"/>
      <c r="G3530" s="156"/>
      <c r="H3530" s="100"/>
    </row>
    <row r="3531" spans="3:8" x14ac:dyDescent="0.25">
      <c r="C3531" s="100"/>
      <c r="G3531" s="156"/>
      <c r="H3531" s="100"/>
    </row>
    <row r="3532" spans="3:8" x14ac:dyDescent="0.25">
      <c r="C3532" s="100"/>
      <c r="G3532" s="156"/>
      <c r="H3532" s="100"/>
    </row>
    <row r="3533" spans="3:8" x14ac:dyDescent="0.25">
      <c r="C3533" s="100"/>
      <c r="G3533" s="156"/>
      <c r="H3533" s="100"/>
    </row>
    <row r="3534" spans="3:8" x14ac:dyDescent="0.25">
      <c r="C3534" s="100"/>
      <c r="G3534" s="156"/>
      <c r="H3534" s="100"/>
    </row>
    <row r="3535" spans="3:8" x14ac:dyDescent="0.25">
      <c r="C3535" s="100"/>
      <c r="G3535" s="156"/>
      <c r="H3535" s="100"/>
    </row>
    <row r="3536" spans="3:8" x14ac:dyDescent="0.25">
      <c r="C3536" s="100"/>
      <c r="G3536" s="156"/>
      <c r="H3536" s="100"/>
    </row>
    <row r="3537" spans="3:8" x14ac:dyDescent="0.25">
      <c r="C3537" s="100"/>
      <c r="G3537" s="156"/>
      <c r="H3537" s="100"/>
    </row>
    <row r="3538" spans="3:8" x14ac:dyDescent="0.25">
      <c r="C3538" s="100"/>
      <c r="G3538" s="156"/>
      <c r="H3538" s="100"/>
    </row>
    <row r="3539" spans="3:8" x14ac:dyDescent="0.25">
      <c r="C3539" s="100"/>
      <c r="G3539" s="156"/>
      <c r="H3539" s="100"/>
    </row>
    <row r="3540" spans="3:8" x14ac:dyDescent="0.25">
      <c r="C3540" s="100"/>
      <c r="G3540" s="156"/>
      <c r="H3540" s="100"/>
    </row>
    <row r="3541" spans="3:8" x14ac:dyDescent="0.25">
      <c r="C3541" s="100"/>
      <c r="G3541" s="156"/>
      <c r="H3541" s="100"/>
    </row>
    <row r="3542" spans="3:8" x14ac:dyDescent="0.25">
      <c r="C3542" s="100"/>
      <c r="G3542" s="156"/>
      <c r="H3542" s="100"/>
    </row>
    <row r="3543" spans="3:8" x14ac:dyDescent="0.25">
      <c r="C3543" s="100"/>
      <c r="G3543" s="156"/>
      <c r="H3543" s="100"/>
    </row>
    <row r="3544" spans="3:8" x14ac:dyDescent="0.25">
      <c r="C3544" s="100"/>
      <c r="G3544" s="156"/>
      <c r="H3544" s="100"/>
    </row>
    <row r="3545" spans="3:8" x14ac:dyDescent="0.25">
      <c r="C3545" s="100"/>
      <c r="G3545" s="156"/>
      <c r="H3545" s="100"/>
    </row>
    <row r="3546" spans="3:8" x14ac:dyDescent="0.25">
      <c r="C3546" s="100"/>
      <c r="G3546" s="156"/>
      <c r="H3546" s="100"/>
    </row>
    <row r="3547" spans="3:8" x14ac:dyDescent="0.25">
      <c r="C3547" s="100"/>
      <c r="G3547" s="156"/>
      <c r="H3547" s="100"/>
    </row>
    <row r="3548" spans="3:8" x14ac:dyDescent="0.25">
      <c r="C3548" s="100"/>
      <c r="G3548" s="156"/>
      <c r="H3548" s="100"/>
    </row>
    <row r="3549" spans="3:8" x14ac:dyDescent="0.25">
      <c r="C3549" s="100"/>
      <c r="G3549" s="156"/>
      <c r="H3549" s="100"/>
    </row>
    <row r="3550" spans="3:8" x14ac:dyDescent="0.25">
      <c r="C3550" s="100"/>
      <c r="G3550" s="156"/>
      <c r="H3550" s="100"/>
    </row>
    <row r="3551" spans="3:8" x14ac:dyDescent="0.25">
      <c r="C3551" s="100"/>
      <c r="G3551" s="156"/>
      <c r="H3551" s="100"/>
    </row>
    <row r="3552" spans="3:8" x14ac:dyDescent="0.25">
      <c r="C3552" s="100"/>
      <c r="G3552" s="156"/>
      <c r="H3552" s="100"/>
    </row>
    <row r="3553" spans="3:8" x14ac:dyDescent="0.25">
      <c r="C3553" s="100"/>
      <c r="G3553" s="156"/>
      <c r="H3553" s="100"/>
    </row>
    <row r="3554" spans="3:8" x14ac:dyDescent="0.25">
      <c r="C3554" s="100"/>
      <c r="G3554" s="156"/>
      <c r="H3554" s="100"/>
    </row>
    <row r="3555" spans="3:8" x14ac:dyDescent="0.25">
      <c r="C3555" s="100"/>
      <c r="G3555" s="156"/>
      <c r="H3555" s="100"/>
    </row>
    <row r="3556" spans="3:8" x14ac:dyDescent="0.25">
      <c r="C3556" s="100"/>
      <c r="G3556" s="156"/>
      <c r="H3556" s="100"/>
    </row>
    <row r="3557" spans="3:8" x14ac:dyDescent="0.25">
      <c r="C3557" s="100"/>
      <c r="G3557" s="156"/>
      <c r="H3557" s="100"/>
    </row>
    <row r="3558" spans="3:8" x14ac:dyDescent="0.25">
      <c r="C3558" s="100"/>
      <c r="G3558" s="156"/>
      <c r="H3558" s="100"/>
    </row>
    <row r="3559" spans="3:8" x14ac:dyDescent="0.25">
      <c r="C3559" s="100"/>
      <c r="G3559" s="156"/>
      <c r="H3559" s="100"/>
    </row>
    <row r="3560" spans="3:8" x14ac:dyDescent="0.25">
      <c r="C3560" s="100"/>
      <c r="G3560" s="156"/>
      <c r="H3560" s="100"/>
    </row>
    <row r="3561" spans="3:8" x14ac:dyDescent="0.25">
      <c r="C3561" s="100"/>
      <c r="G3561" s="156"/>
      <c r="H3561" s="100"/>
    </row>
    <row r="3562" spans="3:8" x14ac:dyDescent="0.25">
      <c r="C3562" s="100"/>
      <c r="G3562" s="156"/>
      <c r="H3562" s="100"/>
    </row>
    <row r="3563" spans="3:8" x14ac:dyDescent="0.25">
      <c r="C3563" s="100"/>
      <c r="G3563" s="156"/>
      <c r="H3563" s="100"/>
    </row>
    <row r="3564" spans="3:8" x14ac:dyDescent="0.25">
      <c r="C3564" s="100"/>
      <c r="G3564" s="156"/>
      <c r="H3564" s="100"/>
    </row>
    <row r="3565" spans="3:8" x14ac:dyDescent="0.25">
      <c r="C3565" s="100"/>
      <c r="G3565" s="156"/>
      <c r="H3565" s="100"/>
    </row>
    <row r="3566" spans="3:8" x14ac:dyDescent="0.25">
      <c r="C3566" s="100"/>
      <c r="G3566" s="156"/>
      <c r="H3566" s="100"/>
    </row>
    <row r="3567" spans="3:8" x14ac:dyDescent="0.25">
      <c r="C3567" s="100"/>
      <c r="G3567" s="156"/>
      <c r="H3567" s="100"/>
    </row>
    <row r="3568" spans="3:8" x14ac:dyDescent="0.25">
      <c r="C3568" s="100"/>
      <c r="G3568" s="156"/>
      <c r="H3568" s="100"/>
    </row>
    <row r="3569" spans="3:8" x14ac:dyDescent="0.25">
      <c r="C3569" s="100"/>
      <c r="G3569" s="156"/>
      <c r="H3569" s="100"/>
    </row>
    <row r="3570" spans="3:8" x14ac:dyDescent="0.25">
      <c r="C3570" s="100"/>
      <c r="G3570" s="156"/>
      <c r="H3570" s="100"/>
    </row>
    <row r="3571" spans="3:8" x14ac:dyDescent="0.25">
      <c r="C3571" s="100"/>
      <c r="G3571" s="156"/>
      <c r="H3571" s="100"/>
    </row>
    <row r="3572" spans="3:8" x14ac:dyDescent="0.25">
      <c r="C3572" s="100"/>
      <c r="G3572" s="156"/>
      <c r="H3572" s="100"/>
    </row>
    <row r="3573" spans="3:8" x14ac:dyDescent="0.25">
      <c r="C3573" s="100"/>
      <c r="G3573" s="156"/>
      <c r="H3573" s="100"/>
    </row>
    <row r="3574" spans="3:8" x14ac:dyDescent="0.25">
      <c r="C3574" s="100"/>
      <c r="G3574" s="156"/>
      <c r="H3574" s="100"/>
    </row>
    <row r="3575" spans="3:8" x14ac:dyDescent="0.25">
      <c r="C3575" s="100"/>
      <c r="G3575" s="156"/>
      <c r="H3575" s="100"/>
    </row>
    <row r="3576" spans="3:8" x14ac:dyDescent="0.25">
      <c r="C3576" s="100"/>
      <c r="G3576" s="156"/>
      <c r="H3576" s="100"/>
    </row>
    <row r="3577" spans="3:8" x14ac:dyDescent="0.25">
      <c r="C3577" s="100"/>
      <c r="G3577" s="156"/>
      <c r="H3577" s="100"/>
    </row>
    <row r="3578" spans="3:8" x14ac:dyDescent="0.25">
      <c r="C3578" s="100"/>
      <c r="G3578" s="156"/>
      <c r="H3578" s="100"/>
    </row>
    <row r="3579" spans="3:8" x14ac:dyDescent="0.25">
      <c r="C3579" s="100"/>
      <c r="G3579" s="156"/>
      <c r="H3579" s="100"/>
    </row>
    <row r="3580" spans="3:8" x14ac:dyDescent="0.25">
      <c r="C3580" s="100"/>
      <c r="G3580" s="156"/>
      <c r="H3580" s="100"/>
    </row>
    <row r="3581" spans="3:8" x14ac:dyDescent="0.25">
      <c r="C3581" s="100"/>
      <c r="G3581" s="156"/>
      <c r="H3581" s="100"/>
    </row>
    <row r="3582" spans="3:8" x14ac:dyDescent="0.25">
      <c r="C3582" s="100"/>
      <c r="G3582" s="156"/>
      <c r="H3582" s="100"/>
    </row>
    <row r="3583" spans="3:8" x14ac:dyDescent="0.25">
      <c r="C3583" s="100"/>
      <c r="G3583" s="156"/>
      <c r="H3583" s="100"/>
    </row>
    <row r="3584" spans="3:8" x14ac:dyDescent="0.25">
      <c r="C3584" s="100"/>
      <c r="G3584" s="156"/>
      <c r="H3584" s="100"/>
    </row>
    <row r="3585" spans="3:8" x14ac:dyDescent="0.25">
      <c r="C3585" s="100"/>
      <c r="G3585" s="156"/>
      <c r="H3585" s="100"/>
    </row>
    <row r="3586" spans="3:8" x14ac:dyDescent="0.25">
      <c r="C3586" s="100"/>
      <c r="G3586" s="156"/>
      <c r="H3586" s="100"/>
    </row>
    <row r="3587" spans="3:8" x14ac:dyDescent="0.25">
      <c r="C3587" s="100"/>
      <c r="G3587" s="156"/>
      <c r="H3587" s="100"/>
    </row>
    <row r="3588" spans="3:8" x14ac:dyDescent="0.25">
      <c r="C3588" s="100"/>
      <c r="G3588" s="156"/>
      <c r="H3588" s="100"/>
    </row>
    <row r="3589" spans="3:8" x14ac:dyDescent="0.25">
      <c r="C3589" s="100"/>
      <c r="G3589" s="156"/>
      <c r="H3589" s="100"/>
    </row>
    <row r="3590" spans="3:8" x14ac:dyDescent="0.25">
      <c r="C3590" s="100"/>
      <c r="G3590" s="156"/>
      <c r="H3590" s="100"/>
    </row>
    <row r="3591" spans="3:8" x14ac:dyDescent="0.25">
      <c r="C3591" s="100"/>
      <c r="G3591" s="156"/>
      <c r="H3591" s="100"/>
    </row>
    <row r="3592" spans="3:8" x14ac:dyDescent="0.25">
      <c r="C3592" s="100"/>
      <c r="G3592" s="156"/>
      <c r="H3592" s="100"/>
    </row>
    <row r="3593" spans="3:8" x14ac:dyDescent="0.25">
      <c r="C3593" s="100"/>
      <c r="G3593" s="156"/>
      <c r="H3593" s="100"/>
    </row>
    <row r="3594" spans="3:8" x14ac:dyDescent="0.25">
      <c r="C3594" s="100"/>
      <c r="G3594" s="156"/>
      <c r="H3594" s="100"/>
    </row>
    <row r="3595" spans="3:8" x14ac:dyDescent="0.25">
      <c r="C3595" s="100"/>
      <c r="G3595" s="156"/>
      <c r="H3595" s="100"/>
    </row>
    <row r="3596" spans="3:8" x14ac:dyDescent="0.25">
      <c r="C3596" s="100"/>
      <c r="G3596" s="156"/>
      <c r="H3596" s="100"/>
    </row>
    <row r="3597" spans="3:8" x14ac:dyDescent="0.25">
      <c r="C3597" s="100"/>
      <c r="G3597" s="156"/>
      <c r="H3597" s="100"/>
    </row>
    <row r="3598" spans="3:8" x14ac:dyDescent="0.25">
      <c r="C3598" s="100"/>
      <c r="G3598" s="156"/>
      <c r="H3598" s="100"/>
    </row>
    <row r="3599" spans="3:8" x14ac:dyDescent="0.25">
      <c r="C3599" s="100"/>
      <c r="G3599" s="156"/>
      <c r="H3599" s="100"/>
    </row>
    <row r="3600" spans="3:8" x14ac:dyDescent="0.25">
      <c r="C3600" s="100"/>
      <c r="G3600" s="156"/>
      <c r="H3600" s="100"/>
    </row>
    <row r="3601" spans="3:8" x14ac:dyDescent="0.25">
      <c r="C3601" s="100"/>
      <c r="G3601" s="156"/>
      <c r="H3601" s="100"/>
    </row>
    <row r="3602" spans="3:8" x14ac:dyDescent="0.25">
      <c r="C3602" s="100"/>
      <c r="G3602" s="156"/>
      <c r="H3602" s="100"/>
    </row>
    <row r="3603" spans="3:8" x14ac:dyDescent="0.25">
      <c r="C3603" s="100"/>
      <c r="G3603" s="156"/>
      <c r="H3603" s="100"/>
    </row>
    <row r="3604" spans="3:8" x14ac:dyDescent="0.25">
      <c r="C3604" s="100"/>
      <c r="G3604" s="156"/>
      <c r="H3604" s="100"/>
    </row>
    <row r="3605" spans="3:8" x14ac:dyDescent="0.25">
      <c r="C3605" s="100"/>
      <c r="G3605" s="156"/>
      <c r="H3605" s="100"/>
    </row>
    <row r="3606" spans="3:8" x14ac:dyDescent="0.25">
      <c r="C3606" s="100"/>
      <c r="G3606" s="156"/>
      <c r="H3606" s="100"/>
    </row>
    <row r="3607" spans="3:8" x14ac:dyDescent="0.25">
      <c r="C3607" s="100"/>
      <c r="G3607" s="156"/>
      <c r="H3607" s="100"/>
    </row>
    <row r="3608" spans="3:8" x14ac:dyDescent="0.25">
      <c r="C3608" s="100"/>
      <c r="G3608" s="156"/>
      <c r="H3608" s="100"/>
    </row>
    <row r="3609" spans="3:8" x14ac:dyDescent="0.25">
      <c r="C3609" s="100"/>
      <c r="G3609" s="156"/>
      <c r="H3609" s="100"/>
    </row>
    <row r="3610" spans="3:8" x14ac:dyDescent="0.25">
      <c r="C3610" s="100"/>
      <c r="G3610" s="156"/>
      <c r="H3610" s="100"/>
    </row>
    <row r="3611" spans="3:8" x14ac:dyDescent="0.25">
      <c r="C3611" s="100"/>
      <c r="G3611" s="156"/>
      <c r="H3611" s="100"/>
    </row>
    <row r="3612" spans="3:8" x14ac:dyDescent="0.25">
      <c r="C3612" s="100"/>
      <c r="G3612" s="156"/>
      <c r="H3612" s="100"/>
    </row>
    <row r="3613" spans="3:8" x14ac:dyDescent="0.25">
      <c r="C3613" s="100"/>
      <c r="G3613" s="156"/>
      <c r="H3613" s="100"/>
    </row>
    <row r="3614" spans="3:8" x14ac:dyDescent="0.25">
      <c r="C3614" s="100"/>
      <c r="G3614" s="156"/>
      <c r="H3614" s="100"/>
    </row>
    <row r="3615" spans="3:8" x14ac:dyDescent="0.25">
      <c r="C3615" s="100"/>
      <c r="G3615" s="156"/>
      <c r="H3615" s="100"/>
    </row>
    <row r="3616" spans="3:8" x14ac:dyDescent="0.25">
      <c r="C3616" s="100"/>
      <c r="G3616" s="156"/>
      <c r="H3616" s="100"/>
    </row>
    <row r="3617" spans="3:8" x14ac:dyDescent="0.25">
      <c r="C3617" s="100"/>
      <c r="G3617" s="156"/>
      <c r="H3617" s="100"/>
    </row>
    <row r="3618" spans="3:8" x14ac:dyDescent="0.25">
      <c r="C3618" s="100"/>
      <c r="G3618" s="156"/>
      <c r="H3618" s="100"/>
    </row>
    <row r="3619" spans="3:8" x14ac:dyDescent="0.25">
      <c r="C3619" s="100"/>
      <c r="G3619" s="156"/>
      <c r="H3619" s="100"/>
    </row>
    <row r="3620" spans="3:8" x14ac:dyDescent="0.25">
      <c r="C3620" s="100"/>
      <c r="G3620" s="156"/>
      <c r="H3620" s="100"/>
    </row>
    <row r="3621" spans="3:8" x14ac:dyDescent="0.25">
      <c r="C3621" s="100"/>
      <c r="G3621" s="156"/>
      <c r="H3621" s="100"/>
    </row>
    <row r="3622" spans="3:8" x14ac:dyDescent="0.25">
      <c r="C3622" s="100"/>
      <c r="G3622" s="156"/>
      <c r="H3622" s="100"/>
    </row>
    <row r="3623" spans="3:8" x14ac:dyDescent="0.25">
      <c r="C3623" s="100"/>
      <c r="G3623" s="156"/>
      <c r="H3623" s="100"/>
    </row>
    <row r="3624" spans="3:8" x14ac:dyDescent="0.25">
      <c r="C3624" s="100"/>
      <c r="G3624" s="156"/>
      <c r="H3624" s="100"/>
    </row>
    <row r="3625" spans="3:8" x14ac:dyDescent="0.25">
      <c r="C3625" s="100"/>
      <c r="G3625" s="156"/>
      <c r="H3625" s="100"/>
    </row>
    <row r="3626" spans="3:8" x14ac:dyDescent="0.25">
      <c r="C3626" s="100"/>
      <c r="G3626" s="156"/>
      <c r="H3626" s="100"/>
    </row>
    <row r="3627" spans="3:8" x14ac:dyDescent="0.25">
      <c r="C3627" s="100"/>
      <c r="G3627" s="156"/>
      <c r="H3627" s="100"/>
    </row>
    <row r="3628" spans="3:8" x14ac:dyDescent="0.25">
      <c r="C3628" s="100"/>
      <c r="G3628" s="156"/>
      <c r="H3628" s="100"/>
    </row>
    <row r="3629" spans="3:8" x14ac:dyDescent="0.25">
      <c r="C3629" s="100"/>
      <c r="G3629" s="156"/>
      <c r="H3629" s="100"/>
    </row>
    <row r="3630" spans="3:8" x14ac:dyDescent="0.25">
      <c r="C3630" s="100"/>
      <c r="G3630" s="156"/>
      <c r="H3630" s="100"/>
    </row>
    <row r="3631" spans="3:8" x14ac:dyDescent="0.25">
      <c r="C3631" s="100"/>
      <c r="G3631" s="156"/>
      <c r="H3631" s="100"/>
    </row>
    <row r="3632" spans="3:8" x14ac:dyDescent="0.25">
      <c r="C3632" s="100"/>
      <c r="G3632" s="156"/>
      <c r="H3632" s="100"/>
    </row>
    <row r="3633" spans="3:8" x14ac:dyDescent="0.25">
      <c r="C3633" s="100"/>
      <c r="G3633" s="156"/>
      <c r="H3633" s="100"/>
    </row>
    <row r="3634" spans="3:8" x14ac:dyDescent="0.25">
      <c r="C3634" s="100"/>
      <c r="G3634" s="156"/>
      <c r="H3634" s="100"/>
    </row>
    <row r="3635" spans="3:8" x14ac:dyDescent="0.25">
      <c r="C3635" s="100"/>
      <c r="G3635" s="156"/>
      <c r="H3635" s="100"/>
    </row>
    <row r="3636" spans="3:8" x14ac:dyDescent="0.25">
      <c r="C3636" s="100"/>
      <c r="G3636" s="156"/>
      <c r="H3636" s="100"/>
    </row>
    <row r="3637" spans="3:8" x14ac:dyDescent="0.25">
      <c r="C3637" s="100"/>
      <c r="G3637" s="156"/>
      <c r="H3637" s="100"/>
    </row>
    <row r="3638" spans="3:8" x14ac:dyDescent="0.25">
      <c r="C3638" s="100"/>
      <c r="G3638" s="156"/>
      <c r="H3638" s="100"/>
    </row>
    <row r="3639" spans="3:8" x14ac:dyDescent="0.25">
      <c r="C3639" s="100"/>
      <c r="G3639" s="156"/>
      <c r="H3639" s="100"/>
    </row>
    <row r="3640" spans="3:8" x14ac:dyDescent="0.25">
      <c r="C3640" s="100"/>
      <c r="G3640" s="156"/>
      <c r="H3640" s="100"/>
    </row>
    <row r="3641" spans="3:8" x14ac:dyDescent="0.25">
      <c r="C3641" s="100"/>
      <c r="G3641" s="156"/>
      <c r="H3641" s="100"/>
    </row>
    <row r="3642" spans="3:8" x14ac:dyDescent="0.25">
      <c r="C3642" s="100"/>
      <c r="G3642" s="156"/>
      <c r="H3642" s="100"/>
    </row>
    <row r="3643" spans="3:8" x14ac:dyDescent="0.25">
      <c r="C3643" s="100"/>
      <c r="G3643" s="156"/>
      <c r="H3643" s="100"/>
    </row>
    <row r="3644" spans="3:8" x14ac:dyDescent="0.25">
      <c r="C3644" s="100"/>
      <c r="G3644" s="156"/>
      <c r="H3644" s="100"/>
    </row>
    <row r="3645" spans="3:8" x14ac:dyDescent="0.25">
      <c r="C3645" s="100"/>
      <c r="G3645" s="156"/>
      <c r="H3645" s="100"/>
    </row>
    <row r="3646" spans="3:8" x14ac:dyDescent="0.25">
      <c r="C3646" s="100"/>
      <c r="G3646" s="156"/>
      <c r="H3646" s="100"/>
    </row>
    <row r="3647" spans="3:8" x14ac:dyDescent="0.25">
      <c r="C3647" s="100"/>
      <c r="G3647" s="156"/>
      <c r="H3647" s="100"/>
    </row>
    <row r="3648" spans="3:8" x14ac:dyDescent="0.25">
      <c r="C3648" s="100"/>
      <c r="G3648" s="156"/>
      <c r="H3648" s="100"/>
    </row>
    <row r="3649" spans="3:8" x14ac:dyDescent="0.25">
      <c r="C3649" s="100"/>
      <c r="G3649" s="156"/>
      <c r="H3649" s="100"/>
    </row>
    <row r="3650" spans="3:8" x14ac:dyDescent="0.25">
      <c r="C3650" s="100"/>
      <c r="G3650" s="156"/>
      <c r="H3650" s="100"/>
    </row>
    <row r="3651" spans="3:8" x14ac:dyDescent="0.25">
      <c r="C3651" s="100"/>
      <c r="G3651" s="156"/>
      <c r="H3651" s="100"/>
    </row>
    <row r="3652" spans="3:8" x14ac:dyDescent="0.25">
      <c r="C3652" s="100"/>
      <c r="G3652" s="156"/>
      <c r="H3652" s="100"/>
    </row>
    <row r="3653" spans="3:8" x14ac:dyDescent="0.25">
      <c r="C3653" s="100"/>
      <c r="G3653" s="156"/>
      <c r="H3653" s="100"/>
    </row>
    <row r="3654" spans="3:8" x14ac:dyDescent="0.25">
      <c r="C3654" s="100"/>
      <c r="G3654" s="156"/>
      <c r="H3654" s="100"/>
    </row>
    <row r="3655" spans="3:8" x14ac:dyDescent="0.25">
      <c r="C3655" s="100"/>
      <c r="G3655" s="156"/>
      <c r="H3655" s="100"/>
    </row>
    <row r="3656" spans="3:8" x14ac:dyDescent="0.25">
      <c r="C3656" s="100"/>
      <c r="G3656" s="156"/>
      <c r="H3656" s="100"/>
    </row>
    <row r="3657" spans="3:8" x14ac:dyDescent="0.25">
      <c r="C3657" s="100"/>
      <c r="G3657" s="156"/>
      <c r="H3657" s="100"/>
    </row>
    <row r="3658" spans="3:8" x14ac:dyDescent="0.25">
      <c r="C3658" s="100"/>
      <c r="G3658" s="156"/>
      <c r="H3658" s="100"/>
    </row>
    <row r="3659" spans="3:8" x14ac:dyDescent="0.25">
      <c r="C3659" s="100"/>
      <c r="G3659" s="156"/>
      <c r="H3659" s="100"/>
    </row>
    <row r="3660" spans="3:8" x14ac:dyDescent="0.25">
      <c r="C3660" s="100"/>
      <c r="G3660" s="156"/>
      <c r="H3660" s="100"/>
    </row>
    <row r="3661" spans="3:8" x14ac:dyDescent="0.25">
      <c r="C3661" s="100"/>
      <c r="G3661" s="156"/>
      <c r="H3661" s="100"/>
    </row>
    <row r="3662" spans="3:8" x14ac:dyDescent="0.25">
      <c r="C3662" s="100"/>
      <c r="G3662" s="156"/>
      <c r="H3662" s="100"/>
    </row>
    <row r="3663" spans="3:8" x14ac:dyDescent="0.25">
      <c r="C3663" s="100"/>
      <c r="G3663" s="156"/>
      <c r="H3663" s="100"/>
    </row>
    <row r="3664" spans="3:8" x14ac:dyDescent="0.25">
      <c r="C3664" s="100"/>
      <c r="G3664" s="156"/>
      <c r="H3664" s="100"/>
    </row>
    <row r="3665" spans="3:8" x14ac:dyDescent="0.25">
      <c r="C3665" s="100"/>
      <c r="G3665" s="156"/>
      <c r="H3665" s="100"/>
    </row>
    <row r="3666" spans="3:8" x14ac:dyDescent="0.25">
      <c r="C3666" s="100"/>
      <c r="G3666" s="156"/>
      <c r="H3666" s="100"/>
    </row>
    <row r="3667" spans="3:8" x14ac:dyDescent="0.25">
      <c r="C3667" s="100"/>
      <c r="G3667" s="156"/>
      <c r="H3667" s="100"/>
    </row>
    <row r="3668" spans="3:8" x14ac:dyDescent="0.25">
      <c r="C3668" s="100"/>
      <c r="G3668" s="156"/>
      <c r="H3668" s="100"/>
    </row>
    <row r="3669" spans="3:8" x14ac:dyDescent="0.25">
      <c r="C3669" s="100"/>
      <c r="G3669" s="156"/>
      <c r="H3669" s="100"/>
    </row>
    <row r="3670" spans="3:8" x14ac:dyDescent="0.25">
      <c r="C3670" s="100"/>
      <c r="G3670" s="156"/>
      <c r="H3670" s="100"/>
    </row>
    <row r="3671" spans="3:8" x14ac:dyDescent="0.25">
      <c r="C3671" s="100"/>
      <c r="G3671" s="156"/>
      <c r="H3671" s="100"/>
    </row>
    <row r="3672" spans="3:8" x14ac:dyDescent="0.25">
      <c r="C3672" s="100"/>
      <c r="G3672" s="156"/>
      <c r="H3672" s="100"/>
    </row>
    <row r="3673" spans="3:8" x14ac:dyDescent="0.25">
      <c r="C3673" s="100"/>
      <c r="G3673" s="156"/>
      <c r="H3673" s="100"/>
    </row>
    <row r="3674" spans="3:8" x14ac:dyDescent="0.25">
      <c r="C3674" s="100"/>
      <c r="G3674" s="156"/>
      <c r="H3674" s="100"/>
    </row>
    <row r="3675" spans="3:8" x14ac:dyDescent="0.25">
      <c r="C3675" s="100"/>
      <c r="G3675" s="156"/>
      <c r="H3675" s="100"/>
    </row>
    <row r="3676" spans="3:8" x14ac:dyDescent="0.25">
      <c r="C3676" s="100"/>
      <c r="G3676" s="156"/>
      <c r="H3676" s="100"/>
    </row>
    <row r="3677" spans="3:8" x14ac:dyDescent="0.25">
      <c r="C3677" s="100"/>
      <c r="G3677" s="156"/>
      <c r="H3677" s="100"/>
    </row>
    <row r="3678" spans="3:8" x14ac:dyDescent="0.25">
      <c r="C3678" s="100"/>
      <c r="G3678" s="156"/>
      <c r="H3678" s="100"/>
    </row>
    <row r="3679" spans="3:8" x14ac:dyDescent="0.25">
      <c r="C3679" s="100"/>
      <c r="G3679" s="156"/>
      <c r="H3679" s="100"/>
    </row>
    <row r="3680" spans="3:8" x14ac:dyDescent="0.25">
      <c r="C3680" s="100"/>
      <c r="G3680" s="156"/>
      <c r="H3680" s="100"/>
    </row>
    <row r="3681" spans="3:8" x14ac:dyDescent="0.25">
      <c r="C3681" s="100"/>
      <c r="G3681" s="156"/>
      <c r="H3681" s="100"/>
    </row>
    <row r="3682" spans="3:8" x14ac:dyDescent="0.25">
      <c r="C3682" s="100"/>
      <c r="G3682" s="156"/>
      <c r="H3682" s="100"/>
    </row>
    <row r="3683" spans="3:8" x14ac:dyDescent="0.25">
      <c r="C3683" s="100"/>
      <c r="G3683" s="156"/>
      <c r="H3683" s="100"/>
    </row>
    <row r="3684" spans="3:8" x14ac:dyDescent="0.25">
      <c r="C3684" s="100"/>
      <c r="G3684" s="156"/>
      <c r="H3684" s="100"/>
    </row>
    <row r="3685" spans="3:8" x14ac:dyDescent="0.25">
      <c r="C3685" s="100"/>
      <c r="G3685" s="156"/>
      <c r="H3685" s="100"/>
    </row>
    <row r="3686" spans="3:8" x14ac:dyDescent="0.25">
      <c r="C3686" s="100"/>
      <c r="G3686" s="156"/>
      <c r="H3686" s="100"/>
    </row>
    <row r="3687" spans="3:8" x14ac:dyDescent="0.25">
      <c r="C3687" s="100"/>
      <c r="G3687" s="156"/>
      <c r="H3687" s="100"/>
    </row>
    <row r="3688" spans="3:8" x14ac:dyDescent="0.25">
      <c r="C3688" s="100"/>
      <c r="G3688" s="156"/>
      <c r="H3688" s="100"/>
    </row>
    <row r="3689" spans="3:8" x14ac:dyDescent="0.25">
      <c r="C3689" s="100"/>
      <c r="G3689" s="156"/>
      <c r="H3689" s="100"/>
    </row>
    <row r="3690" spans="3:8" x14ac:dyDescent="0.25">
      <c r="C3690" s="100"/>
      <c r="G3690" s="156"/>
      <c r="H3690" s="100"/>
    </row>
    <row r="3691" spans="3:8" x14ac:dyDescent="0.25">
      <c r="C3691" s="100"/>
      <c r="G3691" s="156"/>
      <c r="H3691" s="100"/>
    </row>
    <row r="3692" spans="3:8" x14ac:dyDescent="0.25">
      <c r="C3692" s="100"/>
      <c r="G3692" s="156"/>
      <c r="H3692" s="100"/>
    </row>
    <row r="3693" spans="3:8" x14ac:dyDescent="0.25">
      <c r="C3693" s="100"/>
      <c r="G3693" s="156"/>
      <c r="H3693" s="100"/>
    </row>
    <row r="3694" spans="3:8" x14ac:dyDescent="0.25">
      <c r="C3694" s="100"/>
      <c r="G3694" s="156"/>
      <c r="H3694" s="100"/>
    </row>
    <row r="3695" spans="3:8" x14ac:dyDescent="0.25">
      <c r="C3695" s="100"/>
      <c r="G3695" s="156"/>
      <c r="H3695" s="100"/>
    </row>
    <row r="3696" spans="3:8" x14ac:dyDescent="0.25">
      <c r="C3696" s="100"/>
      <c r="G3696" s="156"/>
      <c r="H3696" s="100"/>
    </row>
    <row r="3697" spans="3:8" x14ac:dyDescent="0.25">
      <c r="C3697" s="100"/>
      <c r="G3697" s="156"/>
      <c r="H3697" s="100"/>
    </row>
    <row r="3698" spans="3:8" x14ac:dyDescent="0.25">
      <c r="C3698" s="100"/>
      <c r="G3698" s="156"/>
      <c r="H3698" s="100"/>
    </row>
    <row r="3699" spans="3:8" x14ac:dyDescent="0.25">
      <c r="C3699" s="100"/>
      <c r="G3699" s="156"/>
      <c r="H3699" s="100"/>
    </row>
    <row r="3700" spans="3:8" x14ac:dyDescent="0.25">
      <c r="C3700" s="100"/>
      <c r="G3700" s="156"/>
      <c r="H3700" s="100"/>
    </row>
    <row r="3701" spans="3:8" x14ac:dyDescent="0.25">
      <c r="C3701" s="100"/>
      <c r="G3701" s="156"/>
      <c r="H3701" s="100"/>
    </row>
    <row r="3702" spans="3:8" x14ac:dyDescent="0.25">
      <c r="C3702" s="100"/>
      <c r="G3702" s="156"/>
      <c r="H3702" s="100"/>
    </row>
    <row r="3703" spans="3:8" x14ac:dyDescent="0.25">
      <c r="C3703" s="100"/>
      <c r="G3703" s="156"/>
      <c r="H3703" s="100"/>
    </row>
    <row r="3704" spans="3:8" x14ac:dyDescent="0.25">
      <c r="C3704" s="100"/>
      <c r="G3704" s="156"/>
      <c r="H3704" s="100"/>
    </row>
    <row r="3705" spans="3:8" x14ac:dyDescent="0.25">
      <c r="C3705" s="100"/>
      <c r="G3705" s="156"/>
      <c r="H3705" s="100"/>
    </row>
    <row r="3706" spans="3:8" x14ac:dyDescent="0.25">
      <c r="C3706" s="100"/>
      <c r="G3706" s="156"/>
      <c r="H3706" s="100"/>
    </row>
    <row r="3707" spans="3:8" x14ac:dyDescent="0.25">
      <c r="C3707" s="100"/>
      <c r="G3707" s="156"/>
      <c r="H3707" s="100"/>
    </row>
    <row r="3708" spans="3:8" x14ac:dyDescent="0.25">
      <c r="C3708" s="100"/>
      <c r="G3708" s="156"/>
      <c r="H3708" s="100"/>
    </row>
    <row r="3709" spans="3:8" x14ac:dyDescent="0.25">
      <c r="C3709" s="100"/>
      <c r="G3709" s="156"/>
      <c r="H3709" s="100"/>
    </row>
    <row r="3710" spans="3:8" x14ac:dyDescent="0.25">
      <c r="C3710" s="100"/>
      <c r="G3710" s="156"/>
      <c r="H3710" s="100"/>
    </row>
    <row r="3711" spans="3:8" x14ac:dyDescent="0.25">
      <c r="C3711" s="100"/>
      <c r="G3711" s="156"/>
      <c r="H3711" s="100"/>
    </row>
    <row r="3712" spans="3:8" x14ac:dyDescent="0.25">
      <c r="C3712" s="100"/>
      <c r="G3712" s="156"/>
      <c r="H3712" s="100"/>
    </row>
    <row r="3713" spans="3:8" x14ac:dyDescent="0.25">
      <c r="C3713" s="100"/>
      <c r="G3713" s="156"/>
      <c r="H3713" s="100"/>
    </row>
    <row r="3714" spans="3:8" x14ac:dyDescent="0.25">
      <c r="C3714" s="100"/>
      <c r="G3714" s="156"/>
      <c r="H3714" s="100"/>
    </row>
    <row r="3715" spans="3:8" x14ac:dyDescent="0.25">
      <c r="C3715" s="100"/>
      <c r="G3715" s="156"/>
      <c r="H3715" s="100"/>
    </row>
    <row r="3716" spans="3:8" x14ac:dyDescent="0.25">
      <c r="C3716" s="100"/>
      <c r="G3716" s="156"/>
      <c r="H3716" s="100"/>
    </row>
    <row r="3717" spans="3:8" x14ac:dyDescent="0.25">
      <c r="C3717" s="100"/>
      <c r="G3717" s="156"/>
      <c r="H3717" s="100"/>
    </row>
    <row r="3718" spans="3:8" x14ac:dyDescent="0.25">
      <c r="C3718" s="100"/>
      <c r="G3718" s="156"/>
      <c r="H3718" s="100"/>
    </row>
    <row r="3719" spans="3:8" x14ac:dyDescent="0.25">
      <c r="C3719" s="100"/>
      <c r="G3719" s="156"/>
      <c r="H3719" s="100"/>
    </row>
    <row r="3720" spans="3:8" x14ac:dyDescent="0.25">
      <c r="C3720" s="100"/>
      <c r="G3720" s="156"/>
      <c r="H3720" s="100"/>
    </row>
    <row r="3721" spans="3:8" x14ac:dyDescent="0.25">
      <c r="C3721" s="100"/>
      <c r="G3721" s="156"/>
      <c r="H3721" s="100"/>
    </row>
    <row r="3722" spans="3:8" x14ac:dyDescent="0.25">
      <c r="C3722" s="100"/>
      <c r="G3722" s="156"/>
      <c r="H3722" s="100"/>
    </row>
    <row r="3723" spans="3:8" x14ac:dyDescent="0.25">
      <c r="C3723" s="100"/>
      <c r="G3723" s="156"/>
      <c r="H3723" s="100"/>
    </row>
    <row r="3724" spans="3:8" x14ac:dyDescent="0.25">
      <c r="C3724" s="100"/>
      <c r="G3724" s="156"/>
      <c r="H3724" s="100"/>
    </row>
    <row r="3725" spans="3:8" x14ac:dyDescent="0.25">
      <c r="C3725" s="100"/>
      <c r="G3725" s="156"/>
      <c r="H3725" s="100"/>
    </row>
    <row r="3726" spans="3:8" x14ac:dyDescent="0.25">
      <c r="C3726" s="100"/>
      <c r="G3726" s="156"/>
      <c r="H3726" s="100"/>
    </row>
    <row r="3727" spans="3:8" x14ac:dyDescent="0.25">
      <c r="C3727" s="100"/>
      <c r="G3727" s="156"/>
      <c r="H3727" s="100"/>
    </row>
    <row r="3728" spans="3:8" x14ac:dyDescent="0.25">
      <c r="C3728" s="100"/>
      <c r="G3728" s="156"/>
      <c r="H3728" s="100"/>
    </row>
    <row r="3729" spans="3:8" x14ac:dyDescent="0.25">
      <c r="C3729" s="100"/>
      <c r="G3729" s="156"/>
      <c r="H3729" s="100"/>
    </row>
    <row r="3730" spans="3:8" x14ac:dyDescent="0.25">
      <c r="C3730" s="100"/>
      <c r="G3730" s="156"/>
      <c r="H3730" s="100"/>
    </row>
    <row r="3731" spans="3:8" x14ac:dyDescent="0.25">
      <c r="C3731" s="100"/>
      <c r="G3731" s="156"/>
      <c r="H3731" s="100"/>
    </row>
    <row r="3732" spans="3:8" x14ac:dyDescent="0.25">
      <c r="C3732" s="100"/>
      <c r="G3732" s="156"/>
      <c r="H3732" s="100"/>
    </row>
    <row r="3733" spans="3:8" x14ac:dyDescent="0.25">
      <c r="C3733" s="100"/>
      <c r="G3733" s="156"/>
      <c r="H3733" s="100"/>
    </row>
    <row r="3734" spans="3:8" x14ac:dyDescent="0.25">
      <c r="C3734" s="100"/>
      <c r="G3734" s="156"/>
      <c r="H3734" s="100"/>
    </row>
    <row r="3735" spans="3:8" x14ac:dyDescent="0.25">
      <c r="C3735" s="100"/>
      <c r="G3735" s="156"/>
      <c r="H3735" s="100"/>
    </row>
    <row r="3736" spans="3:8" x14ac:dyDescent="0.25">
      <c r="C3736" s="100"/>
      <c r="G3736" s="156"/>
      <c r="H3736" s="100"/>
    </row>
    <row r="3737" spans="3:8" x14ac:dyDescent="0.25">
      <c r="C3737" s="100"/>
      <c r="G3737" s="156"/>
      <c r="H3737" s="100"/>
    </row>
    <row r="3738" spans="3:8" x14ac:dyDescent="0.25">
      <c r="C3738" s="100"/>
      <c r="G3738" s="156"/>
      <c r="H3738" s="100"/>
    </row>
    <row r="3739" spans="3:8" x14ac:dyDescent="0.25">
      <c r="C3739" s="100"/>
      <c r="G3739" s="156"/>
      <c r="H3739" s="100"/>
    </row>
    <row r="3740" spans="3:8" x14ac:dyDescent="0.25">
      <c r="C3740" s="100"/>
      <c r="G3740" s="156"/>
      <c r="H3740" s="100"/>
    </row>
    <row r="3741" spans="3:8" x14ac:dyDescent="0.25">
      <c r="C3741" s="100"/>
      <c r="G3741" s="156"/>
      <c r="H3741" s="100"/>
    </row>
    <row r="3742" spans="3:8" x14ac:dyDescent="0.25">
      <c r="C3742" s="100"/>
      <c r="G3742" s="156"/>
      <c r="H3742" s="100"/>
    </row>
    <row r="3743" spans="3:8" x14ac:dyDescent="0.25">
      <c r="C3743" s="100"/>
      <c r="G3743" s="156"/>
      <c r="H3743" s="100"/>
    </row>
    <row r="3744" spans="3:8" x14ac:dyDescent="0.25">
      <c r="C3744" s="100"/>
      <c r="G3744" s="156"/>
      <c r="H3744" s="100"/>
    </row>
    <row r="3745" spans="3:8" x14ac:dyDescent="0.25">
      <c r="C3745" s="100"/>
      <c r="G3745" s="156"/>
      <c r="H3745" s="100"/>
    </row>
    <row r="3746" spans="3:8" x14ac:dyDescent="0.25">
      <c r="C3746" s="100"/>
      <c r="G3746" s="156"/>
      <c r="H3746" s="100"/>
    </row>
    <row r="3747" spans="3:8" x14ac:dyDescent="0.25">
      <c r="C3747" s="100"/>
      <c r="G3747" s="156"/>
      <c r="H3747" s="100"/>
    </row>
    <row r="3748" spans="3:8" x14ac:dyDescent="0.25">
      <c r="C3748" s="100"/>
      <c r="G3748" s="156"/>
      <c r="H3748" s="100"/>
    </row>
    <row r="3749" spans="3:8" x14ac:dyDescent="0.25">
      <c r="C3749" s="100"/>
      <c r="G3749" s="156"/>
      <c r="H3749" s="100"/>
    </row>
    <row r="3750" spans="3:8" x14ac:dyDescent="0.25">
      <c r="C3750" s="100"/>
      <c r="G3750" s="156"/>
      <c r="H3750" s="100"/>
    </row>
    <row r="3751" spans="3:8" x14ac:dyDescent="0.25">
      <c r="C3751" s="100"/>
      <c r="G3751" s="156"/>
      <c r="H3751" s="100"/>
    </row>
    <row r="3752" spans="3:8" x14ac:dyDescent="0.25">
      <c r="C3752" s="100"/>
      <c r="G3752" s="156"/>
      <c r="H3752" s="100"/>
    </row>
    <row r="3753" spans="3:8" x14ac:dyDescent="0.25">
      <c r="C3753" s="100"/>
      <c r="G3753" s="156"/>
      <c r="H3753" s="100"/>
    </row>
    <row r="3754" spans="3:8" x14ac:dyDescent="0.25">
      <c r="C3754" s="100"/>
      <c r="G3754" s="156"/>
      <c r="H3754" s="100"/>
    </row>
    <row r="3755" spans="3:8" x14ac:dyDescent="0.25">
      <c r="C3755" s="100"/>
      <c r="G3755" s="156"/>
      <c r="H3755" s="100"/>
    </row>
    <row r="3756" spans="3:8" x14ac:dyDescent="0.25">
      <c r="C3756" s="100"/>
      <c r="G3756" s="156"/>
      <c r="H3756" s="100"/>
    </row>
    <row r="3757" spans="3:8" x14ac:dyDescent="0.25">
      <c r="C3757" s="100"/>
      <c r="G3757" s="156"/>
      <c r="H3757" s="100"/>
    </row>
    <row r="3758" spans="3:8" x14ac:dyDescent="0.25">
      <c r="C3758" s="100"/>
      <c r="G3758" s="156"/>
      <c r="H3758" s="100"/>
    </row>
    <row r="3759" spans="3:8" x14ac:dyDescent="0.25">
      <c r="C3759" s="100"/>
      <c r="G3759" s="156"/>
      <c r="H3759" s="100"/>
    </row>
    <row r="3760" spans="3:8" x14ac:dyDescent="0.25">
      <c r="C3760" s="100"/>
      <c r="G3760" s="156"/>
      <c r="H3760" s="100"/>
    </row>
    <row r="3761" spans="3:8" x14ac:dyDescent="0.25">
      <c r="C3761" s="100"/>
      <c r="G3761" s="156"/>
      <c r="H3761" s="100"/>
    </row>
    <row r="3762" spans="3:8" x14ac:dyDescent="0.25">
      <c r="C3762" s="100"/>
      <c r="G3762" s="156"/>
      <c r="H3762" s="100"/>
    </row>
    <row r="3763" spans="3:8" x14ac:dyDescent="0.25">
      <c r="C3763" s="100"/>
      <c r="G3763" s="156"/>
      <c r="H3763" s="100"/>
    </row>
    <row r="3764" spans="3:8" x14ac:dyDescent="0.25">
      <c r="C3764" s="100"/>
      <c r="G3764" s="156"/>
      <c r="H3764" s="100"/>
    </row>
    <row r="3765" spans="3:8" x14ac:dyDescent="0.25">
      <c r="C3765" s="100"/>
      <c r="G3765" s="156"/>
      <c r="H3765" s="100"/>
    </row>
    <row r="3766" spans="3:8" x14ac:dyDescent="0.25">
      <c r="C3766" s="100"/>
      <c r="G3766" s="156"/>
      <c r="H3766" s="100"/>
    </row>
    <row r="3767" spans="3:8" x14ac:dyDescent="0.25">
      <c r="C3767" s="100"/>
      <c r="G3767" s="156"/>
      <c r="H3767" s="100"/>
    </row>
    <row r="3768" spans="3:8" x14ac:dyDescent="0.25">
      <c r="C3768" s="100"/>
      <c r="G3768" s="156"/>
      <c r="H3768" s="100"/>
    </row>
    <row r="3769" spans="3:8" x14ac:dyDescent="0.25">
      <c r="C3769" s="100"/>
      <c r="G3769" s="156"/>
      <c r="H3769" s="100"/>
    </row>
    <row r="3770" spans="3:8" x14ac:dyDescent="0.25">
      <c r="C3770" s="100"/>
      <c r="G3770" s="156"/>
      <c r="H3770" s="100"/>
    </row>
    <row r="3771" spans="3:8" x14ac:dyDescent="0.25">
      <c r="C3771" s="100"/>
      <c r="G3771" s="156"/>
      <c r="H3771" s="100"/>
    </row>
    <row r="3772" spans="3:8" x14ac:dyDescent="0.25">
      <c r="C3772" s="100"/>
      <c r="G3772" s="156"/>
      <c r="H3772" s="100"/>
    </row>
    <row r="3773" spans="3:8" x14ac:dyDescent="0.25">
      <c r="C3773" s="100"/>
      <c r="G3773" s="156"/>
      <c r="H3773" s="100"/>
    </row>
    <row r="3774" spans="3:8" x14ac:dyDescent="0.25">
      <c r="C3774" s="100"/>
      <c r="G3774" s="156"/>
      <c r="H3774" s="100"/>
    </row>
    <row r="3775" spans="3:8" x14ac:dyDescent="0.25">
      <c r="C3775" s="100"/>
      <c r="G3775" s="156"/>
      <c r="H3775" s="100"/>
    </row>
    <row r="3776" spans="3:8" x14ac:dyDescent="0.25">
      <c r="C3776" s="100"/>
      <c r="G3776" s="156"/>
      <c r="H3776" s="100"/>
    </row>
    <row r="3777" spans="3:8" x14ac:dyDescent="0.25">
      <c r="C3777" s="100"/>
      <c r="G3777" s="156"/>
      <c r="H3777" s="100"/>
    </row>
    <row r="3778" spans="3:8" x14ac:dyDescent="0.25">
      <c r="C3778" s="100"/>
      <c r="G3778" s="156"/>
      <c r="H3778" s="100"/>
    </row>
    <row r="3779" spans="3:8" x14ac:dyDescent="0.25">
      <c r="C3779" s="100"/>
      <c r="G3779" s="156"/>
      <c r="H3779" s="100"/>
    </row>
    <row r="3780" spans="3:8" x14ac:dyDescent="0.25">
      <c r="C3780" s="100"/>
      <c r="G3780" s="156"/>
      <c r="H3780" s="100"/>
    </row>
    <row r="3781" spans="3:8" x14ac:dyDescent="0.25">
      <c r="C3781" s="100"/>
      <c r="G3781" s="156"/>
      <c r="H3781" s="100"/>
    </row>
    <row r="3782" spans="3:8" x14ac:dyDescent="0.25">
      <c r="C3782" s="100"/>
      <c r="G3782" s="156"/>
      <c r="H3782" s="100"/>
    </row>
    <row r="3783" spans="3:8" x14ac:dyDescent="0.25">
      <c r="C3783" s="100"/>
      <c r="G3783" s="156"/>
      <c r="H3783" s="100"/>
    </row>
    <row r="3784" spans="3:8" x14ac:dyDescent="0.25">
      <c r="C3784" s="100"/>
      <c r="G3784" s="156"/>
      <c r="H3784" s="100"/>
    </row>
    <row r="3785" spans="3:8" x14ac:dyDescent="0.25">
      <c r="C3785" s="100"/>
      <c r="G3785" s="156"/>
      <c r="H3785" s="100"/>
    </row>
    <row r="3786" spans="3:8" x14ac:dyDescent="0.25">
      <c r="C3786" s="100"/>
      <c r="G3786" s="156"/>
      <c r="H3786" s="100"/>
    </row>
    <row r="3787" spans="3:8" x14ac:dyDescent="0.25">
      <c r="C3787" s="100"/>
      <c r="G3787" s="156"/>
      <c r="H3787" s="100"/>
    </row>
    <row r="3788" spans="3:8" x14ac:dyDescent="0.25">
      <c r="C3788" s="100"/>
      <c r="G3788" s="156"/>
      <c r="H3788" s="100"/>
    </row>
    <row r="3789" spans="3:8" x14ac:dyDescent="0.25">
      <c r="C3789" s="100"/>
      <c r="G3789" s="156"/>
      <c r="H3789" s="100"/>
    </row>
    <row r="3790" spans="3:8" x14ac:dyDescent="0.25">
      <c r="C3790" s="100"/>
      <c r="G3790" s="156"/>
      <c r="H3790" s="100"/>
    </row>
    <row r="3791" spans="3:8" x14ac:dyDescent="0.25">
      <c r="C3791" s="100"/>
      <c r="G3791" s="156"/>
      <c r="H3791" s="100"/>
    </row>
    <row r="3792" spans="3:8" x14ac:dyDescent="0.25">
      <c r="C3792" s="100"/>
      <c r="G3792" s="156"/>
      <c r="H3792" s="100"/>
    </row>
    <row r="3793" spans="3:8" x14ac:dyDescent="0.25">
      <c r="C3793" s="100"/>
      <c r="G3793" s="156"/>
      <c r="H3793" s="100"/>
    </row>
    <row r="3794" spans="3:8" x14ac:dyDescent="0.25">
      <c r="C3794" s="100"/>
      <c r="G3794" s="156"/>
      <c r="H3794" s="100"/>
    </row>
    <row r="3795" spans="3:8" x14ac:dyDescent="0.25">
      <c r="C3795" s="100"/>
      <c r="G3795" s="156"/>
      <c r="H3795" s="100"/>
    </row>
    <row r="3796" spans="3:8" x14ac:dyDescent="0.25">
      <c r="C3796" s="100"/>
      <c r="G3796" s="156"/>
      <c r="H3796" s="100"/>
    </row>
    <row r="3797" spans="3:8" x14ac:dyDescent="0.25">
      <c r="C3797" s="100"/>
      <c r="G3797" s="156"/>
      <c r="H3797" s="100"/>
    </row>
    <row r="3798" spans="3:8" x14ac:dyDescent="0.25">
      <c r="C3798" s="100"/>
      <c r="G3798" s="156"/>
      <c r="H3798" s="100"/>
    </row>
    <row r="3799" spans="3:8" x14ac:dyDescent="0.25">
      <c r="C3799" s="100"/>
      <c r="G3799" s="156"/>
      <c r="H3799" s="100"/>
    </row>
    <row r="3800" spans="3:8" x14ac:dyDescent="0.25">
      <c r="C3800" s="100"/>
      <c r="G3800" s="156"/>
      <c r="H3800" s="100"/>
    </row>
    <row r="3801" spans="3:8" x14ac:dyDescent="0.25">
      <c r="C3801" s="100"/>
      <c r="G3801" s="156"/>
      <c r="H3801" s="100"/>
    </row>
    <row r="3802" spans="3:8" x14ac:dyDescent="0.25">
      <c r="C3802" s="100"/>
      <c r="G3802" s="156"/>
      <c r="H3802" s="100"/>
    </row>
    <row r="3803" spans="3:8" x14ac:dyDescent="0.25">
      <c r="C3803" s="100"/>
      <c r="G3803" s="156"/>
      <c r="H3803" s="100"/>
    </row>
    <row r="3804" spans="3:8" x14ac:dyDescent="0.25">
      <c r="C3804" s="100"/>
      <c r="G3804" s="156"/>
      <c r="H3804" s="100"/>
    </row>
    <row r="3805" spans="3:8" x14ac:dyDescent="0.25">
      <c r="C3805" s="100"/>
      <c r="G3805" s="156"/>
      <c r="H3805" s="100"/>
    </row>
    <row r="3806" spans="3:8" x14ac:dyDescent="0.25">
      <c r="C3806" s="100"/>
      <c r="G3806" s="156"/>
      <c r="H3806" s="100"/>
    </row>
    <row r="3807" spans="3:8" x14ac:dyDescent="0.25">
      <c r="C3807" s="100"/>
      <c r="G3807" s="156"/>
      <c r="H3807" s="100"/>
    </row>
    <row r="3808" spans="3:8" x14ac:dyDescent="0.25">
      <c r="C3808" s="100"/>
      <c r="G3808" s="156"/>
      <c r="H3808" s="100"/>
    </row>
    <row r="3809" spans="3:8" x14ac:dyDescent="0.25">
      <c r="C3809" s="100"/>
      <c r="G3809" s="156"/>
      <c r="H3809" s="100"/>
    </row>
    <row r="3810" spans="3:8" x14ac:dyDescent="0.25">
      <c r="C3810" s="100"/>
      <c r="G3810" s="156"/>
      <c r="H3810" s="100"/>
    </row>
    <row r="3811" spans="3:8" x14ac:dyDescent="0.25">
      <c r="C3811" s="100"/>
      <c r="G3811" s="156"/>
      <c r="H3811" s="100"/>
    </row>
    <row r="3812" spans="3:8" x14ac:dyDescent="0.25">
      <c r="C3812" s="100"/>
      <c r="G3812" s="156"/>
      <c r="H3812" s="100"/>
    </row>
    <row r="3813" spans="3:8" x14ac:dyDescent="0.25">
      <c r="C3813" s="100"/>
      <c r="G3813" s="156"/>
      <c r="H3813" s="100"/>
    </row>
    <row r="3814" spans="3:8" x14ac:dyDescent="0.25">
      <c r="C3814" s="100"/>
      <c r="G3814" s="156"/>
      <c r="H3814" s="100"/>
    </row>
    <row r="3815" spans="3:8" x14ac:dyDescent="0.25">
      <c r="C3815" s="100"/>
      <c r="G3815" s="156"/>
      <c r="H3815" s="100"/>
    </row>
    <row r="3816" spans="3:8" x14ac:dyDescent="0.25">
      <c r="C3816" s="100"/>
      <c r="G3816" s="156"/>
      <c r="H3816" s="100"/>
    </row>
    <row r="3817" spans="3:8" x14ac:dyDescent="0.25">
      <c r="C3817" s="100"/>
      <c r="G3817" s="156"/>
      <c r="H3817" s="100"/>
    </row>
    <row r="3818" spans="3:8" x14ac:dyDescent="0.25">
      <c r="C3818" s="100"/>
      <c r="G3818" s="156"/>
      <c r="H3818" s="100"/>
    </row>
    <row r="3819" spans="3:8" x14ac:dyDescent="0.25">
      <c r="C3819" s="100"/>
      <c r="G3819" s="156"/>
      <c r="H3819" s="100"/>
    </row>
    <row r="3820" spans="3:8" x14ac:dyDescent="0.25">
      <c r="C3820" s="100"/>
      <c r="G3820" s="156"/>
      <c r="H3820" s="100"/>
    </row>
    <row r="3821" spans="3:8" x14ac:dyDescent="0.25">
      <c r="C3821" s="100"/>
      <c r="G3821" s="156"/>
      <c r="H3821" s="100"/>
    </row>
    <row r="3822" spans="3:8" x14ac:dyDescent="0.25">
      <c r="C3822" s="100"/>
      <c r="G3822" s="156"/>
      <c r="H3822" s="100"/>
    </row>
    <row r="3823" spans="3:8" x14ac:dyDescent="0.25">
      <c r="C3823" s="100"/>
      <c r="G3823" s="156"/>
      <c r="H3823" s="100"/>
    </row>
    <row r="3824" spans="3:8" x14ac:dyDescent="0.25">
      <c r="C3824" s="100"/>
      <c r="G3824" s="156"/>
      <c r="H3824" s="100"/>
    </row>
    <row r="3825" spans="3:8" x14ac:dyDescent="0.25">
      <c r="C3825" s="100"/>
      <c r="G3825" s="156"/>
      <c r="H3825" s="100"/>
    </row>
    <row r="3826" spans="3:8" x14ac:dyDescent="0.25">
      <c r="C3826" s="100"/>
      <c r="G3826" s="156"/>
      <c r="H3826" s="100"/>
    </row>
    <row r="3827" spans="3:8" x14ac:dyDescent="0.25">
      <c r="C3827" s="100"/>
      <c r="G3827" s="156"/>
      <c r="H3827" s="100"/>
    </row>
    <row r="3828" spans="3:8" x14ac:dyDescent="0.25">
      <c r="C3828" s="100"/>
      <c r="G3828" s="156"/>
      <c r="H3828" s="100"/>
    </row>
    <row r="3829" spans="3:8" x14ac:dyDescent="0.25">
      <c r="C3829" s="100"/>
      <c r="G3829" s="156"/>
      <c r="H3829" s="100"/>
    </row>
    <row r="3830" spans="3:8" x14ac:dyDescent="0.25">
      <c r="C3830" s="100"/>
      <c r="G3830" s="156"/>
      <c r="H3830" s="100"/>
    </row>
    <row r="3831" spans="3:8" x14ac:dyDescent="0.25">
      <c r="C3831" s="100"/>
      <c r="G3831" s="156"/>
      <c r="H3831" s="100"/>
    </row>
    <row r="3832" spans="3:8" x14ac:dyDescent="0.25">
      <c r="C3832" s="100"/>
      <c r="G3832" s="156"/>
      <c r="H3832" s="100"/>
    </row>
    <row r="3833" spans="3:8" x14ac:dyDescent="0.25">
      <c r="C3833" s="100"/>
      <c r="G3833" s="156"/>
      <c r="H3833" s="100"/>
    </row>
    <row r="3834" spans="3:8" x14ac:dyDescent="0.25">
      <c r="C3834" s="100"/>
      <c r="G3834" s="156"/>
      <c r="H3834" s="100"/>
    </row>
    <row r="3835" spans="3:8" x14ac:dyDescent="0.25">
      <c r="C3835" s="100"/>
      <c r="G3835" s="156"/>
      <c r="H3835" s="100"/>
    </row>
    <row r="3836" spans="3:8" x14ac:dyDescent="0.25">
      <c r="C3836" s="100"/>
      <c r="G3836" s="156"/>
      <c r="H3836" s="100"/>
    </row>
    <row r="3837" spans="3:8" x14ac:dyDescent="0.25">
      <c r="C3837" s="100"/>
      <c r="G3837" s="156"/>
      <c r="H3837" s="100"/>
    </row>
    <row r="3838" spans="3:8" x14ac:dyDescent="0.25">
      <c r="C3838" s="100"/>
      <c r="G3838" s="156"/>
      <c r="H3838" s="100"/>
    </row>
    <row r="3839" spans="3:8" x14ac:dyDescent="0.25">
      <c r="C3839" s="100"/>
      <c r="G3839" s="156"/>
      <c r="H3839" s="100"/>
    </row>
    <row r="3840" spans="3:8" x14ac:dyDescent="0.25">
      <c r="C3840" s="100"/>
      <c r="G3840" s="156"/>
      <c r="H3840" s="100"/>
    </row>
    <row r="3841" spans="3:8" x14ac:dyDescent="0.25">
      <c r="C3841" s="100"/>
      <c r="G3841" s="156"/>
      <c r="H3841" s="100"/>
    </row>
    <row r="3842" spans="3:8" x14ac:dyDescent="0.25">
      <c r="C3842" s="100"/>
      <c r="G3842" s="156"/>
      <c r="H3842" s="100"/>
    </row>
    <row r="3843" spans="3:8" x14ac:dyDescent="0.25">
      <c r="C3843" s="100"/>
      <c r="G3843" s="156"/>
      <c r="H3843" s="100"/>
    </row>
    <row r="3844" spans="3:8" x14ac:dyDescent="0.25">
      <c r="C3844" s="100"/>
      <c r="G3844" s="156"/>
      <c r="H3844" s="100"/>
    </row>
    <row r="3845" spans="3:8" x14ac:dyDescent="0.25">
      <c r="C3845" s="100"/>
      <c r="G3845" s="156"/>
      <c r="H3845" s="100"/>
    </row>
    <row r="3846" spans="3:8" x14ac:dyDescent="0.25">
      <c r="C3846" s="100"/>
      <c r="G3846" s="156"/>
      <c r="H3846" s="100"/>
    </row>
    <row r="3847" spans="3:8" x14ac:dyDescent="0.25">
      <c r="C3847" s="100"/>
      <c r="G3847" s="156"/>
      <c r="H3847" s="100"/>
    </row>
    <row r="3848" spans="3:8" x14ac:dyDescent="0.25">
      <c r="C3848" s="100"/>
      <c r="G3848" s="156"/>
      <c r="H3848" s="100"/>
    </row>
    <row r="3849" spans="3:8" x14ac:dyDescent="0.25">
      <c r="C3849" s="100"/>
      <c r="G3849" s="156"/>
      <c r="H3849" s="100"/>
    </row>
    <row r="3850" spans="3:8" x14ac:dyDescent="0.25">
      <c r="C3850" s="100"/>
      <c r="G3850" s="156"/>
      <c r="H3850" s="100"/>
    </row>
    <row r="3851" spans="3:8" x14ac:dyDescent="0.25">
      <c r="C3851" s="100"/>
      <c r="G3851" s="156"/>
      <c r="H3851" s="100"/>
    </row>
    <row r="3852" spans="3:8" x14ac:dyDescent="0.25">
      <c r="C3852" s="100"/>
      <c r="G3852" s="156"/>
      <c r="H3852" s="100"/>
    </row>
    <row r="3853" spans="3:8" x14ac:dyDescent="0.25">
      <c r="C3853" s="100"/>
      <c r="G3853" s="156"/>
      <c r="H3853" s="100"/>
    </row>
    <row r="3854" spans="3:8" x14ac:dyDescent="0.25">
      <c r="C3854" s="100"/>
      <c r="G3854" s="156"/>
      <c r="H3854" s="100"/>
    </row>
    <row r="3855" spans="3:8" x14ac:dyDescent="0.25">
      <c r="C3855" s="100"/>
      <c r="G3855" s="156"/>
      <c r="H3855" s="100"/>
    </row>
    <row r="3856" spans="3:8" x14ac:dyDescent="0.25">
      <c r="C3856" s="100"/>
      <c r="G3856" s="156"/>
      <c r="H3856" s="100"/>
    </row>
    <row r="3857" spans="3:8" x14ac:dyDescent="0.25">
      <c r="C3857" s="100"/>
      <c r="G3857" s="156"/>
      <c r="H3857" s="100"/>
    </row>
    <row r="3858" spans="3:8" x14ac:dyDescent="0.25">
      <c r="C3858" s="100"/>
      <c r="G3858" s="156"/>
      <c r="H3858" s="100"/>
    </row>
    <row r="3859" spans="3:8" x14ac:dyDescent="0.25">
      <c r="C3859" s="100"/>
      <c r="G3859" s="156"/>
      <c r="H3859" s="100"/>
    </row>
    <row r="3860" spans="3:8" x14ac:dyDescent="0.25">
      <c r="C3860" s="100"/>
      <c r="G3860" s="156"/>
      <c r="H3860" s="100"/>
    </row>
    <row r="3861" spans="3:8" x14ac:dyDescent="0.25">
      <c r="C3861" s="100"/>
      <c r="G3861" s="156"/>
      <c r="H3861" s="100"/>
    </row>
    <row r="3862" spans="3:8" x14ac:dyDescent="0.25">
      <c r="C3862" s="100"/>
      <c r="G3862" s="156"/>
      <c r="H3862" s="100"/>
    </row>
    <row r="3863" spans="3:8" x14ac:dyDescent="0.25">
      <c r="C3863" s="100"/>
      <c r="G3863" s="156"/>
      <c r="H3863" s="100"/>
    </row>
    <row r="3864" spans="3:8" x14ac:dyDescent="0.25">
      <c r="C3864" s="100"/>
      <c r="G3864" s="156"/>
      <c r="H3864" s="100"/>
    </row>
    <row r="3865" spans="3:8" x14ac:dyDescent="0.25">
      <c r="C3865" s="100"/>
      <c r="G3865" s="156"/>
      <c r="H3865" s="100"/>
    </row>
    <row r="3866" spans="3:8" x14ac:dyDescent="0.25">
      <c r="C3866" s="100"/>
      <c r="G3866" s="156"/>
      <c r="H3866" s="100"/>
    </row>
    <row r="3867" spans="3:8" x14ac:dyDescent="0.25">
      <c r="C3867" s="100"/>
      <c r="G3867" s="156"/>
      <c r="H3867" s="100"/>
    </row>
    <row r="3868" spans="3:8" x14ac:dyDescent="0.25">
      <c r="C3868" s="100"/>
      <c r="G3868" s="156"/>
      <c r="H3868" s="100"/>
    </row>
    <row r="3869" spans="3:8" x14ac:dyDescent="0.25">
      <c r="C3869" s="100"/>
      <c r="G3869" s="156"/>
      <c r="H3869" s="100"/>
    </row>
    <row r="3870" spans="3:8" x14ac:dyDescent="0.25">
      <c r="C3870" s="100"/>
      <c r="G3870" s="156"/>
      <c r="H3870" s="100"/>
    </row>
    <row r="3871" spans="3:8" x14ac:dyDescent="0.25">
      <c r="C3871" s="100"/>
      <c r="G3871" s="156"/>
      <c r="H3871" s="100"/>
    </row>
    <row r="3872" spans="3:8" x14ac:dyDescent="0.25">
      <c r="C3872" s="100"/>
      <c r="G3872" s="156"/>
      <c r="H3872" s="100"/>
    </row>
    <row r="3873" spans="3:8" x14ac:dyDescent="0.25">
      <c r="C3873" s="100"/>
      <c r="G3873" s="156"/>
      <c r="H3873" s="100"/>
    </row>
    <row r="3874" spans="3:8" x14ac:dyDescent="0.25">
      <c r="C3874" s="100"/>
      <c r="G3874" s="156"/>
      <c r="H3874" s="100"/>
    </row>
    <row r="3875" spans="3:8" x14ac:dyDescent="0.25">
      <c r="C3875" s="100"/>
      <c r="G3875" s="156"/>
      <c r="H3875" s="100"/>
    </row>
    <row r="3876" spans="3:8" x14ac:dyDescent="0.25">
      <c r="C3876" s="100"/>
      <c r="G3876" s="156"/>
      <c r="H3876" s="100"/>
    </row>
    <row r="3877" spans="3:8" x14ac:dyDescent="0.25">
      <c r="C3877" s="100"/>
      <c r="G3877" s="156"/>
      <c r="H3877" s="100"/>
    </row>
    <row r="3878" spans="3:8" x14ac:dyDescent="0.25">
      <c r="C3878" s="100"/>
      <c r="G3878" s="156"/>
      <c r="H3878" s="100"/>
    </row>
    <row r="3879" spans="3:8" x14ac:dyDescent="0.25">
      <c r="C3879" s="100"/>
      <c r="G3879" s="156"/>
      <c r="H3879" s="100"/>
    </row>
    <row r="3880" spans="3:8" x14ac:dyDescent="0.25">
      <c r="C3880" s="100"/>
      <c r="G3880" s="156"/>
      <c r="H3880" s="100"/>
    </row>
    <row r="3881" spans="3:8" x14ac:dyDescent="0.25">
      <c r="C3881" s="100"/>
      <c r="G3881" s="156"/>
      <c r="H3881" s="100"/>
    </row>
    <row r="3882" spans="3:8" x14ac:dyDescent="0.25">
      <c r="C3882" s="100"/>
      <c r="G3882" s="156"/>
      <c r="H3882" s="100"/>
    </row>
    <row r="3883" spans="3:8" x14ac:dyDescent="0.25">
      <c r="C3883" s="100"/>
      <c r="G3883" s="156"/>
      <c r="H3883" s="100"/>
    </row>
    <row r="3884" spans="3:8" x14ac:dyDescent="0.25">
      <c r="C3884" s="100"/>
      <c r="G3884" s="156"/>
      <c r="H3884" s="100"/>
    </row>
    <row r="3885" spans="3:8" x14ac:dyDescent="0.25">
      <c r="C3885" s="100"/>
      <c r="G3885" s="156"/>
      <c r="H3885" s="100"/>
    </row>
    <row r="3886" spans="3:8" x14ac:dyDescent="0.25">
      <c r="C3886" s="100"/>
      <c r="G3886" s="156"/>
      <c r="H3886" s="100"/>
    </row>
    <row r="3887" spans="3:8" x14ac:dyDescent="0.25">
      <c r="C3887" s="100"/>
      <c r="G3887" s="156"/>
      <c r="H3887" s="100"/>
    </row>
    <row r="3888" spans="3:8" x14ac:dyDescent="0.25">
      <c r="C3888" s="100"/>
      <c r="G3888" s="156"/>
      <c r="H3888" s="100"/>
    </row>
    <row r="3889" spans="3:8" x14ac:dyDescent="0.25">
      <c r="C3889" s="100"/>
      <c r="G3889" s="156"/>
      <c r="H3889" s="100"/>
    </row>
    <row r="3890" spans="3:8" x14ac:dyDescent="0.25">
      <c r="C3890" s="100"/>
      <c r="G3890" s="156"/>
      <c r="H3890" s="100"/>
    </row>
    <row r="3891" spans="3:8" x14ac:dyDescent="0.25">
      <c r="C3891" s="100"/>
      <c r="G3891" s="156"/>
      <c r="H3891" s="100"/>
    </row>
    <row r="3892" spans="3:8" x14ac:dyDescent="0.25">
      <c r="C3892" s="100"/>
      <c r="G3892" s="156"/>
      <c r="H3892" s="100"/>
    </row>
    <row r="3893" spans="3:8" x14ac:dyDescent="0.25">
      <c r="C3893" s="100"/>
      <c r="G3893" s="156"/>
      <c r="H3893" s="100"/>
    </row>
    <row r="3894" spans="3:8" x14ac:dyDescent="0.25">
      <c r="C3894" s="100"/>
      <c r="G3894" s="156"/>
      <c r="H3894" s="100"/>
    </row>
    <row r="3895" spans="3:8" x14ac:dyDescent="0.25">
      <c r="C3895" s="100"/>
      <c r="G3895" s="156"/>
      <c r="H3895" s="100"/>
    </row>
    <row r="3896" spans="3:8" x14ac:dyDescent="0.25">
      <c r="C3896" s="100"/>
      <c r="G3896" s="156"/>
      <c r="H3896" s="100"/>
    </row>
    <row r="3897" spans="3:8" x14ac:dyDescent="0.25">
      <c r="C3897" s="100"/>
      <c r="G3897" s="156"/>
      <c r="H3897" s="100"/>
    </row>
    <row r="3898" spans="3:8" x14ac:dyDescent="0.25">
      <c r="C3898" s="100"/>
      <c r="G3898" s="156"/>
      <c r="H3898" s="100"/>
    </row>
    <row r="3899" spans="3:8" x14ac:dyDescent="0.25">
      <c r="C3899" s="100"/>
      <c r="G3899" s="156"/>
      <c r="H3899" s="100"/>
    </row>
    <row r="3900" spans="3:8" x14ac:dyDescent="0.25">
      <c r="C3900" s="100"/>
      <c r="G3900" s="156"/>
      <c r="H3900" s="100"/>
    </row>
    <row r="3901" spans="3:8" x14ac:dyDescent="0.25">
      <c r="C3901" s="100"/>
      <c r="G3901" s="156"/>
      <c r="H3901" s="100"/>
    </row>
    <row r="3902" spans="3:8" x14ac:dyDescent="0.25">
      <c r="C3902" s="100"/>
      <c r="G3902" s="156"/>
      <c r="H3902" s="100"/>
    </row>
    <row r="3903" spans="3:8" x14ac:dyDescent="0.25">
      <c r="C3903" s="100"/>
      <c r="G3903" s="156"/>
      <c r="H3903" s="100"/>
    </row>
    <row r="3904" spans="3:8" x14ac:dyDescent="0.25">
      <c r="C3904" s="100"/>
      <c r="G3904" s="156"/>
      <c r="H3904" s="100"/>
    </row>
    <row r="3905" spans="3:8" x14ac:dyDescent="0.25">
      <c r="C3905" s="100"/>
      <c r="G3905" s="156"/>
      <c r="H3905" s="100"/>
    </row>
    <row r="3906" spans="3:8" x14ac:dyDescent="0.25">
      <c r="C3906" s="100"/>
      <c r="G3906" s="156"/>
      <c r="H3906" s="100"/>
    </row>
    <row r="3907" spans="3:8" x14ac:dyDescent="0.25">
      <c r="C3907" s="100"/>
      <c r="G3907" s="156"/>
      <c r="H3907" s="100"/>
    </row>
    <row r="3908" spans="3:8" x14ac:dyDescent="0.25">
      <c r="C3908" s="100"/>
      <c r="G3908" s="156"/>
      <c r="H3908" s="100"/>
    </row>
    <row r="3909" spans="3:8" x14ac:dyDescent="0.25">
      <c r="C3909" s="100"/>
      <c r="G3909" s="156"/>
      <c r="H3909" s="100"/>
    </row>
    <row r="3910" spans="3:8" x14ac:dyDescent="0.25">
      <c r="C3910" s="100"/>
      <c r="G3910" s="156"/>
      <c r="H3910" s="100"/>
    </row>
    <row r="3911" spans="3:8" x14ac:dyDescent="0.25">
      <c r="C3911" s="100"/>
      <c r="G3911" s="156"/>
      <c r="H3911" s="100"/>
    </row>
    <row r="3912" spans="3:8" x14ac:dyDescent="0.25">
      <c r="C3912" s="100"/>
      <c r="G3912" s="156"/>
      <c r="H3912" s="100"/>
    </row>
    <row r="3913" spans="3:8" x14ac:dyDescent="0.25">
      <c r="C3913" s="100"/>
      <c r="G3913" s="156"/>
      <c r="H3913" s="100"/>
    </row>
    <row r="3914" spans="3:8" x14ac:dyDescent="0.25">
      <c r="C3914" s="100"/>
      <c r="G3914" s="156"/>
      <c r="H3914" s="100"/>
    </row>
    <row r="3915" spans="3:8" x14ac:dyDescent="0.25">
      <c r="C3915" s="100"/>
      <c r="G3915" s="156"/>
      <c r="H3915" s="100"/>
    </row>
    <row r="3916" spans="3:8" x14ac:dyDescent="0.25">
      <c r="C3916" s="100"/>
      <c r="G3916" s="156"/>
      <c r="H3916" s="100"/>
    </row>
    <row r="3917" spans="3:8" x14ac:dyDescent="0.25">
      <c r="C3917" s="100"/>
      <c r="G3917" s="156"/>
      <c r="H3917" s="100"/>
    </row>
    <row r="3918" spans="3:8" x14ac:dyDescent="0.25">
      <c r="C3918" s="100"/>
      <c r="G3918" s="156"/>
      <c r="H3918" s="100"/>
    </row>
    <row r="3919" spans="3:8" x14ac:dyDescent="0.25">
      <c r="C3919" s="100"/>
      <c r="G3919" s="156"/>
      <c r="H3919" s="100"/>
    </row>
    <row r="3920" spans="3:8" x14ac:dyDescent="0.25">
      <c r="C3920" s="100"/>
      <c r="G3920" s="156"/>
      <c r="H3920" s="100"/>
    </row>
    <row r="3921" spans="3:8" x14ac:dyDescent="0.25">
      <c r="C3921" s="100"/>
      <c r="G3921" s="156"/>
      <c r="H3921" s="100"/>
    </row>
    <row r="3922" spans="3:8" x14ac:dyDescent="0.25">
      <c r="C3922" s="100"/>
      <c r="G3922" s="156"/>
      <c r="H3922" s="100"/>
    </row>
    <row r="3923" spans="3:8" x14ac:dyDescent="0.25">
      <c r="C3923" s="100"/>
      <c r="G3923" s="156"/>
      <c r="H3923" s="100"/>
    </row>
    <row r="3924" spans="3:8" x14ac:dyDescent="0.25">
      <c r="C3924" s="100"/>
      <c r="G3924" s="156"/>
      <c r="H3924" s="100"/>
    </row>
    <row r="3925" spans="3:8" x14ac:dyDescent="0.25">
      <c r="C3925" s="100"/>
      <c r="G3925" s="156"/>
      <c r="H3925" s="100"/>
    </row>
    <row r="3926" spans="3:8" x14ac:dyDescent="0.25">
      <c r="C3926" s="100"/>
      <c r="G3926" s="156"/>
      <c r="H3926" s="100"/>
    </row>
    <row r="3927" spans="3:8" x14ac:dyDescent="0.25">
      <c r="C3927" s="100"/>
      <c r="G3927" s="156"/>
      <c r="H3927" s="100"/>
    </row>
    <row r="3928" spans="3:8" x14ac:dyDescent="0.25">
      <c r="C3928" s="100"/>
      <c r="G3928" s="156"/>
      <c r="H3928" s="100"/>
    </row>
    <row r="3929" spans="3:8" x14ac:dyDescent="0.25">
      <c r="C3929" s="100"/>
      <c r="G3929" s="156"/>
      <c r="H3929" s="100"/>
    </row>
    <row r="3930" spans="3:8" x14ac:dyDescent="0.25">
      <c r="C3930" s="100"/>
      <c r="G3930" s="156"/>
      <c r="H3930" s="100"/>
    </row>
    <row r="3931" spans="3:8" x14ac:dyDescent="0.25">
      <c r="C3931" s="100"/>
      <c r="G3931" s="156"/>
      <c r="H3931" s="100"/>
    </row>
    <row r="3932" spans="3:8" x14ac:dyDescent="0.25">
      <c r="C3932" s="100"/>
      <c r="G3932" s="156"/>
      <c r="H3932" s="100"/>
    </row>
    <row r="3933" spans="3:8" x14ac:dyDescent="0.25">
      <c r="C3933" s="100"/>
      <c r="G3933" s="156"/>
      <c r="H3933" s="100"/>
    </row>
    <row r="3934" spans="3:8" x14ac:dyDescent="0.25">
      <c r="C3934" s="100"/>
      <c r="G3934" s="156"/>
      <c r="H3934" s="100"/>
    </row>
    <row r="3935" spans="3:8" x14ac:dyDescent="0.25">
      <c r="C3935" s="100"/>
      <c r="G3935" s="156"/>
      <c r="H3935" s="100"/>
    </row>
    <row r="3936" spans="3:8" x14ac:dyDescent="0.25">
      <c r="C3936" s="100"/>
      <c r="G3936" s="156"/>
      <c r="H3936" s="100"/>
    </row>
    <row r="3937" spans="3:8" x14ac:dyDescent="0.25">
      <c r="C3937" s="100"/>
      <c r="G3937" s="156"/>
      <c r="H3937" s="100"/>
    </row>
    <row r="3938" spans="3:8" x14ac:dyDescent="0.25">
      <c r="C3938" s="100"/>
      <c r="G3938" s="156"/>
      <c r="H3938" s="100"/>
    </row>
    <row r="3939" spans="3:8" x14ac:dyDescent="0.25">
      <c r="C3939" s="100"/>
      <c r="G3939" s="156"/>
      <c r="H3939" s="100"/>
    </row>
    <row r="3940" spans="3:8" x14ac:dyDescent="0.25">
      <c r="C3940" s="100"/>
      <c r="G3940" s="156"/>
      <c r="H3940" s="100"/>
    </row>
    <row r="3941" spans="3:8" x14ac:dyDescent="0.25">
      <c r="C3941" s="100"/>
      <c r="G3941" s="156"/>
      <c r="H3941" s="100"/>
    </row>
    <row r="3942" spans="3:8" x14ac:dyDescent="0.25">
      <c r="C3942" s="100"/>
      <c r="G3942" s="156"/>
      <c r="H3942" s="100"/>
    </row>
    <row r="3943" spans="3:8" x14ac:dyDescent="0.25">
      <c r="C3943" s="100"/>
      <c r="G3943" s="156"/>
      <c r="H3943" s="100"/>
    </row>
    <row r="3944" spans="3:8" x14ac:dyDescent="0.25">
      <c r="C3944" s="100"/>
      <c r="G3944" s="156"/>
      <c r="H3944" s="100"/>
    </row>
    <row r="3945" spans="3:8" x14ac:dyDescent="0.25">
      <c r="C3945" s="100"/>
      <c r="G3945" s="156"/>
      <c r="H3945" s="100"/>
    </row>
    <row r="3946" spans="3:8" x14ac:dyDescent="0.25">
      <c r="C3946" s="100"/>
      <c r="G3946" s="156"/>
      <c r="H3946" s="100"/>
    </row>
    <row r="3947" spans="3:8" x14ac:dyDescent="0.25">
      <c r="C3947" s="100"/>
      <c r="G3947" s="156"/>
      <c r="H3947" s="100"/>
    </row>
    <row r="3948" spans="3:8" x14ac:dyDescent="0.25">
      <c r="C3948" s="100"/>
      <c r="G3948" s="156"/>
      <c r="H3948" s="100"/>
    </row>
    <row r="3949" spans="3:8" x14ac:dyDescent="0.25">
      <c r="C3949" s="100"/>
      <c r="G3949" s="156"/>
      <c r="H3949" s="100"/>
    </row>
    <row r="3950" spans="3:8" x14ac:dyDescent="0.25">
      <c r="C3950" s="100"/>
      <c r="G3950" s="156"/>
      <c r="H3950" s="100"/>
    </row>
    <row r="3951" spans="3:8" x14ac:dyDescent="0.25">
      <c r="C3951" s="100"/>
      <c r="G3951" s="156"/>
      <c r="H3951" s="100"/>
    </row>
    <row r="3952" spans="3:8" x14ac:dyDescent="0.25">
      <c r="C3952" s="100"/>
      <c r="G3952" s="156"/>
      <c r="H3952" s="100"/>
    </row>
    <row r="3953" spans="3:8" x14ac:dyDescent="0.25">
      <c r="C3953" s="100"/>
      <c r="G3953" s="156"/>
      <c r="H3953" s="100"/>
    </row>
    <row r="3954" spans="3:8" x14ac:dyDescent="0.25">
      <c r="C3954" s="100"/>
      <c r="G3954" s="156"/>
      <c r="H3954" s="100"/>
    </row>
    <row r="3955" spans="3:8" x14ac:dyDescent="0.25">
      <c r="C3955" s="100"/>
      <c r="G3955" s="156"/>
      <c r="H3955" s="100"/>
    </row>
    <row r="3956" spans="3:8" x14ac:dyDescent="0.25">
      <c r="C3956" s="100"/>
      <c r="G3956" s="156"/>
      <c r="H3956" s="100"/>
    </row>
    <row r="3957" spans="3:8" x14ac:dyDescent="0.25">
      <c r="C3957" s="100"/>
      <c r="G3957" s="156"/>
      <c r="H3957" s="100"/>
    </row>
    <row r="3958" spans="3:8" x14ac:dyDescent="0.25">
      <c r="C3958" s="100"/>
      <c r="G3958" s="156"/>
      <c r="H3958" s="100"/>
    </row>
    <row r="3959" spans="3:8" x14ac:dyDescent="0.25">
      <c r="C3959" s="100"/>
      <c r="G3959" s="156"/>
      <c r="H3959" s="100"/>
    </row>
    <row r="3960" spans="3:8" x14ac:dyDescent="0.25">
      <c r="C3960" s="100"/>
      <c r="G3960" s="156"/>
      <c r="H3960" s="100"/>
    </row>
    <row r="3961" spans="3:8" x14ac:dyDescent="0.25">
      <c r="C3961" s="100"/>
      <c r="G3961" s="156"/>
      <c r="H3961" s="100"/>
    </row>
    <row r="3962" spans="3:8" x14ac:dyDescent="0.25">
      <c r="C3962" s="100"/>
      <c r="G3962" s="156"/>
      <c r="H3962" s="100"/>
    </row>
    <row r="3963" spans="3:8" x14ac:dyDescent="0.25">
      <c r="C3963" s="100"/>
      <c r="G3963" s="156"/>
      <c r="H3963" s="100"/>
    </row>
    <row r="3964" spans="3:8" x14ac:dyDescent="0.25">
      <c r="C3964" s="100"/>
      <c r="G3964" s="156"/>
      <c r="H3964" s="100"/>
    </row>
    <row r="3965" spans="3:8" x14ac:dyDescent="0.25">
      <c r="C3965" s="100"/>
      <c r="G3965" s="156"/>
      <c r="H3965" s="100"/>
    </row>
    <row r="3966" spans="3:8" x14ac:dyDescent="0.25">
      <c r="C3966" s="100"/>
      <c r="G3966" s="156"/>
      <c r="H3966" s="100"/>
    </row>
    <row r="3967" spans="3:8" x14ac:dyDescent="0.25">
      <c r="C3967" s="100"/>
      <c r="G3967" s="156"/>
      <c r="H3967" s="100"/>
    </row>
    <row r="3968" spans="3:8" x14ac:dyDescent="0.25">
      <c r="C3968" s="100"/>
      <c r="G3968" s="156"/>
      <c r="H3968" s="100"/>
    </row>
    <row r="3969" spans="3:8" x14ac:dyDescent="0.25">
      <c r="C3969" s="100"/>
      <c r="G3969" s="156"/>
      <c r="H3969" s="100"/>
    </row>
    <row r="3970" spans="3:8" x14ac:dyDescent="0.25">
      <c r="C3970" s="100"/>
      <c r="G3970" s="156"/>
      <c r="H3970" s="100"/>
    </row>
    <row r="3971" spans="3:8" x14ac:dyDescent="0.25">
      <c r="C3971" s="100"/>
      <c r="G3971" s="156"/>
      <c r="H3971" s="100"/>
    </row>
    <row r="3972" spans="3:8" x14ac:dyDescent="0.25">
      <c r="C3972" s="100"/>
      <c r="G3972" s="156"/>
      <c r="H3972" s="100"/>
    </row>
    <row r="3973" spans="3:8" x14ac:dyDescent="0.25">
      <c r="C3973" s="100"/>
      <c r="G3973" s="156"/>
      <c r="H3973" s="100"/>
    </row>
    <row r="3974" spans="3:8" x14ac:dyDescent="0.25">
      <c r="C3974" s="100"/>
      <c r="G3974" s="156"/>
      <c r="H3974" s="100"/>
    </row>
    <row r="3975" spans="3:8" x14ac:dyDescent="0.25">
      <c r="C3975" s="100"/>
      <c r="G3975" s="156"/>
      <c r="H3975" s="100"/>
    </row>
    <row r="3976" spans="3:8" x14ac:dyDescent="0.25">
      <c r="C3976" s="100"/>
      <c r="G3976" s="156"/>
      <c r="H3976" s="100"/>
    </row>
    <row r="3977" spans="3:8" x14ac:dyDescent="0.25">
      <c r="C3977" s="100"/>
      <c r="G3977" s="156"/>
      <c r="H3977" s="100"/>
    </row>
    <row r="3978" spans="3:8" x14ac:dyDescent="0.25">
      <c r="C3978" s="100"/>
      <c r="G3978" s="156"/>
      <c r="H3978" s="100"/>
    </row>
    <row r="3979" spans="3:8" x14ac:dyDescent="0.25">
      <c r="C3979" s="100"/>
      <c r="G3979" s="156"/>
      <c r="H3979" s="100"/>
    </row>
    <row r="3980" spans="3:8" x14ac:dyDescent="0.25">
      <c r="C3980" s="100"/>
      <c r="G3980" s="156"/>
      <c r="H3980" s="100"/>
    </row>
    <row r="3981" spans="3:8" x14ac:dyDescent="0.25">
      <c r="C3981" s="100"/>
      <c r="G3981" s="156"/>
      <c r="H3981" s="100"/>
    </row>
    <row r="3982" spans="3:8" x14ac:dyDescent="0.25">
      <c r="C3982" s="100"/>
      <c r="G3982" s="156"/>
      <c r="H3982" s="100"/>
    </row>
    <row r="3983" spans="3:8" x14ac:dyDescent="0.25">
      <c r="C3983" s="100"/>
      <c r="G3983" s="156"/>
      <c r="H3983" s="100"/>
    </row>
    <row r="3984" spans="3:8" x14ac:dyDescent="0.25">
      <c r="C3984" s="100"/>
      <c r="G3984" s="156"/>
      <c r="H3984" s="100"/>
    </row>
    <row r="3985" spans="3:8" x14ac:dyDescent="0.25">
      <c r="C3985" s="100"/>
      <c r="G3985" s="156"/>
      <c r="H3985" s="100"/>
    </row>
    <row r="3986" spans="3:8" x14ac:dyDescent="0.25">
      <c r="C3986" s="100"/>
      <c r="G3986" s="156"/>
      <c r="H3986" s="100"/>
    </row>
    <row r="3987" spans="3:8" x14ac:dyDescent="0.25">
      <c r="C3987" s="100"/>
      <c r="G3987" s="156"/>
      <c r="H3987" s="100"/>
    </row>
    <row r="3988" spans="3:8" x14ac:dyDescent="0.25">
      <c r="C3988" s="100"/>
      <c r="G3988" s="156"/>
      <c r="H3988" s="100"/>
    </row>
    <row r="3989" spans="3:8" x14ac:dyDescent="0.25">
      <c r="C3989" s="100"/>
      <c r="G3989" s="156"/>
      <c r="H3989" s="100"/>
    </row>
    <row r="3990" spans="3:8" x14ac:dyDescent="0.25">
      <c r="C3990" s="100"/>
      <c r="G3990" s="156"/>
      <c r="H3990" s="100"/>
    </row>
    <row r="3991" spans="3:8" x14ac:dyDescent="0.25">
      <c r="C3991" s="100"/>
      <c r="G3991" s="156"/>
      <c r="H3991" s="100"/>
    </row>
    <row r="3992" spans="3:8" x14ac:dyDescent="0.25">
      <c r="C3992" s="100"/>
      <c r="G3992" s="156"/>
      <c r="H3992" s="100"/>
    </row>
    <row r="3993" spans="3:8" x14ac:dyDescent="0.25">
      <c r="C3993" s="100"/>
      <c r="G3993" s="156"/>
      <c r="H3993" s="100"/>
    </row>
    <row r="3994" spans="3:8" x14ac:dyDescent="0.25">
      <c r="C3994" s="100"/>
      <c r="G3994" s="156"/>
      <c r="H3994" s="100"/>
    </row>
    <row r="3995" spans="3:8" x14ac:dyDescent="0.25">
      <c r="C3995" s="100"/>
      <c r="G3995" s="156"/>
      <c r="H3995" s="100"/>
    </row>
    <row r="3996" spans="3:8" x14ac:dyDescent="0.25">
      <c r="C3996" s="100"/>
      <c r="G3996" s="156"/>
      <c r="H3996" s="100"/>
    </row>
    <row r="3997" spans="3:8" x14ac:dyDescent="0.25">
      <c r="C3997" s="100"/>
      <c r="G3997" s="156"/>
      <c r="H3997" s="100"/>
    </row>
    <row r="3998" spans="3:8" x14ac:dyDescent="0.25">
      <c r="C3998" s="100"/>
      <c r="G3998" s="156"/>
      <c r="H3998" s="100"/>
    </row>
    <row r="3999" spans="3:8" x14ac:dyDescent="0.25">
      <c r="C3999" s="100"/>
      <c r="G3999" s="156"/>
      <c r="H3999" s="100"/>
    </row>
    <row r="4000" spans="3:8" x14ac:dyDescent="0.25">
      <c r="C4000" s="100"/>
      <c r="G4000" s="156"/>
      <c r="H4000" s="100"/>
    </row>
    <row r="4001" spans="3:8" x14ac:dyDescent="0.25">
      <c r="C4001" s="100"/>
      <c r="G4001" s="156"/>
      <c r="H4001" s="100"/>
    </row>
    <row r="4002" spans="3:8" x14ac:dyDescent="0.25">
      <c r="C4002" s="100"/>
      <c r="G4002" s="156"/>
      <c r="H4002" s="100"/>
    </row>
    <row r="4003" spans="3:8" x14ac:dyDescent="0.25">
      <c r="C4003" s="100"/>
      <c r="G4003" s="156"/>
      <c r="H4003" s="100"/>
    </row>
    <row r="4004" spans="3:8" x14ac:dyDescent="0.25">
      <c r="C4004" s="100"/>
      <c r="G4004" s="156"/>
      <c r="H4004" s="100"/>
    </row>
    <row r="4005" spans="3:8" x14ac:dyDescent="0.25">
      <c r="C4005" s="100"/>
      <c r="G4005" s="156"/>
      <c r="H4005" s="100"/>
    </row>
    <row r="4006" spans="3:8" x14ac:dyDescent="0.25">
      <c r="C4006" s="100"/>
      <c r="G4006" s="156"/>
      <c r="H4006" s="100"/>
    </row>
    <row r="4007" spans="3:8" x14ac:dyDescent="0.25">
      <c r="C4007" s="100"/>
      <c r="G4007" s="156"/>
      <c r="H4007" s="100"/>
    </row>
    <row r="4008" spans="3:8" x14ac:dyDescent="0.25">
      <c r="C4008" s="100"/>
      <c r="G4008" s="156"/>
      <c r="H4008" s="100"/>
    </row>
    <row r="4009" spans="3:8" x14ac:dyDescent="0.25">
      <c r="C4009" s="100"/>
      <c r="G4009" s="156"/>
      <c r="H4009" s="100"/>
    </row>
    <row r="4010" spans="3:8" x14ac:dyDescent="0.25">
      <c r="C4010" s="100"/>
      <c r="G4010" s="156"/>
      <c r="H4010" s="100"/>
    </row>
    <row r="4011" spans="3:8" x14ac:dyDescent="0.25">
      <c r="C4011" s="100"/>
      <c r="G4011" s="156"/>
      <c r="H4011" s="100"/>
    </row>
    <row r="4012" spans="3:8" x14ac:dyDescent="0.25">
      <c r="C4012" s="100"/>
      <c r="G4012" s="156"/>
      <c r="H4012" s="100"/>
    </row>
    <row r="4013" spans="3:8" x14ac:dyDescent="0.25">
      <c r="C4013" s="100"/>
      <c r="G4013" s="156"/>
      <c r="H4013" s="100"/>
    </row>
    <row r="4014" spans="3:8" x14ac:dyDescent="0.25">
      <c r="C4014" s="100"/>
      <c r="G4014" s="156"/>
      <c r="H4014" s="100"/>
    </row>
    <row r="4015" spans="3:8" x14ac:dyDescent="0.25">
      <c r="C4015" s="100"/>
      <c r="G4015" s="156"/>
      <c r="H4015" s="100"/>
    </row>
    <row r="4016" spans="3:8" x14ac:dyDescent="0.25">
      <c r="C4016" s="100"/>
      <c r="G4016" s="156"/>
      <c r="H4016" s="100"/>
    </row>
    <row r="4017" spans="3:8" x14ac:dyDescent="0.25">
      <c r="C4017" s="100"/>
      <c r="G4017" s="156"/>
      <c r="H4017" s="100"/>
    </row>
    <row r="4018" spans="3:8" x14ac:dyDescent="0.25">
      <c r="C4018" s="100"/>
      <c r="G4018" s="156"/>
      <c r="H4018" s="100"/>
    </row>
    <row r="4019" spans="3:8" x14ac:dyDescent="0.25">
      <c r="C4019" s="100"/>
      <c r="G4019" s="156"/>
      <c r="H4019" s="100"/>
    </row>
    <row r="4020" spans="3:8" x14ac:dyDescent="0.25">
      <c r="C4020" s="100"/>
      <c r="G4020" s="156"/>
      <c r="H4020" s="100"/>
    </row>
    <row r="4021" spans="3:8" x14ac:dyDescent="0.25">
      <c r="C4021" s="100"/>
      <c r="G4021" s="156"/>
      <c r="H4021" s="100"/>
    </row>
    <row r="4022" spans="3:8" x14ac:dyDescent="0.25">
      <c r="C4022" s="100"/>
      <c r="G4022" s="156"/>
      <c r="H4022" s="100"/>
    </row>
    <row r="4023" spans="3:8" x14ac:dyDescent="0.25">
      <c r="C4023" s="100"/>
      <c r="G4023" s="156"/>
      <c r="H4023" s="100"/>
    </row>
    <row r="4024" spans="3:8" x14ac:dyDescent="0.25">
      <c r="C4024" s="100"/>
      <c r="G4024" s="156"/>
      <c r="H4024" s="100"/>
    </row>
    <row r="4025" spans="3:8" x14ac:dyDescent="0.25">
      <c r="C4025" s="100"/>
      <c r="G4025" s="156"/>
      <c r="H4025" s="100"/>
    </row>
    <row r="4026" spans="3:8" x14ac:dyDescent="0.25">
      <c r="C4026" s="100"/>
      <c r="G4026" s="156"/>
      <c r="H4026" s="100"/>
    </row>
    <row r="4027" spans="3:8" x14ac:dyDescent="0.25">
      <c r="C4027" s="100"/>
      <c r="G4027" s="156"/>
      <c r="H4027" s="100"/>
    </row>
    <row r="4028" spans="3:8" x14ac:dyDescent="0.25">
      <c r="C4028" s="100"/>
      <c r="G4028" s="156"/>
      <c r="H4028" s="100"/>
    </row>
    <row r="4029" spans="3:8" x14ac:dyDescent="0.25">
      <c r="C4029" s="100"/>
      <c r="G4029" s="156"/>
      <c r="H4029" s="100"/>
    </row>
    <row r="4030" spans="3:8" x14ac:dyDescent="0.25">
      <c r="C4030" s="100"/>
      <c r="G4030" s="156"/>
      <c r="H4030" s="100"/>
    </row>
    <row r="4031" spans="3:8" x14ac:dyDescent="0.25">
      <c r="C4031" s="100"/>
      <c r="G4031" s="156"/>
      <c r="H4031" s="100"/>
    </row>
    <row r="4032" spans="3:8" x14ac:dyDescent="0.25">
      <c r="C4032" s="100"/>
      <c r="G4032" s="156"/>
      <c r="H4032" s="100"/>
    </row>
    <row r="4033" spans="3:8" x14ac:dyDescent="0.25">
      <c r="C4033" s="100"/>
      <c r="G4033" s="156"/>
      <c r="H4033" s="100"/>
    </row>
    <row r="4034" spans="3:8" x14ac:dyDescent="0.25">
      <c r="C4034" s="100"/>
      <c r="G4034" s="156"/>
      <c r="H4034" s="100"/>
    </row>
    <row r="4035" spans="3:8" x14ac:dyDescent="0.25">
      <c r="C4035" s="100"/>
      <c r="G4035" s="156"/>
      <c r="H4035" s="100"/>
    </row>
    <row r="4036" spans="3:8" x14ac:dyDescent="0.25">
      <c r="C4036" s="100"/>
      <c r="G4036" s="156"/>
      <c r="H4036" s="100"/>
    </row>
    <row r="4037" spans="3:8" x14ac:dyDescent="0.25">
      <c r="C4037" s="100"/>
      <c r="G4037" s="156"/>
      <c r="H4037" s="100"/>
    </row>
    <row r="4038" spans="3:8" x14ac:dyDescent="0.25">
      <c r="C4038" s="100"/>
      <c r="G4038" s="156"/>
      <c r="H4038" s="100"/>
    </row>
    <row r="4039" spans="3:8" x14ac:dyDescent="0.25">
      <c r="C4039" s="100"/>
      <c r="G4039" s="156"/>
      <c r="H4039" s="100"/>
    </row>
    <row r="4040" spans="3:8" x14ac:dyDescent="0.25">
      <c r="C4040" s="100"/>
      <c r="G4040" s="156"/>
      <c r="H4040" s="100"/>
    </row>
    <row r="4041" spans="3:8" x14ac:dyDescent="0.25">
      <c r="C4041" s="100"/>
      <c r="G4041" s="156"/>
      <c r="H4041" s="100"/>
    </row>
    <row r="4042" spans="3:8" x14ac:dyDescent="0.25">
      <c r="C4042" s="100"/>
      <c r="G4042" s="156"/>
      <c r="H4042" s="100"/>
    </row>
    <row r="4043" spans="3:8" x14ac:dyDescent="0.25">
      <c r="C4043" s="100"/>
      <c r="G4043" s="156"/>
      <c r="H4043" s="100"/>
    </row>
    <row r="4044" spans="3:8" x14ac:dyDescent="0.25">
      <c r="C4044" s="100"/>
      <c r="G4044" s="156"/>
      <c r="H4044" s="100"/>
    </row>
    <row r="4045" spans="3:8" x14ac:dyDescent="0.25">
      <c r="C4045" s="100"/>
      <c r="G4045" s="156"/>
      <c r="H4045" s="100"/>
    </row>
    <row r="4046" spans="3:8" x14ac:dyDescent="0.25">
      <c r="C4046" s="100"/>
      <c r="G4046" s="156"/>
      <c r="H4046" s="100"/>
    </row>
    <row r="4047" spans="3:8" x14ac:dyDescent="0.25">
      <c r="C4047" s="100"/>
      <c r="G4047" s="156"/>
      <c r="H4047" s="100"/>
    </row>
    <row r="4048" spans="3:8" x14ac:dyDescent="0.25">
      <c r="C4048" s="100"/>
      <c r="G4048" s="156"/>
      <c r="H4048" s="100"/>
    </row>
    <row r="4049" spans="3:8" x14ac:dyDescent="0.25">
      <c r="C4049" s="100"/>
      <c r="G4049" s="156"/>
      <c r="H4049" s="100"/>
    </row>
    <row r="4050" spans="3:8" x14ac:dyDescent="0.25">
      <c r="C4050" s="100"/>
      <c r="G4050" s="156"/>
      <c r="H4050" s="100"/>
    </row>
    <row r="4051" spans="3:8" x14ac:dyDescent="0.25">
      <c r="C4051" s="100"/>
      <c r="G4051" s="156"/>
      <c r="H4051" s="100"/>
    </row>
    <row r="4052" spans="3:8" x14ac:dyDescent="0.25">
      <c r="C4052" s="100"/>
      <c r="G4052" s="156"/>
      <c r="H4052" s="100"/>
    </row>
    <row r="4053" spans="3:8" x14ac:dyDescent="0.25">
      <c r="C4053" s="100"/>
      <c r="G4053" s="156"/>
      <c r="H4053" s="100"/>
    </row>
    <row r="4054" spans="3:8" x14ac:dyDescent="0.25">
      <c r="C4054" s="100"/>
      <c r="G4054" s="156"/>
      <c r="H4054" s="100"/>
    </row>
    <row r="4055" spans="3:8" x14ac:dyDescent="0.25">
      <c r="C4055" s="100"/>
      <c r="G4055" s="156"/>
      <c r="H4055" s="100"/>
    </row>
    <row r="4056" spans="3:8" x14ac:dyDescent="0.25">
      <c r="C4056" s="100"/>
      <c r="G4056" s="156"/>
      <c r="H4056" s="100"/>
    </row>
    <row r="4057" spans="3:8" x14ac:dyDescent="0.25">
      <c r="C4057" s="100"/>
      <c r="G4057" s="156"/>
      <c r="H4057" s="100"/>
    </row>
    <row r="4058" spans="3:8" x14ac:dyDescent="0.25">
      <c r="C4058" s="100"/>
      <c r="G4058" s="156"/>
      <c r="H4058" s="100"/>
    </row>
    <row r="4059" spans="3:8" x14ac:dyDescent="0.25">
      <c r="C4059" s="100"/>
      <c r="G4059" s="156"/>
      <c r="H4059" s="100"/>
    </row>
    <row r="4060" spans="3:8" x14ac:dyDescent="0.25">
      <c r="C4060" s="100"/>
      <c r="G4060" s="156"/>
      <c r="H4060" s="100"/>
    </row>
    <row r="4061" spans="3:8" x14ac:dyDescent="0.25">
      <c r="C4061" s="100"/>
      <c r="G4061" s="156"/>
      <c r="H4061" s="100"/>
    </row>
  </sheetData>
  <mergeCells count="61">
    <mergeCell ref="O16:S21"/>
    <mergeCell ref="K11:M11"/>
    <mergeCell ref="K4:M4"/>
    <mergeCell ref="K9:M9"/>
    <mergeCell ref="J1:P1"/>
    <mergeCell ref="K2:M2"/>
    <mergeCell ref="K3:M3"/>
    <mergeCell ref="N4:P4"/>
    <mergeCell ref="N3:P3"/>
    <mergeCell ref="N2:P2"/>
    <mergeCell ref="N6:P6"/>
    <mergeCell ref="K8:M8"/>
    <mergeCell ref="K7:M7"/>
    <mergeCell ref="N9:P9"/>
    <mergeCell ref="N8:P8"/>
    <mergeCell ref="N7:P7"/>
    <mergeCell ref="N5:P5"/>
    <mergeCell ref="B108:C108"/>
    <mergeCell ref="B89:C89"/>
    <mergeCell ref="D23:E24"/>
    <mergeCell ref="H23:I24"/>
    <mergeCell ref="F17:H21"/>
    <mergeCell ref="K25:L25"/>
    <mergeCell ref="B26:C26"/>
    <mergeCell ref="B47:C47"/>
    <mergeCell ref="B68:C68"/>
    <mergeCell ref="K6:M6"/>
    <mergeCell ref="K5:M5"/>
    <mergeCell ref="K10:M10"/>
    <mergeCell ref="K16:N21"/>
    <mergeCell ref="N11:P11"/>
    <mergeCell ref="N10:P10"/>
    <mergeCell ref="M23:O23"/>
    <mergeCell ref="K24:L24"/>
    <mergeCell ref="B623:C623"/>
    <mergeCell ref="B393:C393"/>
    <mergeCell ref="B414:C414"/>
    <mergeCell ref="B433:C433"/>
    <mergeCell ref="B451:C451"/>
    <mergeCell ref="B480:C480"/>
    <mergeCell ref="B498:C498"/>
    <mergeCell ref="B519:C519"/>
    <mergeCell ref="B541:C541"/>
    <mergeCell ref="B565:C565"/>
    <mergeCell ref="B584:C584"/>
    <mergeCell ref="B603:C603"/>
    <mergeCell ref="G1:H1"/>
    <mergeCell ref="B1:D1"/>
    <mergeCell ref="B374:C374"/>
    <mergeCell ref="B148:C148"/>
    <mergeCell ref="B167:C167"/>
    <mergeCell ref="B187:C187"/>
    <mergeCell ref="B210:C210"/>
    <mergeCell ref="B228:C228"/>
    <mergeCell ref="B249:C249"/>
    <mergeCell ref="B269:C269"/>
    <mergeCell ref="B292:C292"/>
    <mergeCell ref="B313:C313"/>
    <mergeCell ref="B333:C333"/>
    <mergeCell ref="B353:C353"/>
    <mergeCell ref="B128:C128"/>
  </mergeCells>
  <conditionalFormatting sqref="E48:F67">
    <cfRule type="colorScale" priority="352">
      <colorScale>
        <cfvo type="min"/>
        <cfvo type="max"/>
        <color rgb="FFFCFCFF"/>
        <color rgb="FF63BE7B"/>
      </colorScale>
    </cfRule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9:F88">
    <cfRule type="colorScale" priority="353">
      <colorScale>
        <cfvo type="min"/>
        <cfvo type="max"/>
        <color rgb="FFFCFCFF"/>
        <color rgb="FF63BE7B"/>
      </colorScale>
    </cfRule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9:F12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E129:F14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E149:F166">
    <cfRule type="colorScale" priority="347">
      <colorScale>
        <cfvo type="min"/>
        <cfvo type="max"/>
        <color rgb="FFFCFCFF"/>
        <color rgb="FF63BE7B"/>
      </colorScale>
    </cfRule>
  </conditionalFormatting>
  <conditionalFormatting sqref="E168:F186">
    <cfRule type="colorScale" priority="346">
      <colorScale>
        <cfvo type="min"/>
        <cfvo type="max"/>
        <color rgb="FFFCFCFF"/>
        <color rgb="FF63BE7B"/>
      </colorScale>
    </cfRule>
  </conditionalFormatting>
  <conditionalFormatting sqref="E270:F29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E293:F312">
    <cfRule type="colorScale" priority="340">
      <colorScale>
        <cfvo type="min"/>
        <cfvo type="max"/>
        <color rgb="FFFCFCFF"/>
        <color rgb="FF63BE7B"/>
      </colorScale>
    </cfRule>
  </conditionalFormatting>
  <conditionalFormatting sqref="E314:F332">
    <cfRule type="colorScale" priority="339">
      <colorScale>
        <cfvo type="min"/>
        <cfvo type="max"/>
        <color rgb="FFFCFCFF"/>
        <color rgb="FF63BE7B"/>
      </colorScale>
    </cfRule>
  </conditionalFormatting>
  <conditionalFormatting sqref="E375:F392">
    <cfRule type="colorScale" priority="336">
      <colorScale>
        <cfvo type="min"/>
        <cfvo type="max"/>
        <color rgb="FFFCFCFF"/>
        <color rgb="FF63BE7B"/>
      </colorScale>
    </cfRule>
  </conditionalFormatting>
  <conditionalFormatting sqref="E394:F41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E415:F432">
    <cfRule type="colorScale" priority="334">
      <colorScale>
        <cfvo type="min"/>
        <cfvo type="max"/>
        <color rgb="FFFCFCFF"/>
        <color rgb="FF63BE7B"/>
      </colorScale>
    </cfRule>
  </conditionalFormatting>
  <conditionalFormatting sqref="E452:F47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E520:F540">
    <cfRule type="colorScale" priority="329">
      <colorScale>
        <cfvo type="min"/>
        <cfvo type="max"/>
        <color rgb="FFFCFCFF"/>
        <color rgb="FF63BE7B"/>
      </colorScale>
    </cfRule>
  </conditionalFormatting>
  <conditionalFormatting sqref="E542:F564">
    <cfRule type="colorScale" priority="328">
      <colorScale>
        <cfvo type="min"/>
        <cfvo type="max"/>
        <color rgb="FFFCFCFF"/>
        <color rgb="FF63BE7B"/>
      </colorScale>
    </cfRule>
  </conditionalFormatting>
  <conditionalFormatting sqref="E566:F583">
    <cfRule type="colorScale" priority="327">
      <colorScale>
        <cfvo type="min"/>
        <cfvo type="max"/>
        <color rgb="FFFCFCFF"/>
        <color rgb="FF63BE7B"/>
      </colorScale>
    </cfRule>
  </conditionalFormatting>
  <conditionalFormatting sqref="E624:F640">
    <cfRule type="colorScale" priority="324">
      <colorScale>
        <cfvo type="min"/>
        <cfvo type="max"/>
        <color rgb="FFFCFCFF"/>
        <color rgb="FF63BE7B"/>
      </colorScale>
    </cfRule>
  </conditionalFormatting>
  <conditionalFormatting sqref="D48:D67">
    <cfRule type="dataBar" priority="31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{26FA3196-F267-46E1-B4AE-DF68CDAAE45D}</x14:id>
        </ext>
      </extLst>
    </cfRule>
  </conditionalFormatting>
  <conditionalFormatting sqref="D69:D88">
    <cfRule type="dataBar" priority="31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{FCC780A1-687C-4683-863B-722B6CC38F60}</x14:id>
        </ext>
      </extLst>
    </cfRule>
  </conditionalFormatting>
  <conditionalFormatting sqref="D109:D127">
    <cfRule type="dataBar" priority="3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{FA41D2B7-7F92-4AF9-BA69-379F49F645AC}</x14:id>
        </ext>
      </extLst>
    </cfRule>
  </conditionalFormatting>
  <conditionalFormatting sqref="D129:D147">
    <cfRule type="dataBar" priority="31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{7C6E6338-08FB-4D74-805D-9BDFEF62567E}</x14:id>
        </ext>
      </extLst>
    </cfRule>
  </conditionalFormatting>
  <conditionalFormatting sqref="D149:D166">
    <cfRule type="dataBar" priority="31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{04043D70-C3D7-4082-81CB-D74E57B50C3E}</x14:id>
        </ext>
      </extLst>
    </cfRule>
  </conditionalFormatting>
  <conditionalFormatting sqref="D168:D186">
    <cfRule type="dataBar" priority="31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{90BE67A4-4391-4E7F-9C9D-923B0D5AE461}</x14:id>
        </ext>
      </extLst>
    </cfRule>
  </conditionalFormatting>
  <conditionalFormatting sqref="D270:D291">
    <cfRule type="dataBar" priority="30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{D74FE240-E8B1-48E0-8FDB-E1E8C0230DE5}</x14:id>
        </ext>
      </extLst>
    </cfRule>
  </conditionalFormatting>
  <conditionalFormatting sqref="D293:D312">
    <cfRule type="dataBar" priority="30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{11D403C0-946F-4441-B84E-BD2E966660B7}</x14:id>
        </ext>
      </extLst>
    </cfRule>
  </conditionalFormatting>
  <conditionalFormatting sqref="D314:D332">
    <cfRule type="dataBar" priority="30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{2B4B266D-406D-4516-AB99-02ABEFEC048C}</x14:id>
        </ext>
      </extLst>
    </cfRule>
  </conditionalFormatting>
  <conditionalFormatting sqref="D375:D392">
    <cfRule type="dataBar" priority="30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{3174920A-1335-448A-A6EB-FC1FF9D3DC74}</x14:id>
        </ext>
      </extLst>
    </cfRule>
  </conditionalFormatting>
  <conditionalFormatting sqref="D394:D413">
    <cfRule type="dataBar" priority="30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{02F7B725-17B6-4145-83F2-840AC10399C5}</x14:id>
        </ext>
      </extLst>
    </cfRule>
  </conditionalFormatting>
  <conditionalFormatting sqref="D415:D432">
    <cfRule type="dataBar" priority="29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{ED8E1561-9D1C-4958-8673-BD9897157FE2}</x14:id>
        </ext>
      </extLst>
    </cfRule>
  </conditionalFormatting>
  <conditionalFormatting sqref="D452:D479">
    <cfRule type="dataBar" priority="29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{340F0872-DF53-4831-A702-0ACE537E467D}</x14:id>
        </ext>
      </extLst>
    </cfRule>
  </conditionalFormatting>
  <conditionalFormatting sqref="D520:D540">
    <cfRule type="dataBar" priority="29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{ACAC7103-0818-44FE-9E1C-6C84C4EE5309}</x14:id>
        </ext>
      </extLst>
    </cfRule>
  </conditionalFormatting>
  <conditionalFormatting sqref="D542:D564">
    <cfRule type="dataBar" priority="29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{84B4D32E-4D4B-4361-859E-0673B41C5A4D}</x14:id>
        </ext>
      </extLst>
    </cfRule>
  </conditionalFormatting>
  <conditionalFormatting sqref="D566:D583">
    <cfRule type="dataBar" priority="29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{A8922ADA-5C03-4E0A-8053-0DE8AD6AA731}</x14:id>
        </ext>
      </extLst>
    </cfRule>
  </conditionalFormatting>
  <conditionalFormatting sqref="D624:D640">
    <cfRule type="dataBar" priority="28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{60802E23-CCBD-4554-9AA7-E214DC0AA730}</x14:id>
        </ext>
      </extLst>
    </cfRule>
  </conditionalFormatting>
  <conditionalFormatting sqref="E27:F46">
    <cfRule type="colorScale" priority="359">
      <colorScale>
        <cfvo type="min"/>
        <cfvo type="max"/>
        <color rgb="FFFCFCFF"/>
        <color rgb="FF63BE7B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:D46">
    <cfRule type="dataBar" priority="36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{4519EF47-C226-496B-A20F-080499AD7F2D}</x14:id>
        </ext>
      </extLst>
    </cfRule>
  </conditionalFormatting>
  <conditionalFormatting sqref="E90:F107">
    <cfRule type="colorScale" priority="362">
      <colorScale>
        <cfvo type="min"/>
        <cfvo type="max"/>
        <color rgb="FFFCFCFF"/>
        <color rgb="FF63BE7B"/>
      </colorScale>
    </cfRule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0:D107">
    <cfRule type="dataBar" priority="36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{794701B0-3977-4020-91B3-BCD0AC996371}</x14:id>
        </ext>
      </extLst>
    </cfRule>
  </conditionalFormatting>
  <conditionalFormatting sqref="M28:M37">
    <cfRule type="colorScale" priority="241">
      <colorScale>
        <cfvo type="min"/>
        <cfvo type="max"/>
        <color rgb="FFFCFCFF"/>
        <color theme="4" tint="0.39997558519241921"/>
      </colorScale>
    </cfRule>
  </conditionalFormatting>
  <conditionalFormatting sqref="D2:D22">
    <cfRule type="colorScale" priority="240">
      <colorScale>
        <cfvo type="min"/>
        <cfvo type="max"/>
        <color rgb="FFFCFCFF"/>
        <color theme="4" tint="-0.249977111117893"/>
      </colorScale>
    </cfRule>
  </conditionalFormatting>
  <conditionalFormatting sqref="M24:O25 M22:O22 N7:N10">
    <cfRule type="colorScale" priority="365">
      <colorScale>
        <cfvo type="min"/>
        <cfvo type="max"/>
        <color rgb="FF63BE7B"/>
        <color rgb="FFFCFCFF"/>
      </colorScale>
    </cfRule>
  </conditionalFormatting>
  <conditionalFormatting sqref="J30:J37 J27 J39 J42:J643">
    <cfRule type="colorScale" priority="239">
      <colorScale>
        <cfvo type="min"/>
        <cfvo type="max"/>
        <color rgb="FFFCFCFF"/>
        <color theme="4" tint="-0.249977111117893"/>
      </colorScale>
    </cfRule>
  </conditionalFormatting>
  <conditionalFormatting sqref="E188:F209">
    <cfRule type="colorScale" priority="366">
      <colorScale>
        <cfvo type="min"/>
        <cfvo type="max"/>
        <color rgb="FFFCFCFF"/>
        <color rgb="FF63BE7B"/>
      </colorScale>
    </cfRule>
  </conditionalFormatting>
  <conditionalFormatting sqref="D188:D209">
    <cfRule type="dataBar" priority="36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{A0C241AB-C89A-4CA5-AD39-78EC1F5199B5}</x14:id>
        </ext>
      </extLst>
    </cfRule>
  </conditionalFormatting>
  <conditionalFormatting sqref="E211:F2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D211:D227">
    <cfRule type="dataBar" priority="37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{9A57966B-B73C-4828-8655-11DAA51730F9}</x14:id>
        </ext>
      </extLst>
    </cfRule>
  </conditionalFormatting>
  <conditionalFormatting sqref="E229:F248">
    <cfRule type="colorScale" priority="371">
      <colorScale>
        <cfvo type="min"/>
        <cfvo type="max"/>
        <color rgb="FFFCFCFF"/>
        <color rgb="FF63BE7B"/>
      </colorScale>
    </cfRule>
  </conditionalFormatting>
  <conditionalFormatting sqref="D229:D248">
    <cfRule type="dataBar" priority="3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{D22F1071-2204-445E-A96D-6384C956B8DD}</x14:id>
        </ext>
      </extLst>
    </cfRule>
  </conditionalFormatting>
  <conditionalFormatting sqref="E250:F268">
    <cfRule type="colorScale" priority="376">
      <colorScale>
        <cfvo type="min"/>
        <cfvo type="max"/>
        <color rgb="FFFCFCFF"/>
        <color rgb="FF63BE7B"/>
      </colorScale>
    </cfRule>
  </conditionalFormatting>
  <conditionalFormatting sqref="D250:D268">
    <cfRule type="dataBar" priority="37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{8DAC99D4-A25A-456F-B1D3-2D36C241A902}</x14:id>
        </ext>
      </extLst>
    </cfRule>
  </conditionalFormatting>
  <conditionalFormatting sqref="E334:F352">
    <cfRule type="colorScale" priority="378">
      <colorScale>
        <cfvo type="min"/>
        <cfvo type="max"/>
        <color rgb="FFFCFCFF"/>
        <color rgb="FF63BE7B"/>
      </colorScale>
    </cfRule>
  </conditionalFormatting>
  <conditionalFormatting sqref="D334:D352">
    <cfRule type="dataBar" priority="37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{D01334F5-8664-4741-97B1-81A950755934}</x14:id>
        </ext>
      </extLst>
    </cfRule>
  </conditionalFormatting>
  <conditionalFormatting sqref="E354:F37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D354:D373">
    <cfRule type="dataBar" priority="38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{83281BAF-3DB7-4E8F-82DF-2BADCFBB5C82}</x14:id>
        </ext>
      </extLst>
    </cfRule>
  </conditionalFormatting>
  <conditionalFormatting sqref="H2:H16">
    <cfRule type="colorScale" priority="237">
      <colorScale>
        <cfvo type="min"/>
        <cfvo type="max"/>
        <color rgb="FFFCFCFF"/>
        <color rgb="FFFF9933"/>
      </colorScale>
    </cfRule>
  </conditionalFormatting>
  <conditionalFormatting sqref="E434:F450">
    <cfRule type="colorScale" priority="382">
      <colorScale>
        <cfvo type="min"/>
        <cfvo type="max"/>
        <color rgb="FFFCFCFF"/>
        <color rgb="FF63BE7B"/>
      </colorScale>
    </cfRule>
  </conditionalFormatting>
  <conditionalFormatting sqref="D434:D450">
    <cfRule type="dataBar" priority="38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{3893AD0D-544E-4233-9500-8B6BD998D81C}</x14:id>
        </ext>
      </extLst>
    </cfRule>
  </conditionalFormatting>
  <conditionalFormatting sqref="E481:F497">
    <cfRule type="colorScale" priority="386">
      <colorScale>
        <cfvo type="min"/>
        <cfvo type="max"/>
        <color rgb="FFFCFCFF"/>
        <color rgb="FF63BE7B"/>
      </colorScale>
    </cfRule>
  </conditionalFormatting>
  <conditionalFormatting sqref="D481:D497">
    <cfRule type="dataBar" priority="38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{027E61D3-9B32-4E6A-B947-33EAC04C6A2A}</x14:id>
        </ext>
      </extLst>
    </cfRule>
  </conditionalFormatting>
  <conditionalFormatting sqref="E499:F518">
    <cfRule type="colorScale" priority="389">
      <colorScale>
        <cfvo type="min"/>
        <cfvo type="max"/>
        <color rgb="FFFCFCFF"/>
        <color rgb="FF63BE7B"/>
      </colorScale>
    </cfRule>
  </conditionalFormatting>
  <conditionalFormatting sqref="D499:D518">
    <cfRule type="dataBar" priority="39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{6A9BADBB-9A57-46DC-BAFF-DEE7AC63B1D0}</x14:id>
        </ext>
      </extLst>
    </cfRule>
  </conditionalFormatting>
  <conditionalFormatting sqref="E585:F602">
    <cfRule type="colorScale" priority="391">
      <colorScale>
        <cfvo type="min"/>
        <cfvo type="max"/>
        <color rgb="FFFCFCFF"/>
        <color rgb="FF63BE7B"/>
      </colorScale>
    </cfRule>
  </conditionalFormatting>
  <conditionalFormatting sqref="D585:D602">
    <cfRule type="dataBar" priority="39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{CAAC6FE4-31EE-42F0-AF7A-0335CD496E3C}</x14:id>
        </ext>
      </extLst>
    </cfRule>
  </conditionalFormatting>
  <conditionalFormatting sqref="E604:F621">
    <cfRule type="colorScale" priority="393">
      <colorScale>
        <cfvo type="min"/>
        <cfvo type="max"/>
        <color rgb="FFFCFCFF"/>
        <color rgb="FF63BE7B"/>
      </colorScale>
    </cfRule>
  </conditionalFormatting>
  <conditionalFormatting sqref="D604:D621">
    <cfRule type="dataBar" priority="39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{87C1E5CB-DCD7-4F09-81A1-2FCA0FD3BC10}</x14:id>
        </ext>
      </extLst>
    </cfRule>
  </conditionalFormatting>
  <conditionalFormatting sqref="I27:I42">
    <cfRule type="colorScale" priority="222">
      <colorScale>
        <cfvo type="min"/>
        <cfvo type="max"/>
        <color rgb="FFFCFCFF"/>
        <color rgb="FF63BE7B"/>
      </colorScale>
    </cfRule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:H42">
    <cfRule type="dataBar" priority="22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{65B6D2C1-AC3B-4B71-8586-C0F091000367}</x14:id>
        </ext>
      </extLst>
    </cfRule>
  </conditionalFormatting>
  <conditionalFormatting sqref="I187:I196">
    <cfRule type="colorScale" priority="158">
      <colorScale>
        <cfvo type="min"/>
        <cfvo type="max"/>
        <color rgb="FFFCFCFF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7:H200">
    <cfRule type="dataBar" priority="16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{464B7140-A998-4759-B5EA-1FF1563E76C9}</x14:id>
        </ext>
      </extLst>
    </cfRule>
  </conditionalFormatting>
  <conditionalFormatting sqref="I43:I58">
    <cfRule type="colorScale" priority="135">
      <colorScale>
        <cfvo type="min"/>
        <cfvo type="max"/>
        <color rgb="FFFCFCFF"/>
        <color rgb="FF63BE7B"/>
      </colorScale>
    </cfRule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3:H58">
    <cfRule type="dataBar" priority="13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{2E3395A5-5F9E-48E2-8674-7734BEAD27F5}</x14:id>
        </ext>
      </extLst>
    </cfRule>
  </conditionalFormatting>
  <conditionalFormatting sqref="I59:I80">
    <cfRule type="colorScale" priority="132">
      <colorScale>
        <cfvo type="min"/>
        <cfvo type="max"/>
        <color rgb="FFFCFCFF"/>
        <color rgb="FF63BE7B"/>
      </colorScale>
    </cfRule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9:H82">
    <cfRule type="dataBar" priority="13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{521D26CF-224D-4702-99B8-2FD8DAA857C0}</x14:id>
        </ext>
      </extLst>
    </cfRule>
  </conditionalFormatting>
  <conditionalFormatting sqref="I81:I90">
    <cfRule type="colorScale" priority="129">
      <colorScale>
        <cfvo type="min"/>
        <cfvo type="max"/>
        <color rgb="FFFCFCFF"/>
        <color rgb="FF63BE7B"/>
      </colorScale>
    </cfRule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3:H90">
    <cfRule type="dataBar" priority="13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{07310ED2-8448-413B-8119-FF21254FBD1C}</x14:id>
        </ext>
      </extLst>
    </cfRule>
  </conditionalFormatting>
  <conditionalFormatting sqref="I91:I106">
    <cfRule type="colorScale" priority="126">
      <colorScale>
        <cfvo type="min"/>
        <cfvo type="max"/>
        <color rgb="FFFCFCFF"/>
        <color rgb="FF63BE7B"/>
      </colorScale>
    </cfRule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1:H106">
    <cfRule type="dataBar" priority="12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{DDDFE7E1-13FF-4773-972D-DE5BF517CDD7}</x14:id>
        </ext>
      </extLst>
    </cfRule>
  </conditionalFormatting>
  <conditionalFormatting sqref="I107:I122">
    <cfRule type="colorScale" priority="123">
      <colorScale>
        <cfvo type="min"/>
        <cfvo type="max"/>
        <color rgb="FFFCFCFF"/>
        <color rgb="FF63BE7B"/>
      </colorScale>
    </cfRule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7:H122">
    <cfRule type="dataBar" priority="12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{E9A3383E-FC51-4AED-A834-79FF7156DB2C}</x14:id>
        </ext>
      </extLst>
    </cfRule>
  </conditionalFormatting>
  <conditionalFormatting sqref="I123:I128">
    <cfRule type="colorScale" priority="120">
      <colorScale>
        <cfvo type="min"/>
        <cfvo type="max"/>
        <color rgb="FFFCFCFF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3:H128">
    <cfRule type="dataBar" priority="12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{6FCBA130-26FB-41AF-94B4-378D3FC0C2D2}</x14:id>
        </ext>
      </extLst>
    </cfRule>
  </conditionalFormatting>
  <conditionalFormatting sqref="I147:I160">
    <cfRule type="colorScale" priority="117">
      <colorScale>
        <cfvo type="min"/>
        <cfvo type="max"/>
        <color rgb="FFFCFCFF"/>
        <color rgb="FF63BE7B"/>
      </colorScale>
    </cfRule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7:H162">
    <cfRule type="dataBar" priority="11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{4AFDADDA-38D4-484E-8111-37031A6EB61D}</x14:id>
        </ext>
      </extLst>
    </cfRule>
  </conditionalFormatting>
  <conditionalFormatting sqref="I161:I178">
    <cfRule type="colorScale" priority="114">
      <colorScale>
        <cfvo type="min"/>
        <cfvo type="max"/>
        <color rgb="FFFCFCFF"/>
        <color rgb="FF63BE7B"/>
      </colorScale>
    </cfRule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3:H179">
    <cfRule type="dataBar" priority="11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{69215E5B-4C6C-4D40-9A1B-89A8DADA1BCA}</x14:id>
        </ext>
      </extLst>
    </cfRule>
  </conditionalFormatting>
  <conditionalFormatting sqref="I179:I186">
    <cfRule type="colorScale" priority="111">
      <colorScale>
        <cfvo type="min"/>
        <cfvo type="max"/>
        <color rgb="FFFCFCFF"/>
        <color rgb="FF63BE7B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0:H186">
    <cfRule type="dataBar" priority="11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{E262E72F-C223-4959-B03C-94190F07C572}</x14:id>
        </ext>
      </extLst>
    </cfRule>
  </conditionalFormatting>
  <conditionalFormatting sqref="I197:I221">
    <cfRule type="colorScale" priority="108">
      <colorScale>
        <cfvo type="min"/>
        <cfvo type="max"/>
        <color rgb="FFFCFCFF"/>
        <color rgb="FF63BE7B"/>
      </colorScale>
    </cfRule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1:H222">
    <cfRule type="dataBar" priority="11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{9EC8015A-065C-4091-AC68-120729EE2D50}</x14:id>
        </ext>
      </extLst>
    </cfRule>
  </conditionalFormatting>
  <conditionalFormatting sqref="I364:I366">
    <cfRule type="colorScale" priority="105">
      <colorScale>
        <cfvo type="min"/>
        <cfvo type="max"/>
        <color rgb="FFFCFCFF"/>
        <color rgb="FF63BE7B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2:I228">
    <cfRule type="colorScale" priority="102">
      <colorScale>
        <cfvo type="min"/>
        <cfvo type="max"/>
        <color rgb="FFFCFCFF"/>
        <color rgb="FF63BE7B"/>
      </colorScale>
    </cfRule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3:H228">
    <cfRule type="dataBar" priority="10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{062FB68B-A0A1-46DA-B0E8-F7BD28488018}</x14:id>
        </ext>
      </extLst>
    </cfRule>
  </conditionalFormatting>
  <conditionalFormatting sqref="I245:I260">
    <cfRule type="colorScale" priority="96">
      <colorScale>
        <cfvo type="min"/>
        <cfvo type="max"/>
        <color rgb="FFFCFCFF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5:H262">
    <cfRule type="dataBar" priority="9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{F792DBA3-E1DE-4081-8F84-6D9C208D8727}</x14:id>
        </ext>
      </extLst>
    </cfRule>
  </conditionalFormatting>
  <conditionalFormatting sqref="I261:I280">
    <cfRule type="colorScale" priority="93">
      <colorScale>
        <cfvo type="min"/>
        <cfvo type="max"/>
        <color rgb="FFFCFCFF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3:H283">
    <cfRule type="dataBar" priority="9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{E54424D8-154A-4621-8DBB-C94C60981337}</x14:id>
        </ext>
      </extLst>
    </cfRule>
  </conditionalFormatting>
  <conditionalFormatting sqref="I281:I292">
    <cfRule type="colorScale" priority="90">
      <colorScale>
        <cfvo type="min"/>
        <cfvo type="max"/>
        <color rgb="FFFCFCFF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4:H292">
    <cfRule type="dataBar" priority="9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{58EC363A-52C0-416A-AC3A-8F46A46FB1FA}</x14:id>
        </ext>
      </extLst>
    </cfRule>
  </conditionalFormatting>
  <conditionalFormatting sqref="I293:I308">
    <cfRule type="colorScale" priority="87">
      <colorScale>
        <cfvo type="min"/>
        <cfvo type="max"/>
        <color rgb="FFFCFCFF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3:H308">
    <cfRule type="dataBar" priority="8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{C6E483B0-CB1C-4803-A8D8-BF5DE145C380}</x14:id>
        </ext>
      </extLst>
    </cfRule>
  </conditionalFormatting>
  <conditionalFormatting sqref="I309:I324">
    <cfRule type="colorScale" priority="84">
      <colorScale>
        <cfvo type="min"/>
        <cfvo type="max"/>
        <color rgb="FFFCFCFF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9:H324">
    <cfRule type="dataBar" priority="8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{6B51FBF5-9D0F-454F-9514-5A634C5206A9}</x14:id>
        </ext>
      </extLst>
    </cfRule>
  </conditionalFormatting>
  <conditionalFormatting sqref="I325:I345">
    <cfRule type="colorScale" priority="81">
      <colorScale>
        <cfvo type="min"/>
        <cfvo type="max"/>
        <color rgb="FFFCFCFF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5:H348">
    <cfRule type="dataBar" priority="8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{CCF17472-24D1-4DDE-B733-8C430963094D}</x14:id>
        </ext>
      </extLst>
    </cfRule>
  </conditionalFormatting>
  <conditionalFormatting sqref="I346:I363">
    <cfRule type="colorScale" priority="78">
      <colorScale>
        <cfvo type="min"/>
        <cfvo type="max"/>
        <color rgb="FFFCFCFF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9:H367">
    <cfRule type="dataBar" priority="8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{E2EE25F7-9961-4464-BA0C-940229AF7594}</x14:id>
        </ext>
      </extLst>
    </cfRule>
  </conditionalFormatting>
  <conditionalFormatting sqref="I367:I387">
    <cfRule type="colorScale" priority="75">
      <colorScale>
        <cfvo type="min"/>
        <cfvo type="max"/>
        <color rgb="FFFCFCFF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68:H388">
    <cfRule type="dataBar" priority="7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{A4FB563E-1CBF-4875-A569-3A8676F81997}</x14:id>
        </ext>
      </extLst>
    </cfRule>
  </conditionalFormatting>
  <conditionalFormatting sqref="I530:I536">
    <cfRule type="colorScale" priority="72">
      <colorScale>
        <cfvo type="min"/>
        <cfvo type="max"/>
        <color rgb="FFFCFCFF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32:H536">
    <cfRule type="dataBar" priority="7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{5A398436-4C54-4D60-A4D6-1E05C5553735}</x14:id>
        </ext>
      </extLst>
    </cfRule>
  </conditionalFormatting>
  <conditionalFormatting sqref="I388:I403">
    <cfRule type="colorScale" priority="69">
      <colorScale>
        <cfvo type="min"/>
        <cfvo type="max"/>
        <color rgb="FFFCFCFF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89:H406">
    <cfRule type="dataBar" priority="7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{819CC36A-1D0D-4D63-8E59-15A7A1025431}</x14:id>
        </ext>
      </extLst>
    </cfRule>
  </conditionalFormatting>
  <conditionalFormatting sqref="I404:I414">
    <cfRule type="colorScale" priority="66">
      <colorScale>
        <cfvo type="min"/>
        <cfvo type="max"/>
        <color rgb="FFFCFCFF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07:H414">
    <cfRule type="dataBar" priority="6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{0E408167-BA5E-4A61-A73C-49D0AB5BDD3E}</x14:id>
        </ext>
      </extLst>
    </cfRule>
  </conditionalFormatting>
  <conditionalFormatting sqref="I415:I430">
    <cfRule type="colorScale" priority="63">
      <colorScale>
        <cfvo type="min"/>
        <cfvo type="max"/>
        <color rgb="FFFCFCFF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5:H430">
    <cfRule type="dataBar" priority="6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{B3030B04-6B63-4D61-9E2A-BE4346818044}</x14:id>
        </ext>
      </extLst>
    </cfRule>
  </conditionalFormatting>
  <conditionalFormatting sqref="I431:I446">
    <cfRule type="colorScale" priority="60">
      <colorScale>
        <cfvo type="min"/>
        <cfvo type="max"/>
        <color rgb="FFFCFCFF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31:H446">
    <cfRule type="dataBar" priority="6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{A5C6C16E-800F-443B-A3E3-7F4BED8A1C66}</x14:id>
        </ext>
      </extLst>
    </cfRule>
  </conditionalFormatting>
  <conditionalFormatting sqref="I447:I462">
    <cfRule type="colorScale" priority="57">
      <colorScale>
        <cfvo type="min"/>
        <cfvo type="max"/>
        <color rgb="FFFCFCFF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47:H464">
    <cfRule type="dataBar" priority="5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{8440C696-4DA3-4194-8B66-93AC4ABB9C0A}</x14:id>
        </ext>
      </extLst>
    </cfRule>
  </conditionalFormatting>
  <conditionalFormatting sqref="I463:I478">
    <cfRule type="colorScale" priority="54">
      <colorScale>
        <cfvo type="min"/>
        <cfvo type="max"/>
        <color rgb="FFFCFCFF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65:H478">
    <cfRule type="dataBar" priority="5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{A68C3AB4-1CE2-4F41-9A79-2FDC2E3B1319}</x14:id>
        </ext>
      </extLst>
    </cfRule>
  </conditionalFormatting>
  <conditionalFormatting sqref="I479:I494">
    <cfRule type="colorScale" priority="51">
      <colorScale>
        <cfvo type="min"/>
        <cfvo type="max"/>
        <color rgb="FFFCFCFF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79:H494">
    <cfRule type="dataBar" priority="5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{E10FF662-530A-4328-A90A-9010AF443EFC}</x14:id>
        </ext>
      </extLst>
    </cfRule>
  </conditionalFormatting>
  <conditionalFormatting sqref="I495:I510">
    <cfRule type="colorScale" priority="48">
      <colorScale>
        <cfvo type="min"/>
        <cfvo type="max"/>
        <color rgb="FFFCFCFF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5:H515">
    <cfRule type="dataBar" priority="5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{FA625A40-7E7A-4C4E-8E8E-BACF9A10D2CE}</x14:id>
        </ext>
      </extLst>
    </cfRule>
  </conditionalFormatting>
  <conditionalFormatting sqref="I511:I529">
    <cfRule type="colorScale" priority="45">
      <colorScale>
        <cfvo type="min"/>
        <cfvo type="max"/>
        <color rgb="FFFCFCFF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16:H531">
    <cfRule type="dataBar" priority="4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{98ECF1AC-DC1D-4537-9DF7-ECD107D7240A}</x14:id>
        </ext>
      </extLst>
    </cfRule>
  </conditionalFormatting>
  <conditionalFormatting sqref="I537:I553">
    <cfRule type="colorScale" priority="42">
      <colorScale>
        <cfvo type="min"/>
        <cfvo type="max"/>
        <color rgb="FFFCFCFF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37:H554">
    <cfRule type="dataBar" priority="4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{BEBFD97F-CA69-4ADF-B7B4-7448035FBC59}</x14:id>
        </ext>
      </extLst>
    </cfRule>
  </conditionalFormatting>
  <conditionalFormatting sqref="I697:I706">
    <cfRule type="colorScale" priority="39">
      <colorScale>
        <cfvo type="min"/>
        <cfvo type="max"/>
        <color rgb="FFFCFCFF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97:H706">
    <cfRule type="dataBar" priority="4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{F095A149-DAA8-4599-AA85-7EFDE380D67E}</x14:id>
        </ext>
      </extLst>
    </cfRule>
  </conditionalFormatting>
  <conditionalFormatting sqref="I554:I575">
    <cfRule type="colorScale" priority="36">
      <colorScale>
        <cfvo type="min"/>
        <cfvo type="max"/>
        <color rgb="FFFCFCFF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55:H575">
    <cfRule type="dataBar" priority="3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{84CFCD40-78E8-4A2C-B041-A2A6560D5831}</x14:id>
        </ext>
      </extLst>
    </cfRule>
  </conditionalFormatting>
  <conditionalFormatting sqref="I576:I584">
    <cfRule type="colorScale" priority="33">
      <colorScale>
        <cfvo type="min"/>
        <cfvo type="max"/>
        <color rgb="FFFCFCFF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76:H584">
    <cfRule type="dataBar" priority="3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{48A8D826-D102-491C-AE76-3D29477023A8}</x14:id>
        </ext>
      </extLst>
    </cfRule>
  </conditionalFormatting>
  <conditionalFormatting sqref="I585:I600">
    <cfRule type="colorScale" priority="30">
      <colorScale>
        <cfvo type="min"/>
        <cfvo type="max"/>
        <color rgb="FFFCFCFF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85:H600">
    <cfRule type="dataBar" priority="3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{3F8CCDC5-F94A-4F1E-B6C7-493F537961E3}</x14:id>
        </ext>
      </extLst>
    </cfRule>
  </conditionalFormatting>
  <conditionalFormatting sqref="I601:I616">
    <cfRule type="colorScale" priority="27">
      <colorScale>
        <cfvo type="min"/>
        <cfvo type="max"/>
        <color rgb="FFFCFCFF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01:H616">
    <cfRule type="dataBar" priority="2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{5A5B4B9D-5655-4028-873C-A2443D5E781B}</x14:id>
        </ext>
      </extLst>
    </cfRule>
  </conditionalFormatting>
  <conditionalFormatting sqref="I617:I633">
    <cfRule type="colorScale" priority="24">
      <colorScale>
        <cfvo type="min"/>
        <cfvo type="max"/>
        <color rgb="FFFCFCFF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7:H633">
    <cfRule type="dataBar" priority="2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{DC317A3B-806F-4072-B714-6F74DDA92303}</x14:id>
        </ext>
      </extLst>
    </cfRule>
  </conditionalFormatting>
  <conditionalFormatting sqref="I634:I648">
    <cfRule type="colorScale" priority="21">
      <colorScale>
        <cfvo type="min"/>
        <cfvo type="max"/>
        <color rgb="FFFCFCFF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34:H648">
    <cfRule type="dataBar" priority="2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{915961CA-5734-41D0-A877-89377F4D8D8D}</x14:id>
        </ext>
      </extLst>
    </cfRule>
  </conditionalFormatting>
  <conditionalFormatting sqref="I649:I664">
    <cfRule type="colorScale" priority="18">
      <colorScale>
        <cfvo type="min"/>
        <cfvo type="max"/>
        <color rgb="FFFCFCFF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9:H664">
    <cfRule type="dataBar" priority="2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{4B2EA6CB-587B-4FE8-A4C0-C1E87ACC262D}</x14:id>
        </ext>
      </extLst>
    </cfRule>
  </conditionalFormatting>
  <conditionalFormatting sqref="I665:I680">
    <cfRule type="colorScale" priority="15">
      <colorScale>
        <cfvo type="min"/>
        <cfvo type="max"/>
        <color rgb="FFFCFCFF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65:H680">
    <cfRule type="dataBar" priority="1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{7D1BF4F1-6EDF-4738-9671-BBCD24A049CC}</x14:id>
        </ext>
      </extLst>
    </cfRule>
  </conditionalFormatting>
  <conditionalFormatting sqref="I681:I696">
    <cfRule type="colorScale" priority="12">
      <colorScale>
        <cfvo type="min"/>
        <cfvo type="max"/>
        <color rgb="FFFCFCFF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81:H696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{D7C990FC-3A44-4975-AF5F-39F0C269BE2E}</x14:id>
        </ext>
      </extLst>
    </cfRule>
  </conditionalFormatting>
  <conditionalFormatting sqref="I229:I244">
    <cfRule type="colorScale" priority="8">
      <colorScale>
        <cfvo type="min"/>
        <cfvo type="max"/>
        <color rgb="FFFCFCFF"/>
        <color rgb="FF63BE7B"/>
      </colorScale>
    </cfRule>
  </conditionalFormatting>
  <conditionalFormatting sqref="H229:H244">
    <cfRule type="dataBar" priority="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{E90379B1-4583-46F0-A098-32AD1D3D9B80}</x14:id>
        </ext>
      </extLst>
    </cfRule>
  </conditionalFormatting>
  <conditionalFormatting sqref="I129:I141">
    <cfRule type="colorScale" priority="5">
      <colorScale>
        <cfvo type="min"/>
        <cfvo type="max"/>
        <color rgb="FFFCFCFF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9:H141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{C70F9295-37F8-4251-96CB-482AF3A02411}</x14:id>
        </ext>
      </extLst>
    </cfRule>
  </conditionalFormatting>
  <conditionalFormatting sqref="I142:I146">
    <cfRule type="colorScale" priority="2">
      <colorScale>
        <cfvo type="min"/>
        <cfvo type="max"/>
        <color rgb="FFFCFCFF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2:H146">
    <cfRule type="dataBar" priority="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{A0D4342A-5E3F-4FE0-801B-22FE6D5361FC}</x14:id>
        </ext>
      </extLst>
    </cfRule>
  </conditionalFormatting>
  <dataValidations disablePrompts="1" count="1">
    <dataValidation type="list" allowBlank="1" showInputMessage="1" showErrorMessage="1" sqref="C24:C25">
      <formula1>liste1</formula1>
    </dataValidation>
  </dataValidations>
  <hyperlinks>
    <hyperlink ref="F17:H21" location="'Player Rank'!statistics" display="Pour voir le classement complet, sélectionner la feuille de calcul &quot;Player Rank&quot;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FA3196-F267-46E1-B4AE-DF68CDAAE4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D48:D67</xm:sqref>
        </x14:conditionalFormatting>
        <x14:conditionalFormatting xmlns:xm="http://schemas.microsoft.com/office/excel/2006/main">
          <x14:cfRule type="dataBar" id="{FCC780A1-687C-4683-863B-722B6CC38F60}">
            <x14:dataBar minLength="0" maxLength="100" gradient="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D69:D88</xm:sqref>
        </x14:conditionalFormatting>
        <x14:conditionalFormatting xmlns:xm="http://schemas.microsoft.com/office/excel/2006/main">
          <x14:cfRule type="dataBar" id="{FA41D2B7-7F92-4AF9-BA69-379F49F645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D109:D127</xm:sqref>
        </x14:conditionalFormatting>
        <x14:conditionalFormatting xmlns:xm="http://schemas.microsoft.com/office/excel/2006/main">
          <x14:cfRule type="dataBar" id="{7C6E6338-08FB-4D74-805D-9BDFEF6256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D129:D147</xm:sqref>
        </x14:conditionalFormatting>
        <x14:conditionalFormatting xmlns:xm="http://schemas.microsoft.com/office/excel/2006/main">
          <x14:cfRule type="dataBar" id="{04043D70-C3D7-4082-81CB-D74E57B50C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D149:D166</xm:sqref>
        </x14:conditionalFormatting>
        <x14:conditionalFormatting xmlns:xm="http://schemas.microsoft.com/office/excel/2006/main">
          <x14:cfRule type="dataBar" id="{90BE67A4-4391-4E7F-9C9D-923B0D5AE4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D168:D186</xm:sqref>
        </x14:conditionalFormatting>
        <x14:conditionalFormatting xmlns:xm="http://schemas.microsoft.com/office/excel/2006/main">
          <x14:cfRule type="dataBar" id="{D74FE240-E8B1-48E0-8FDB-E1E8C0230D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D270:D291</xm:sqref>
        </x14:conditionalFormatting>
        <x14:conditionalFormatting xmlns:xm="http://schemas.microsoft.com/office/excel/2006/main">
          <x14:cfRule type="dataBar" id="{11D403C0-946F-4441-B84E-BD2E966660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D293:D312</xm:sqref>
        </x14:conditionalFormatting>
        <x14:conditionalFormatting xmlns:xm="http://schemas.microsoft.com/office/excel/2006/main">
          <x14:cfRule type="dataBar" id="{2B4B266D-406D-4516-AB99-02ABEFEC04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D314:D332</xm:sqref>
        </x14:conditionalFormatting>
        <x14:conditionalFormatting xmlns:xm="http://schemas.microsoft.com/office/excel/2006/main">
          <x14:cfRule type="dataBar" id="{3174920A-1335-448A-A6EB-FC1FF9D3DC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D375:D392</xm:sqref>
        </x14:conditionalFormatting>
        <x14:conditionalFormatting xmlns:xm="http://schemas.microsoft.com/office/excel/2006/main">
          <x14:cfRule type="dataBar" id="{02F7B725-17B6-4145-83F2-840AC10399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D394:D413</xm:sqref>
        </x14:conditionalFormatting>
        <x14:conditionalFormatting xmlns:xm="http://schemas.microsoft.com/office/excel/2006/main">
          <x14:cfRule type="dataBar" id="{ED8E1561-9D1C-4958-8673-BD9897157F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D415:D432</xm:sqref>
        </x14:conditionalFormatting>
        <x14:conditionalFormatting xmlns:xm="http://schemas.microsoft.com/office/excel/2006/main">
          <x14:cfRule type="dataBar" id="{340F0872-DF53-4831-A702-0ACE537E46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D452:D479</xm:sqref>
        </x14:conditionalFormatting>
        <x14:conditionalFormatting xmlns:xm="http://schemas.microsoft.com/office/excel/2006/main">
          <x14:cfRule type="dataBar" id="{ACAC7103-0818-44FE-9E1C-6C84C4EE53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D520:D540</xm:sqref>
        </x14:conditionalFormatting>
        <x14:conditionalFormatting xmlns:xm="http://schemas.microsoft.com/office/excel/2006/main">
          <x14:cfRule type="dataBar" id="{84B4D32E-4D4B-4361-859E-0673B41C5A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D542:D564</xm:sqref>
        </x14:conditionalFormatting>
        <x14:conditionalFormatting xmlns:xm="http://schemas.microsoft.com/office/excel/2006/main">
          <x14:cfRule type="dataBar" id="{A8922ADA-5C03-4E0A-8053-0DE8AD6AA7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D566:D583</xm:sqref>
        </x14:conditionalFormatting>
        <x14:conditionalFormatting xmlns:xm="http://schemas.microsoft.com/office/excel/2006/main">
          <x14:cfRule type="dataBar" id="{60802E23-CCBD-4554-9AA7-E214DC0AA7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D624:D640</xm:sqref>
        </x14:conditionalFormatting>
        <x14:conditionalFormatting xmlns:xm="http://schemas.microsoft.com/office/excel/2006/main">
          <x14:cfRule type="dataBar" id="{4519EF47-C226-496B-A20F-080499AD7F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D27:D46</xm:sqref>
        </x14:conditionalFormatting>
        <x14:conditionalFormatting xmlns:xm="http://schemas.microsoft.com/office/excel/2006/main">
          <x14:cfRule type="dataBar" id="{794701B0-3977-4020-91B3-BCD0AC9963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D90:D107</xm:sqref>
        </x14:conditionalFormatting>
        <x14:conditionalFormatting xmlns:xm="http://schemas.microsoft.com/office/excel/2006/main">
          <x14:cfRule type="dataBar" id="{A0C241AB-C89A-4CA5-AD39-78EC1F5199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D188:D209</xm:sqref>
        </x14:conditionalFormatting>
        <x14:conditionalFormatting xmlns:xm="http://schemas.microsoft.com/office/excel/2006/main">
          <x14:cfRule type="dataBar" id="{9A57966B-B73C-4828-8655-11DAA51730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D211:D227</xm:sqref>
        </x14:conditionalFormatting>
        <x14:conditionalFormatting xmlns:xm="http://schemas.microsoft.com/office/excel/2006/main">
          <x14:cfRule type="dataBar" id="{D22F1071-2204-445E-A96D-6384C956B8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D229:D248</xm:sqref>
        </x14:conditionalFormatting>
        <x14:conditionalFormatting xmlns:xm="http://schemas.microsoft.com/office/excel/2006/main">
          <x14:cfRule type="dataBar" id="{8DAC99D4-A25A-456F-B1D3-2D36C241A9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D250:D268</xm:sqref>
        </x14:conditionalFormatting>
        <x14:conditionalFormatting xmlns:xm="http://schemas.microsoft.com/office/excel/2006/main">
          <x14:cfRule type="dataBar" id="{D01334F5-8664-4741-97B1-81A9507559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D334:D352</xm:sqref>
        </x14:conditionalFormatting>
        <x14:conditionalFormatting xmlns:xm="http://schemas.microsoft.com/office/excel/2006/main">
          <x14:cfRule type="dataBar" id="{83281BAF-3DB7-4E8F-82DF-2BADCFBB5C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D354:D373</xm:sqref>
        </x14:conditionalFormatting>
        <x14:conditionalFormatting xmlns:xm="http://schemas.microsoft.com/office/excel/2006/main">
          <x14:cfRule type="dataBar" id="{3893AD0D-544E-4233-9500-8B6BD998D8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D434:D450</xm:sqref>
        </x14:conditionalFormatting>
        <x14:conditionalFormatting xmlns:xm="http://schemas.microsoft.com/office/excel/2006/main">
          <x14:cfRule type="dataBar" id="{027E61D3-9B32-4E6A-B947-33EAC04C6A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D481:D497</xm:sqref>
        </x14:conditionalFormatting>
        <x14:conditionalFormatting xmlns:xm="http://schemas.microsoft.com/office/excel/2006/main">
          <x14:cfRule type="dataBar" id="{6A9BADBB-9A57-46DC-BAFF-DEE7AC63B1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D499:D518</xm:sqref>
        </x14:conditionalFormatting>
        <x14:conditionalFormatting xmlns:xm="http://schemas.microsoft.com/office/excel/2006/main">
          <x14:cfRule type="dataBar" id="{CAAC6FE4-31EE-42F0-AF7A-0335CD496E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D585:D602</xm:sqref>
        </x14:conditionalFormatting>
        <x14:conditionalFormatting xmlns:xm="http://schemas.microsoft.com/office/excel/2006/main">
          <x14:cfRule type="dataBar" id="{87C1E5CB-DCD7-4F09-81A1-2FCA0FD3BC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D604:D621</xm:sqref>
        </x14:conditionalFormatting>
        <x14:conditionalFormatting xmlns:xm="http://schemas.microsoft.com/office/excel/2006/main">
          <x14:cfRule type="dataBar" id="{65B6D2C1-AC3B-4B71-8586-C0F0910003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H27:H42</xm:sqref>
        </x14:conditionalFormatting>
        <x14:conditionalFormatting xmlns:xm="http://schemas.microsoft.com/office/excel/2006/main">
          <x14:cfRule type="dataBar" id="{464B7140-A998-4759-B5EA-1FF1563E76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H187:H200</xm:sqref>
        </x14:conditionalFormatting>
        <x14:conditionalFormatting xmlns:xm="http://schemas.microsoft.com/office/excel/2006/main">
          <x14:cfRule type="dataBar" id="{2E3395A5-5F9E-48E2-8674-7734BEAD27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H43:H58</xm:sqref>
        </x14:conditionalFormatting>
        <x14:conditionalFormatting xmlns:xm="http://schemas.microsoft.com/office/excel/2006/main">
          <x14:cfRule type="dataBar" id="{521D26CF-224D-4702-99B8-2FD8DAA85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H59:H82</xm:sqref>
        </x14:conditionalFormatting>
        <x14:conditionalFormatting xmlns:xm="http://schemas.microsoft.com/office/excel/2006/main">
          <x14:cfRule type="dataBar" id="{07310ED2-8448-413B-8119-FF21254FBD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H83:H90</xm:sqref>
        </x14:conditionalFormatting>
        <x14:conditionalFormatting xmlns:xm="http://schemas.microsoft.com/office/excel/2006/main">
          <x14:cfRule type="dataBar" id="{DDDFE7E1-13FF-4773-972D-DE5BF517C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H91:H106</xm:sqref>
        </x14:conditionalFormatting>
        <x14:conditionalFormatting xmlns:xm="http://schemas.microsoft.com/office/excel/2006/main">
          <x14:cfRule type="dataBar" id="{E9A3383E-FC51-4AED-A834-79FF7156D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H107:H122</xm:sqref>
        </x14:conditionalFormatting>
        <x14:conditionalFormatting xmlns:xm="http://schemas.microsoft.com/office/excel/2006/main">
          <x14:cfRule type="dataBar" id="{6FCBA130-26FB-41AF-94B4-378D3FC0C2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H123:H128</xm:sqref>
        </x14:conditionalFormatting>
        <x14:conditionalFormatting xmlns:xm="http://schemas.microsoft.com/office/excel/2006/main">
          <x14:cfRule type="dataBar" id="{4AFDADDA-38D4-484E-8111-37031A6EB6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H147:H162</xm:sqref>
        </x14:conditionalFormatting>
        <x14:conditionalFormatting xmlns:xm="http://schemas.microsoft.com/office/excel/2006/main">
          <x14:cfRule type="dataBar" id="{69215E5B-4C6C-4D40-9A1B-89A8DADA1B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H163:H179</xm:sqref>
        </x14:conditionalFormatting>
        <x14:conditionalFormatting xmlns:xm="http://schemas.microsoft.com/office/excel/2006/main">
          <x14:cfRule type="dataBar" id="{E262E72F-C223-4959-B03C-94190F07C5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H180:H186</xm:sqref>
        </x14:conditionalFormatting>
        <x14:conditionalFormatting xmlns:xm="http://schemas.microsoft.com/office/excel/2006/main">
          <x14:cfRule type="dataBar" id="{9EC8015A-065C-4091-AC68-120729EE2D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H201:H222</xm:sqref>
        </x14:conditionalFormatting>
        <x14:conditionalFormatting xmlns:xm="http://schemas.microsoft.com/office/excel/2006/main">
          <x14:cfRule type="dataBar" id="{062FB68B-A0A1-46DA-B0E8-F7BD284880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H223:H228</xm:sqref>
        </x14:conditionalFormatting>
        <x14:conditionalFormatting xmlns:xm="http://schemas.microsoft.com/office/excel/2006/main">
          <x14:cfRule type="dataBar" id="{F792DBA3-E1DE-4081-8F84-6D9C208D87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H245:H262</xm:sqref>
        </x14:conditionalFormatting>
        <x14:conditionalFormatting xmlns:xm="http://schemas.microsoft.com/office/excel/2006/main">
          <x14:cfRule type="dataBar" id="{E54424D8-154A-4621-8DBB-C94C609813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H263:H283</xm:sqref>
        </x14:conditionalFormatting>
        <x14:conditionalFormatting xmlns:xm="http://schemas.microsoft.com/office/excel/2006/main">
          <x14:cfRule type="dataBar" id="{58EC363A-52C0-416A-AC3A-8F46A46FB1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H284:H292</xm:sqref>
        </x14:conditionalFormatting>
        <x14:conditionalFormatting xmlns:xm="http://schemas.microsoft.com/office/excel/2006/main">
          <x14:cfRule type="dataBar" id="{C6E483B0-CB1C-4803-A8D8-BF5DE145C3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H293:H308</xm:sqref>
        </x14:conditionalFormatting>
        <x14:conditionalFormatting xmlns:xm="http://schemas.microsoft.com/office/excel/2006/main">
          <x14:cfRule type="dataBar" id="{6B51FBF5-9D0F-454F-9514-5A634C520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H309:H324</xm:sqref>
        </x14:conditionalFormatting>
        <x14:conditionalFormatting xmlns:xm="http://schemas.microsoft.com/office/excel/2006/main">
          <x14:cfRule type="dataBar" id="{CCF17472-24D1-4DDE-B733-8C43096309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H325:H348</xm:sqref>
        </x14:conditionalFormatting>
        <x14:conditionalFormatting xmlns:xm="http://schemas.microsoft.com/office/excel/2006/main">
          <x14:cfRule type="dataBar" id="{E2EE25F7-9961-4464-BA0C-940229AF75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H349:H367</xm:sqref>
        </x14:conditionalFormatting>
        <x14:conditionalFormatting xmlns:xm="http://schemas.microsoft.com/office/excel/2006/main">
          <x14:cfRule type="dataBar" id="{A4FB563E-1CBF-4875-A569-3A8676F819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H368:H388</xm:sqref>
        </x14:conditionalFormatting>
        <x14:conditionalFormatting xmlns:xm="http://schemas.microsoft.com/office/excel/2006/main">
          <x14:cfRule type="dataBar" id="{5A398436-4C54-4D60-A4D6-1E05C55537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H532:H536</xm:sqref>
        </x14:conditionalFormatting>
        <x14:conditionalFormatting xmlns:xm="http://schemas.microsoft.com/office/excel/2006/main">
          <x14:cfRule type="dataBar" id="{819CC36A-1D0D-4D63-8E59-15A7A10254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H389:H406</xm:sqref>
        </x14:conditionalFormatting>
        <x14:conditionalFormatting xmlns:xm="http://schemas.microsoft.com/office/excel/2006/main">
          <x14:cfRule type="dataBar" id="{0E408167-BA5E-4A61-A73C-49D0AB5BDD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H407:H414</xm:sqref>
        </x14:conditionalFormatting>
        <x14:conditionalFormatting xmlns:xm="http://schemas.microsoft.com/office/excel/2006/main">
          <x14:cfRule type="dataBar" id="{B3030B04-6B63-4D61-9E2A-BE43468180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H415:H430</xm:sqref>
        </x14:conditionalFormatting>
        <x14:conditionalFormatting xmlns:xm="http://schemas.microsoft.com/office/excel/2006/main">
          <x14:cfRule type="dataBar" id="{A5C6C16E-800F-443B-A3E3-7F4BED8A1C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H431:H446</xm:sqref>
        </x14:conditionalFormatting>
        <x14:conditionalFormatting xmlns:xm="http://schemas.microsoft.com/office/excel/2006/main">
          <x14:cfRule type="dataBar" id="{8440C696-4DA3-4194-8B66-93AC4ABB9C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H447:H464</xm:sqref>
        </x14:conditionalFormatting>
        <x14:conditionalFormatting xmlns:xm="http://schemas.microsoft.com/office/excel/2006/main">
          <x14:cfRule type="dataBar" id="{A68C3AB4-1CE2-4F41-9A79-2FDC2E3B13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H465:H478</xm:sqref>
        </x14:conditionalFormatting>
        <x14:conditionalFormatting xmlns:xm="http://schemas.microsoft.com/office/excel/2006/main">
          <x14:cfRule type="dataBar" id="{E10FF662-530A-4328-A90A-9010AF443E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H479:H494</xm:sqref>
        </x14:conditionalFormatting>
        <x14:conditionalFormatting xmlns:xm="http://schemas.microsoft.com/office/excel/2006/main">
          <x14:cfRule type="dataBar" id="{FA625A40-7E7A-4C4E-8E8E-BACF9A10D2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H495:H515</xm:sqref>
        </x14:conditionalFormatting>
        <x14:conditionalFormatting xmlns:xm="http://schemas.microsoft.com/office/excel/2006/main">
          <x14:cfRule type="dataBar" id="{98ECF1AC-DC1D-4537-9DF7-ECD107D72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H516:H531</xm:sqref>
        </x14:conditionalFormatting>
        <x14:conditionalFormatting xmlns:xm="http://schemas.microsoft.com/office/excel/2006/main">
          <x14:cfRule type="dataBar" id="{BEBFD97F-CA69-4ADF-B7B4-7448035FBC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H537:H554</xm:sqref>
        </x14:conditionalFormatting>
        <x14:conditionalFormatting xmlns:xm="http://schemas.microsoft.com/office/excel/2006/main">
          <x14:cfRule type="dataBar" id="{F095A149-DAA8-4599-AA85-7EFDE380D6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H697:H706</xm:sqref>
        </x14:conditionalFormatting>
        <x14:conditionalFormatting xmlns:xm="http://schemas.microsoft.com/office/excel/2006/main">
          <x14:cfRule type="dataBar" id="{84CFCD40-78E8-4A2C-B041-A2A6560D58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H555:H575</xm:sqref>
        </x14:conditionalFormatting>
        <x14:conditionalFormatting xmlns:xm="http://schemas.microsoft.com/office/excel/2006/main">
          <x14:cfRule type="dataBar" id="{48A8D826-D102-491C-AE76-3D29477023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H576:H584</xm:sqref>
        </x14:conditionalFormatting>
        <x14:conditionalFormatting xmlns:xm="http://schemas.microsoft.com/office/excel/2006/main">
          <x14:cfRule type="dataBar" id="{3F8CCDC5-F94A-4F1E-B6C7-493F53796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H585:H600</xm:sqref>
        </x14:conditionalFormatting>
        <x14:conditionalFormatting xmlns:xm="http://schemas.microsoft.com/office/excel/2006/main">
          <x14:cfRule type="dataBar" id="{5A5B4B9D-5655-4028-873C-A2443D5E78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H601:H616</xm:sqref>
        </x14:conditionalFormatting>
        <x14:conditionalFormatting xmlns:xm="http://schemas.microsoft.com/office/excel/2006/main">
          <x14:cfRule type="dataBar" id="{DC317A3B-806F-4072-B714-6F74DDA923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H617:H633</xm:sqref>
        </x14:conditionalFormatting>
        <x14:conditionalFormatting xmlns:xm="http://schemas.microsoft.com/office/excel/2006/main">
          <x14:cfRule type="dataBar" id="{915961CA-5734-41D0-A877-89377F4D8D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H634:H648</xm:sqref>
        </x14:conditionalFormatting>
        <x14:conditionalFormatting xmlns:xm="http://schemas.microsoft.com/office/excel/2006/main">
          <x14:cfRule type="dataBar" id="{4B2EA6CB-587B-4FE8-A4C0-C1E87ACC26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H649:H664</xm:sqref>
        </x14:conditionalFormatting>
        <x14:conditionalFormatting xmlns:xm="http://schemas.microsoft.com/office/excel/2006/main">
          <x14:cfRule type="dataBar" id="{7D1BF4F1-6EDF-4738-9671-BBCD24A049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H665:H680</xm:sqref>
        </x14:conditionalFormatting>
        <x14:conditionalFormatting xmlns:xm="http://schemas.microsoft.com/office/excel/2006/main">
          <x14:cfRule type="dataBar" id="{D7C990FC-3A44-4975-AF5F-39F0C269BE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H681:H696</xm:sqref>
        </x14:conditionalFormatting>
        <x14:conditionalFormatting xmlns:xm="http://schemas.microsoft.com/office/excel/2006/main">
          <x14:cfRule type="dataBar" id="{E90379B1-4583-46F0-A098-32AD1D3D9B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H229:H244</xm:sqref>
        </x14:conditionalFormatting>
        <x14:conditionalFormatting xmlns:xm="http://schemas.microsoft.com/office/excel/2006/main">
          <x14:cfRule type="dataBar" id="{C70F9295-37F8-4251-96CB-482AF3A024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H129:H141</xm:sqref>
        </x14:conditionalFormatting>
        <x14:conditionalFormatting xmlns:xm="http://schemas.microsoft.com/office/excel/2006/main">
          <x14:cfRule type="dataBar" id="{A0D4342A-5E3F-4FE0-801B-22FE6D5361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H142:H146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NZ300"/>
  <sheetViews>
    <sheetView zoomScale="59" zoomScaleNormal="59" zoomScalePageLayoutView="59" workbookViewId="0">
      <selection activeCell="NL143" sqref="NL143"/>
    </sheetView>
  </sheetViews>
  <sheetFormatPr baseColWidth="10" defaultRowHeight="15.75" x14ac:dyDescent="0.25"/>
  <cols>
    <col min="1" max="1" width="24.125" bestFit="1" customWidth="1"/>
    <col min="2" max="2" width="6" customWidth="1"/>
    <col min="3" max="3" width="5.625" customWidth="1"/>
    <col min="4" max="5" width="5.625" hidden="1" customWidth="1"/>
    <col min="6" max="6" width="5.125" hidden="1" customWidth="1"/>
    <col min="7" max="7" width="5.625" hidden="1" customWidth="1"/>
    <col min="8" max="9" width="4.625" hidden="1" customWidth="1"/>
    <col min="10" max="10" width="5.625" hidden="1" customWidth="1"/>
    <col min="11" max="12" width="4.625" hidden="1" customWidth="1"/>
    <col min="13" max="14" width="5.625" hidden="1" customWidth="1"/>
    <col min="15" max="15" width="7.125" customWidth="1"/>
    <col min="16" max="16" width="24.125" bestFit="1" customWidth="1"/>
    <col min="17" max="17" width="6" customWidth="1"/>
    <col min="18" max="18" width="5.625" customWidth="1"/>
    <col min="19" max="20" width="5.625" hidden="1" customWidth="1"/>
    <col min="21" max="22" width="5.125" hidden="1" customWidth="1"/>
    <col min="23" max="24" width="4.625" hidden="1" customWidth="1"/>
    <col min="25" max="25" width="5.625" hidden="1" customWidth="1"/>
    <col min="26" max="27" width="4.625" hidden="1" customWidth="1"/>
    <col min="28" max="29" width="5.625" hidden="1" customWidth="1"/>
    <col min="30" max="30" width="7.125" customWidth="1"/>
    <col min="31" max="31" width="26" customWidth="1"/>
    <col min="32" max="32" width="6" customWidth="1"/>
    <col min="33" max="33" width="5.625" customWidth="1"/>
    <col min="34" max="35" width="4.625" hidden="1" customWidth="1"/>
    <col min="36" max="36" width="5.125" hidden="1" customWidth="1"/>
    <col min="37" max="37" width="5.625" hidden="1" customWidth="1"/>
    <col min="38" max="42" width="4.625" hidden="1" customWidth="1"/>
    <col min="43" max="44" width="5.625" hidden="1" customWidth="1"/>
    <col min="45" max="45" width="7.125" customWidth="1"/>
    <col min="46" max="46" width="19.375" bestFit="1" customWidth="1"/>
    <col min="47" max="47" width="4.875" customWidth="1"/>
    <col min="48" max="48" width="4.625" customWidth="1"/>
    <col min="49" max="50" width="5.625" hidden="1" customWidth="1"/>
    <col min="51" max="51" width="5.125" hidden="1" customWidth="1"/>
    <col min="52" max="52" width="5.625" hidden="1" customWidth="1"/>
    <col min="53" max="54" width="4.625" hidden="1" customWidth="1"/>
    <col min="55" max="55" width="5.625" hidden="1" customWidth="1"/>
    <col min="56" max="57" width="4.625" hidden="1" customWidth="1"/>
    <col min="58" max="59" width="5.625" hidden="1" customWidth="1"/>
    <col min="60" max="60" width="5.625" customWidth="1"/>
    <col min="61" max="61" width="24.125" bestFit="1" customWidth="1"/>
    <col min="62" max="62" width="6" customWidth="1"/>
    <col min="63" max="63" width="5.625" customWidth="1"/>
    <col min="64" max="65" width="5.625" hidden="1" customWidth="1"/>
    <col min="66" max="66" width="5.125" hidden="1" customWidth="1"/>
    <col min="67" max="67" width="5.625" hidden="1" customWidth="1"/>
    <col min="68" max="69" width="4.625" hidden="1" customWidth="1"/>
    <col min="70" max="70" width="5.625" hidden="1" customWidth="1"/>
    <col min="71" max="72" width="4.625" hidden="1" customWidth="1"/>
    <col min="73" max="74" width="5.625" hidden="1" customWidth="1"/>
    <col min="75" max="75" width="7.125" customWidth="1"/>
    <col min="76" max="76" width="24.125" bestFit="1" customWidth="1"/>
    <col min="77" max="77" width="6" customWidth="1"/>
    <col min="78" max="78" width="5.625" customWidth="1"/>
    <col min="79" max="80" width="5.625" hidden="1" customWidth="1"/>
    <col min="81" max="82" width="5.125" hidden="1" customWidth="1"/>
    <col min="83" max="84" width="4.625" hidden="1" customWidth="1"/>
    <col min="85" max="85" width="5.625" hidden="1" customWidth="1"/>
    <col min="86" max="87" width="4.625" hidden="1" customWidth="1"/>
    <col min="88" max="89" width="5.625" hidden="1" customWidth="1"/>
    <col min="90" max="90" width="7.125" customWidth="1"/>
    <col min="91" max="91" width="24.125" bestFit="1" customWidth="1"/>
    <col min="92" max="92" width="6" customWidth="1"/>
    <col min="93" max="93" width="5.625" customWidth="1"/>
    <col min="94" max="94" width="5.625" hidden="1" customWidth="1"/>
    <col min="95" max="95" width="5.875" hidden="1" customWidth="1"/>
    <col min="96" max="97" width="6.875" hidden="1" customWidth="1"/>
    <col min="98" max="99" width="5.875" hidden="1" customWidth="1"/>
    <col min="100" max="100" width="5.625" hidden="1" customWidth="1"/>
    <col min="101" max="101" width="5.875" hidden="1" customWidth="1"/>
    <col min="102" max="103" width="5.625" hidden="1" customWidth="1"/>
    <col min="104" max="104" width="6.125" hidden="1" customWidth="1"/>
    <col min="105" max="105" width="7.125" customWidth="1"/>
    <col min="106" max="106" width="27" bestFit="1" customWidth="1"/>
    <col min="107" max="107" width="6" customWidth="1"/>
    <col min="108" max="108" width="5.625" customWidth="1"/>
    <col min="109" max="109" width="5.625" hidden="1" customWidth="1"/>
    <col min="110" max="110" width="5.875" hidden="1" customWidth="1"/>
    <col min="111" max="112" width="6.875" hidden="1" customWidth="1"/>
    <col min="113" max="114" width="5.875" hidden="1" customWidth="1"/>
    <col min="115" max="115" width="5.625" hidden="1" customWidth="1"/>
    <col min="116" max="116" width="5.875" hidden="1" customWidth="1"/>
    <col min="117" max="118" width="5.625" hidden="1" customWidth="1"/>
    <col min="119" max="119" width="6.125" hidden="1" customWidth="1"/>
    <col min="120" max="120" width="7.125" customWidth="1"/>
    <col min="121" max="121" width="24.125" bestFit="1" customWidth="1"/>
    <col min="122" max="122" width="6" customWidth="1"/>
    <col min="123" max="123" width="5.625" customWidth="1"/>
    <col min="124" max="124" width="5.625" hidden="1" customWidth="1"/>
    <col min="125" max="125" width="5.875" hidden="1" customWidth="1"/>
    <col min="126" max="127" width="6.875" hidden="1" customWidth="1"/>
    <col min="128" max="129" width="5.875" hidden="1" customWidth="1"/>
    <col min="130" max="130" width="5.625" hidden="1" customWidth="1"/>
    <col min="131" max="131" width="5.875" hidden="1" customWidth="1"/>
    <col min="132" max="133" width="5.625" hidden="1" customWidth="1"/>
    <col min="134" max="134" width="6.125" hidden="1" customWidth="1"/>
    <col min="135" max="135" width="7.125" customWidth="1"/>
    <col min="136" max="136" width="24.125" bestFit="1" customWidth="1"/>
    <col min="137" max="137" width="6" customWidth="1"/>
    <col min="138" max="138" width="5.625" customWidth="1"/>
    <col min="139" max="139" width="5.625" hidden="1" customWidth="1"/>
    <col min="140" max="140" width="5.875" hidden="1" customWidth="1"/>
    <col min="141" max="142" width="6.875" hidden="1" customWidth="1"/>
    <col min="143" max="144" width="5.875" hidden="1" customWidth="1"/>
    <col min="145" max="145" width="5.625" hidden="1" customWidth="1"/>
    <col min="146" max="146" width="5.875" hidden="1" customWidth="1"/>
    <col min="147" max="148" width="5.625" hidden="1" customWidth="1"/>
    <col min="149" max="149" width="6.125" hidden="1" customWidth="1"/>
    <col min="150" max="150" width="7.125" customWidth="1"/>
    <col min="151" max="151" width="25.625" bestFit="1" customWidth="1"/>
    <col min="152" max="152" width="6" customWidth="1"/>
    <col min="153" max="153" width="5.625" customWidth="1"/>
    <col min="154" max="154" width="5.625" hidden="1" customWidth="1"/>
    <col min="155" max="155" width="5.875" hidden="1" customWidth="1"/>
    <col min="156" max="157" width="6.875" hidden="1" customWidth="1"/>
    <col min="158" max="159" width="5.875" hidden="1" customWidth="1"/>
    <col min="160" max="160" width="5.625" hidden="1" customWidth="1"/>
    <col min="161" max="161" width="5.875" hidden="1" customWidth="1"/>
    <col min="162" max="163" width="5.625" hidden="1" customWidth="1"/>
    <col min="164" max="164" width="6.125" hidden="1" customWidth="1"/>
    <col min="165" max="165" width="7.125" customWidth="1"/>
    <col min="166" max="166" width="28.625" bestFit="1" customWidth="1"/>
    <col min="167" max="167" width="6" customWidth="1"/>
    <col min="168" max="168" width="5.625" customWidth="1"/>
    <col min="169" max="169" width="5.625" hidden="1" customWidth="1"/>
    <col min="170" max="170" width="5.875" hidden="1" customWidth="1"/>
    <col min="171" max="172" width="6.875" hidden="1" customWidth="1"/>
    <col min="173" max="174" width="5.875" hidden="1" customWidth="1"/>
    <col min="175" max="175" width="5.625" hidden="1" customWidth="1"/>
    <col min="176" max="176" width="5.875" hidden="1" customWidth="1"/>
    <col min="177" max="178" width="5.625" hidden="1" customWidth="1"/>
    <col min="179" max="179" width="6.125" hidden="1" customWidth="1"/>
    <col min="180" max="180" width="7.125" customWidth="1"/>
    <col min="181" max="181" width="24.125" bestFit="1" customWidth="1"/>
    <col min="182" max="182" width="6" customWidth="1"/>
    <col min="183" max="183" width="5.625" customWidth="1"/>
    <col min="184" max="184" width="5.625" hidden="1" customWidth="1"/>
    <col min="185" max="185" width="5.875" hidden="1" customWidth="1"/>
    <col min="186" max="187" width="6.875" hidden="1" customWidth="1"/>
    <col min="188" max="189" width="5.875" hidden="1" customWidth="1"/>
    <col min="190" max="190" width="5.625" hidden="1" customWidth="1"/>
    <col min="191" max="191" width="5.875" hidden="1" customWidth="1"/>
    <col min="192" max="193" width="5.625" hidden="1" customWidth="1"/>
    <col min="194" max="194" width="6.125" hidden="1" customWidth="1"/>
    <col min="195" max="195" width="7.125" customWidth="1"/>
    <col min="196" max="196" width="24.125" bestFit="1" customWidth="1"/>
    <col min="197" max="197" width="6" customWidth="1"/>
    <col min="198" max="198" width="5.625" customWidth="1"/>
    <col min="199" max="199" width="5.625" hidden="1" customWidth="1"/>
    <col min="200" max="200" width="5.875" hidden="1" customWidth="1"/>
    <col min="201" max="202" width="6.875" hidden="1" customWidth="1"/>
    <col min="203" max="204" width="5.875" hidden="1" customWidth="1"/>
    <col min="205" max="205" width="5.625" hidden="1" customWidth="1"/>
    <col min="206" max="206" width="5.875" hidden="1" customWidth="1"/>
    <col min="207" max="208" width="5.625" hidden="1" customWidth="1"/>
    <col min="209" max="209" width="6.125" hidden="1" customWidth="1"/>
    <col min="210" max="210" width="7.125" customWidth="1"/>
    <col min="211" max="211" width="24.125" bestFit="1" customWidth="1"/>
    <col min="212" max="212" width="6" customWidth="1"/>
    <col min="213" max="213" width="5.625" customWidth="1"/>
    <col min="214" max="214" width="5.625" hidden="1" customWidth="1"/>
    <col min="215" max="215" width="5.875" hidden="1" customWidth="1"/>
    <col min="216" max="217" width="6.875" hidden="1" customWidth="1"/>
    <col min="218" max="219" width="5.875" hidden="1" customWidth="1"/>
    <col min="220" max="220" width="5.625" hidden="1" customWidth="1"/>
    <col min="221" max="221" width="5.875" hidden="1" customWidth="1"/>
    <col min="222" max="223" width="5.625" hidden="1" customWidth="1"/>
    <col min="224" max="224" width="6.125" hidden="1" customWidth="1"/>
    <col min="225" max="225" width="7.125" customWidth="1"/>
    <col min="226" max="226" width="24.125" bestFit="1" customWidth="1"/>
    <col min="227" max="227" width="6" customWidth="1"/>
    <col min="228" max="228" width="5.625" customWidth="1"/>
    <col min="229" max="229" width="5.625" hidden="1" customWidth="1"/>
    <col min="230" max="230" width="5.875" hidden="1" customWidth="1"/>
    <col min="231" max="232" width="6.875" hidden="1" customWidth="1"/>
    <col min="233" max="234" width="5.875" hidden="1" customWidth="1"/>
    <col min="235" max="235" width="5.625" hidden="1" customWidth="1"/>
    <col min="236" max="236" width="5.875" hidden="1" customWidth="1"/>
    <col min="237" max="238" width="5.625" hidden="1" customWidth="1"/>
    <col min="239" max="239" width="6.125" hidden="1" customWidth="1"/>
    <col min="240" max="240" width="7.125" customWidth="1"/>
    <col min="241" max="241" width="24.125" bestFit="1" customWidth="1"/>
    <col min="242" max="242" width="6" customWidth="1"/>
    <col min="243" max="243" width="5.625" customWidth="1"/>
    <col min="244" max="244" width="5.625" hidden="1" customWidth="1"/>
    <col min="245" max="245" width="5.875" hidden="1" customWidth="1"/>
    <col min="246" max="247" width="6.875" hidden="1" customWidth="1"/>
    <col min="248" max="249" width="5.875" hidden="1" customWidth="1"/>
    <col min="250" max="250" width="5.625" hidden="1" customWidth="1"/>
    <col min="251" max="251" width="5.875" hidden="1" customWidth="1"/>
    <col min="252" max="253" width="5.625" hidden="1" customWidth="1"/>
    <col min="254" max="254" width="6.125" hidden="1" customWidth="1"/>
    <col min="255" max="255" width="7.125" customWidth="1"/>
    <col min="256" max="256" width="26.875" bestFit="1" customWidth="1"/>
    <col min="257" max="257" width="6" customWidth="1"/>
    <col min="258" max="258" width="5.625" customWidth="1"/>
    <col min="259" max="259" width="5.625" hidden="1" customWidth="1"/>
    <col min="260" max="260" width="5.875" hidden="1" customWidth="1"/>
    <col min="261" max="262" width="6.875" hidden="1" customWidth="1"/>
    <col min="263" max="264" width="5.875" hidden="1" customWidth="1"/>
    <col min="265" max="265" width="5.625" hidden="1" customWidth="1"/>
    <col min="266" max="266" width="5.875" hidden="1" customWidth="1"/>
    <col min="267" max="268" width="5.625" hidden="1" customWidth="1"/>
    <col min="269" max="269" width="6.125" hidden="1" customWidth="1"/>
    <col min="270" max="270" width="7.125" customWidth="1"/>
    <col min="271" max="271" width="24.125" bestFit="1" customWidth="1"/>
    <col min="272" max="272" width="6" customWidth="1"/>
    <col min="273" max="273" width="5.625" customWidth="1"/>
    <col min="274" max="274" width="5.625" hidden="1" customWidth="1"/>
    <col min="275" max="275" width="5.875" hidden="1" customWidth="1"/>
    <col min="276" max="277" width="6.875" hidden="1" customWidth="1"/>
    <col min="278" max="279" width="5.875" hidden="1" customWidth="1"/>
    <col min="280" max="280" width="5.625" hidden="1" customWidth="1"/>
    <col min="281" max="281" width="5.875" hidden="1" customWidth="1"/>
    <col min="282" max="283" width="5.625" hidden="1" customWidth="1"/>
    <col min="284" max="284" width="6.125" hidden="1" customWidth="1"/>
    <col min="285" max="285" width="7.125" customWidth="1"/>
    <col min="286" max="286" width="24.125" bestFit="1" customWidth="1"/>
    <col min="287" max="287" width="6" customWidth="1"/>
    <col min="288" max="288" width="5.625" customWidth="1"/>
    <col min="289" max="289" width="5.625" hidden="1" customWidth="1"/>
    <col min="290" max="290" width="5.875" hidden="1" customWidth="1"/>
    <col min="291" max="292" width="6.875" hidden="1" customWidth="1"/>
    <col min="293" max="294" width="5.875" hidden="1" customWidth="1"/>
    <col min="295" max="295" width="5.625" hidden="1" customWidth="1"/>
    <col min="296" max="296" width="5.875" hidden="1" customWidth="1"/>
    <col min="297" max="298" width="5.625" hidden="1" customWidth="1"/>
    <col min="299" max="299" width="6.125" hidden="1" customWidth="1"/>
    <col min="300" max="300" width="7.125" customWidth="1"/>
    <col min="301" max="301" width="24.125" bestFit="1" customWidth="1"/>
    <col min="302" max="302" width="6" customWidth="1"/>
    <col min="303" max="303" width="5.625" customWidth="1"/>
    <col min="304" max="304" width="5.625" hidden="1" customWidth="1"/>
    <col min="305" max="305" width="5.875" hidden="1" customWidth="1"/>
    <col min="306" max="307" width="6.875" hidden="1" customWidth="1"/>
    <col min="308" max="309" width="5.875" hidden="1" customWidth="1"/>
    <col min="310" max="310" width="5.625" hidden="1" customWidth="1"/>
    <col min="311" max="311" width="5.875" hidden="1" customWidth="1"/>
    <col min="312" max="313" width="5.625" hidden="1" customWidth="1"/>
    <col min="314" max="314" width="6.125" hidden="1" customWidth="1"/>
    <col min="315" max="315" width="7.125" customWidth="1"/>
    <col min="316" max="316" width="24.125" bestFit="1" customWidth="1"/>
    <col min="317" max="317" width="6" customWidth="1"/>
    <col min="318" max="318" width="5.625" customWidth="1"/>
    <col min="319" max="319" width="5.625" hidden="1" customWidth="1"/>
    <col min="320" max="320" width="5.875" hidden="1" customWidth="1"/>
    <col min="321" max="322" width="6.875" hidden="1" customWidth="1"/>
    <col min="323" max="324" width="5.875" hidden="1" customWidth="1"/>
    <col min="325" max="325" width="5.625" hidden="1" customWidth="1"/>
    <col min="326" max="326" width="5.875" hidden="1" customWidth="1"/>
    <col min="327" max="328" width="5.625" hidden="1" customWidth="1"/>
    <col min="329" max="329" width="6.125" hidden="1" customWidth="1"/>
    <col min="330" max="330" width="7.125" customWidth="1"/>
    <col min="331" max="331" width="24.125" bestFit="1" customWidth="1"/>
    <col min="332" max="332" width="6" customWidth="1"/>
    <col min="333" max="333" width="5.625" customWidth="1"/>
    <col min="334" max="334" width="5.625" hidden="1" customWidth="1"/>
    <col min="335" max="335" width="5.875" hidden="1" customWidth="1"/>
    <col min="336" max="337" width="6.875" hidden="1" customWidth="1"/>
    <col min="338" max="339" width="5.875" hidden="1" customWidth="1"/>
    <col min="340" max="340" width="5.625" hidden="1" customWidth="1"/>
    <col min="341" max="341" width="5.875" hidden="1" customWidth="1"/>
    <col min="342" max="343" width="5.625" hidden="1" customWidth="1"/>
    <col min="344" max="344" width="6.125" hidden="1" customWidth="1"/>
    <col min="345" max="345" width="7.125" customWidth="1"/>
    <col min="346" max="346" width="24.125" bestFit="1" customWidth="1"/>
    <col min="347" max="347" width="6" customWidth="1"/>
    <col min="348" max="348" width="5.625" customWidth="1"/>
    <col min="349" max="349" width="5.625" hidden="1" customWidth="1"/>
    <col min="350" max="350" width="5.875" hidden="1" customWidth="1"/>
    <col min="351" max="352" width="6.875" hidden="1" customWidth="1"/>
    <col min="353" max="354" width="5.875" hidden="1" customWidth="1"/>
    <col min="355" max="355" width="5.625" hidden="1" customWidth="1"/>
    <col min="356" max="356" width="5.875" hidden="1" customWidth="1"/>
    <col min="357" max="358" width="5.625" hidden="1" customWidth="1"/>
    <col min="359" max="359" width="6.125" hidden="1" customWidth="1"/>
    <col min="360" max="360" width="7.125" customWidth="1"/>
    <col min="361" max="361" width="24.125" bestFit="1" customWidth="1"/>
    <col min="362" max="362" width="6" customWidth="1"/>
    <col min="363" max="363" width="5.625" customWidth="1"/>
    <col min="364" max="364" width="5.625" hidden="1" customWidth="1"/>
    <col min="365" max="365" width="5.875" hidden="1" customWidth="1"/>
    <col min="366" max="367" width="6.875" hidden="1" customWidth="1"/>
    <col min="368" max="369" width="5.875" hidden="1" customWidth="1"/>
    <col min="370" max="370" width="5.625" hidden="1" customWidth="1"/>
    <col min="371" max="371" width="5.875" hidden="1" customWidth="1"/>
    <col min="372" max="373" width="5.625" hidden="1" customWidth="1"/>
    <col min="374" max="374" width="6.125" hidden="1" customWidth="1"/>
    <col min="375" max="375" width="7.125" customWidth="1"/>
    <col min="376" max="376" width="24.125" bestFit="1" customWidth="1"/>
    <col min="377" max="377" width="6" customWidth="1"/>
    <col min="378" max="378" width="5.625" customWidth="1"/>
    <col min="379" max="379" width="5.625" hidden="1" customWidth="1"/>
    <col min="380" max="380" width="5.875" hidden="1" customWidth="1"/>
    <col min="381" max="382" width="6.875" hidden="1" customWidth="1"/>
    <col min="383" max="384" width="5.875" hidden="1" customWidth="1"/>
    <col min="385" max="385" width="5.625" hidden="1" customWidth="1"/>
    <col min="386" max="386" width="5.875" hidden="1" customWidth="1"/>
    <col min="387" max="388" width="5.625" hidden="1" customWidth="1"/>
    <col min="389" max="389" width="6.125" hidden="1" customWidth="1"/>
    <col min="390" max="390" width="7.125" customWidth="1"/>
  </cols>
  <sheetData>
    <row r="1" spans="1:376" x14ac:dyDescent="0.25">
      <c r="A1" s="451" t="s">
        <v>1210</v>
      </c>
      <c r="B1" s="451"/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  <c r="P1" s="451"/>
      <c r="Q1" s="451"/>
      <c r="R1" s="451"/>
      <c r="S1" s="451"/>
      <c r="T1" s="451"/>
      <c r="U1" s="451"/>
      <c r="V1" s="451"/>
      <c r="W1" s="451"/>
      <c r="X1" s="451"/>
      <c r="Y1" s="451"/>
      <c r="Z1" s="451"/>
      <c r="AA1" s="451"/>
      <c r="AB1" s="451"/>
      <c r="AC1" s="451"/>
      <c r="AD1" s="451"/>
      <c r="AE1" s="451"/>
      <c r="AF1" s="451"/>
      <c r="AG1" s="451"/>
      <c r="AH1" s="451"/>
      <c r="AI1" s="451"/>
      <c r="AJ1" s="451"/>
      <c r="AK1" s="451"/>
      <c r="AL1" s="451"/>
      <c r="AM1" s="451"/>
      <c r="AN1" s="451"/>
      <c r="AO1" s="451"/>
      <c r="AP1" s="451"/>
      <c r="AQ1" s="451"/>
      <c r="AR1" s="451"/>
      <c r="AS1" s="451"/>
      <c r="AT1" s="451"/>
      <c r="AU1" s="451"/>
      <c r="AV1" s="451"/>
      <c r="AW1" s="451"/>
      <c r="AX1" s="451"/>
      <c r="AY1" s="451"/>
      <c r="AZ1" s="451"/>
      <c r="BA1" s="451"/>
      <c r="BB1" s="451"/>
      <c r="BC1" s="451"/>
      <c r="BD1" s="451"/>
      <c r="BE1" s="451"/>
      <c r="BF1" s="451"/>
      <c r="BG1" s="451"/>
      <c r="BH1" s="451"/>
      <c r="BI1" s="451"/>
      <c r="BJ1" s="451"/>
      <c r="BK1" s="451"/>
      <c r="BL1" s="451"/>
      <c r="BM1" s="451"/>
      <c r="BN1" s="451"/>
      <c r="BO1" s="451"/>
      <c r="BP1" s="451"/>
      <c r="BQ1" s="451"/>
      <c r="BR1" s="451"/>
      <c r="BS1" s="451"/>
      <c r="BT1" s="451"/>
      <c r="BU1" s="451"/>
      <c r="BV1" s="451"/>
      <c r="BW1" s="451"/>
      <c r="BX1" s="451"/>
    </row>
    <row r="2" spans="1:376" s="167" customFormat="1" x14ac:dyDescent="0.25">
      <c r="A2" s="167" t="s">
        <v>674</v>
      </c>
      <c r="P2" s="167" t="s">
        <v>744</v>
      </c>
      <c r="AE2" s="167" t="s">
        <v>723</v>
      </c>
      <c r="AT2" s="167" t="s">
        <v>741</v>
      </c>
      <c r="BI2" s="167" t="s">
        <v>753</v>
      </c>
      <c r="BX2" s="167" t="s">
        <v>742</v>
      </c>
      <c r="CM2" s="167" t="s">
        <v>721</v>
      </c>
      <c r="DB2" s="167" t="s">
        <v>722</v>
      </c>
      <c r="DQ2" s="167" t="s">
        <v>733</v>
      </c>
      <c r="EF2" s="167" t="s">
        <v>749</v>
      </c>
      <c r="EU2" s="167" t="s">
        <v>738</v>
      </c>
      <c r="FJ2" s="167" t="s">
        <v>728</v>
      </c>
      <c r="FY2" s="167" t="s">
        <v>750</v>
      </c>
      <c r="GN2" s="167" t="s">
        <v>729</v>
      </c>
      <c r="HC2" s="167" t="s">
        <v>745</v>
      </c>
      <c r="HR2" s="167" t="s">
        <v>751</v>
      </c>
      <c r="IG2" s="167" t="s">
        <v>734</v>
      </c>
      <c r="IV2" s="167" t="s">
        <v>730</v>
      </c>
      <c r="JK2" s="167" t="s">
        <v>739</v>
      </c>
      <c r="JZ2" s="167" t="s">
        <v>752</v>
      </c>
      <c r="KO2" s="167" t="s">
        <v>740</v>
      </c>
      <c r="LD2" s="167" t="s">
        <v>735</v>
      </c>
      <c r="LS2" s="167" t="s">
        <v>724</v>
      </c>
      <c r="MH2" s="167" t="s">
        <v>746</v>
      </c>
      <c r="MW2" s="167" t="s">
        <v>747</v>
      </c>
      <c r="NL2" s="167" t="s">
        <v>725</v>
      </c>
    </row>
    <row r="3" spans="1:376" ht="15.75" hidden="1" customHeight="1" x14ac:dyDescent="0.25"/>
    <row r="4" spans="1:376" ht="15.75" hidden="1" customHeight="1" x14ac:dyDescent="0.25">
      <c r="A4" t="s">
        <v>675</v>
      </c>
      <c r="P4" t="s">
        <v>1438</v>
      </c>
      <c r="AE4" t="s">
        <v>1436</v>
      </c>
      <c r="AT4" t="s">
        <v>1093</v>
      </c>
      <c r="BI4" t="s">
        <v>1129</v>
      </c>
      <c r="BX4" t="s">
        <v>1437</v>
      </c>
      <c r="CM4" t="s">
        <v>1441</v>
      </c>
      <c r="DB4" t="s">
        <v>1436</v>
      </c>
      <c r="DQ4" t="s">
        <v>1498</v>
      </c>
      <c r="EF4" t="s">
        <v>1526</v>
      </c>
      <c r="EU4" t="s">
        <v>1093</v>
      </c>
      <c r="FJ4" t="s">
        <v>1574</v>
      </c>
      <c r="FY4" t="s">
        <v>1526</v>
      </c>
      <c r="GN4" t="s">
        <v>675</v>
      </c>
      <c r="HC4" t="s">
        <v>1644</v>
      </c>
      <c r="HR4" t="s">
        <v>1129</v>
      </c>
      <c r="IG4" t="s">
        <v>1498</v>
      </c>
      <c r="IV4" t="s">
        <v>1574</v>
      </c>
      <c r="JK4" t="s">
        <v>1437</v>
      </c>
      <c r="JZ4" t="s">
        <v>1526</v>
      </c>
      <c r="KO4" t="s">
        <v>1093</v>
      </c>
      <c r="LD4" t="s">
        <v>1768</v>
      </c>
      <c r="LS4" t="s">
        <v>1436</v>
      </c>
      <c r="MH4" t="s">
        <v>1438</v>
      </c>
      <c r="MW4" t="s">
        <v>1644</v>
      </c>
      <c r="NL4" t="s">
        <v>1441</v>
      </c>
    </row>
    <row r="5" spans="1:376" ht="15.75" hidden="1" customHeight="1" x14ac:dyDescent="0.25"/>
    <row r="6" spans="1:376" ht="15.75" hidden="1" customHeight="1" x14ac:dyDescent="0.25">
      <c r="A6" t="s">
        <v>676</v>
      </c>
      <c r="P6" t="s">
        <v>676</v>
      </c>
      <c r="AE6" t="s">
        <v>676</v>
      </c>
      <c r="AT6" t="s">
        <v>676</v>
      </c>
      <c r="BI6" t="s">
        <v>676</v>
      </c>
      <c r="BX6" t="s">
        <v>676</v>
      </c>
      <c r="CM6" t="s">
        <v>676</v>
      </c>
      <c r="DB6" t="s">
        <v>676</v>
      </c>
      <c r="DQ6" t="s">
        <v>676</v>
      </c>
      <c r="EF6" t="s">
        <v>676</v>
      </c>
      <c r="EU6" t="s">
        <v>676</v>
      </c>
      <c r="FJ6" t="s">
        <v>676</v>
      </c>
      <c r="FY6" t="s">
        <v>676</v>
      </c>
      <c r="GN6" t="s">
        <v>676</v>
      </c>
      <c r="HC6" t="s">
        <v>676</v>
      </c>
      <c r="HR6" t="s">
        <v>676</v>
      </c>
      <c r="IG6" t="s">
        <v>676</v>
      </c>
      <c r="IV6" t="s">
        <v>676</v>
      </c>
      <c r="JK6" t="s">
        <v>676</v>
      </c>
      <c r="JZ6" t="s">
        <v>676</v>
      </c>
      <c r="KO6" t="s">
        <v>676</v>
      </c>
      <c r="LD6" t="s">
        <v>676</v>
      </c>
      <c r="LS6" t="s">
        <v>676</v>
      </c>
      <c r="MH6" t="s">
        <v>676</v>
      </c>
      <c r="MW6" t="s">
        <v>676</v>
      </c>
      <c r="NL6" t="s">
        <v>676</v>
      </c>
    </row>
    <row r="7" spans="1:376" ht="15.75" hidden="1" customHeight="1" x14ac:dyDescent="0.25">
      <c r="A7" t="s">
        <v>677</v>
      </c>
      <c r="P7" t="s">
        <v>677</v>
      </c>
      <c r="AE7" t="s">
        <v>677</v>
      </c>
      <c r="AT7" t="s">
        <v>677</v>
      </c>
      <c r="BI7" t="s">
        <v>677</v>
      </c>
      <c r="BX7" t="s">
        <v>677</v>
      </c>
      <c r="CM7" t="s">
        <v>677</v>
      </c>
      <c r="DB7" t="s">
        <v>677</v>
      </c>
      <c r="DQ7" t="s">
        <v>677</v>
      </c>
      <c r="EF7" t="s">
        <v>677</v>
      </c>
      <c r="EU7" t="s">
        <v>677</v>
      </c>
      <c r="FJ7" t="s">
        <v>677</v>
      </c>
      <c r="FY7" t="s">
        <v>677</v>
      </c>
      <c r="GN7" t="s">
        <v>677</v>
      </c>
      <c r="HC7" t="s">
        <v>677</v>
      </c>
      <c r="HR7" t="s">
        <v>677</v>
      </c>
      <c r="IG7" t="s">
        <v>677</v>
      </c>
      <c r="IV7" t="s">
        <v>677</v>
      </c>
      <c r="JK7" t="s">
        <v>677</v>
      </c>
      <c r="JZ7" t="s">
        <v>677</v>
      </c>
      <c r="KO7" t="s">
        <v>677</v>
      </c>
      <c r="LD7" t="s">
        <v>677</v>
      </c>
      <c r="LS7" t="s">
        <v>677</v>
      </c>
      <c r="MH7" t="s">
        <v>677</v>
      </c>
      <c r="MW7" t="s">
        <v>677</v>
      </c>
      <c r="NL7" t="s">
        <v>677</v>
      </c>
    </row>
    <row r="8" spans="1:376" ht="15.75" hidden="1" customHeight="1" x14ac:dyDescent="0.25">
      <c r="A8" t="s">
        <v>678</v>
      </c>
      <c r="P8" t="s">
        <v>678</v>
      </c>
      <c r="AE8" t="s">
        <v>678</v>
      </c>
      <c r="AT8" t="s">
        <v>678</v>
      </c>
      <c r="BI8" t="s">
        <v>678</v>
      </c>
      <c r="BX8" t="s">
        <v>678</v>
      </c>
      <c r="CM8" t="s">
        <v>678</v>
      </c>
      <c r="DB8" t="s">
        <v>678</v>
      </c>
      <c r="DQ8" t="s">
        <v>678</v>
      </c>
      <c r="EF8" t="s">
        <v>678</v>
      </c>
      <c r="EU8" t="s">
        <v>678</v>
      </c>
      <c r="FJ8" t="s">
        <v>678</v>
      </c>
      <c r="FY8" t="s">
        <v>678</v>
      </c>
      <c r="GN8" t="s">
        <v>678</v>
      </c>
      <c r="HC8" t="s">
        <v>678</v>
      </c>
      <c r="HR8" t="s">
        <v>678</v>
      </c>
      <c r="IG8" t="s">
        <v>678</v>
      </c>
      <c r="IV8" t="s">
        <v>678</v>
      </c>
      <c r="JK8" t="s">
        <v>678</v>
      </c>
      <c r="JZ8" t="s">
        <v>678</v>
      </c>
      <c r="KO8" t="s">
        <v>678</v>
      </c>
      <c r="LD8" t="s">
        <v>678</v>
      </c>
      <c r="LS8" t="s">
        <v>678</v>
      </c>
      <c r="MH8" t="s">
        <v>678</v>
      </c>
      <c r="MW8" t="s">
        <v>678</v>
      </c>
      <c r="NL8" t="s">
        <v>678</v>
      </c>
    </row>
    <row r="9" spans="1:376" ht="15.75" hidden="1" customHeight="1" x14ac:dyDescent="0.25">
      <c r="A9" t="s">
        <v>679</v>
      </c>
      <c r="P9" t="s">
        <v>679</v>
      </c>
      <c r="AE9" t="s">
        <v>679</v>
      </c>
      <c r="AT9" t="s">
        <v>679</v>
      </c>
      <c r="BI9" t="s">
        <v>679</v>
      </c>
      <c r="BX9" t="s">
        <v>679</v>
      </c>
      <c r="CM9" t="s">
        <v>679</v>
      </c>
      <c r="DB9" t="s">
        <v>679</v>
      </c>
      <c r="DQ9" t="s">
        <v>679</v>
      </c>
      <c r="EF9" t="s">
        <v>679</v>
      </c>
      <c r="EU9" t="s">
        <v>679</v>
      </c>
      <c r="FJ9" t="s">
        <v>679</v>
      </c>
      <c r="FY9" t="s">
        <v>679</v>
      </c>
      <c r="GN9" t="s">
        <v>679</v>
      </c>
      <c r="HC9" t="s">
        <v>679</v>
      </c>
      <c r="HR9" t="s">
        <v>679</v>
      </c>
      <c r="IG9" t="s">
        <v>679</v>
      </c>
      <c r="IV9" t="s">
        <v>679</v>
      </c>
      <c r="JK9" t="s">
        <v>679</v>
      </c>
      <c r="JZ9" t="s">
        <v>679</v>
      </c>
      <c r="KO9" t="s">
        <v>679</v>
      </c>
      <c r="LD9" t="s">
        <v>679</v>
      </c>
      <c r="LS9" t="s">
        <v>679</v>
      </c>
      <c r="MH9" t="s">
        <v>679</v>
      </c>
      <c r="MW9" t="s">
        <v>679</v>
      </c>
      <c r="NL9" t="s">
        <v>679</v>
      </c>
    </row>
    <row r="10" spans="1:376" ht="15.75" hidden="1" customHeight="1" x14ac:dyDescent="0.25">
      <c r="A10" t="s">
        <v>680</v>
      </c>
      <c r="P10" t="s">
        <v>680</v>
      </c>
      <c r="AE10" t="s">
        <v>680</v>
      </c>
      <c r="AT10" t="s">
        <v>680</v>
      </c>
      <c r="BI10" t="s">
        <v>680</v>
      </c>
      <c r="BX10" t="s">
        <v>680</v>
      </c>
      <c r="CM10" t="s">
        <v>680</v>
      </c>
      <c r="DB10" t="s">
        <v>680</v>
      </c>
      <c r="DQ10" t="s">
        <v>680</v>
      </c>
      <c r="EF10" t="s">
        <v>680</v>
      </c>
      <c r="EU10" t="s">
        <v>680</v>
      </c>
      <c r="FJ10" t="s">
        <v>680</v>
      </c>
      <c r="FY10" t="s">
        <v>680</v>
      </c>
      <c r="GN10" t="s">
        <v>680</v>
      </c>
      <c r="HC10" t="s">
        <v>680</v>
      </c>
      <c r="HR10" t="s">
        <v>680</v>
      </c>
      <c r="IG10" t="s">
        <v>680</v>
      </c>
      <c r="IV10" t="s">
        <v>680</v>
      </c>
      <c r="JK10" t="s">
        <v>680</v>
      </c>
      <c r="JZ10" t="s">
        <v>680</v>
      </c>
      <c r="KO10" t="s">
        <v>680</v>
      </c>
      <c r="LD10" t="s">
        <v>680</v>
      </c>
      <c r="LS10" t="s">
        <v>680</v>
      </c>
      <c r="MH10" t="s">
        <v>680</v>
      </c>
      <c r="MW10" t="s">
        <v>680</v>
      </c>
      <c r="NL10" t="s">
        <v>680</v>
      </c>
    </row>
    <row r="11" spans="1:376" ht="15.75" hidden="1" customHeight="1" x14ac:dyDescent="0.25">
      <c r="A11" t="s">
        <v>681</v>
      </c>
      <c r="P11" t="s">
        <v>681</v>
      </c>
      <c r="AE11" t="s">
        <v>681</v>
      </c>
      <c r="AT11" t="s">
        <v>681</v>
      </c>
      <c r="BI11" t="s">
        <v>681</v>
      </c>
      <c r="BX11" t="s">
        <v>681</v>
      </c>
      <c r="CM11" t="s">
        <v>681</v>
      </c>
      <c r="DB11" t="s">
        <v>681</v>
      </c>
      <c r="DQ11" t="s">
        <v>681</v>
      </c>
      <c r="EF11" t="s">
        <v>681</v>
      </c>
      <c r="EU11" t="s">
        <v>681</v>
      </c>
      <c r="FJ11" t="s">
        <v>681</v>
      </c>
      <c r="FY11" t="s">
        <v>681</v>
      </c>
      <c r="GN11" t="s">
        <v>681</v>
      </c>
      <c r="HC11" t="s">
        <v>681</v>
      </c>
      <c r="HR11" t="s">
        <v>681</v>
      </c>
      <c r="IG11" t="s">
        <v>681</v>
      </c>
      <c r="IV11" t="s">
        <v>681</v>
      </c>
      <c r="JK11" t="s">
        <v>681</v>
      </c>
      <c r="JZ11" t="s">
        <v>681</v>
      </c>
      <c r="KO11" t="s">
        <v>681</v>
      </c>
      <c r="LD11" t="s">
        <v>681</v>
      </c>
      <c r="LS11" t="s">
        <v>681</v>
      </c>
      <c r="MH11" t="s">
        <v>681</v>
      </c>
      <c r="MW11" t="s">
        <v>681</v>
      </c>
      <c r="NL11" t="s">
        <v>681</v>
      </c>
    </row>
    <row r="12" spans="1:376" ht="15.75" hidden="1" customHeight="1" x14ac:dyDescent="0.25">
      <c r="A12" t="s">
        <v>682</v>
      </c>
      <c r="P12" t="s">
        <v>682</v>
      </c>
      <c r="AE12" t="s">
        <v>682</v>
      </c>
      <c r="AT12" t="s">
        <v>682</v>
      </c>
      <c r="BI12" t="s">
        <v>682</v>
      </c>
      <c r="BX12" t="s">
        <v>682</v>
      </c>
      <c r="CM12" t="s">
        <v>682</v>
      </c>
      <c r="DB12" t="s">
        <v>682</v>
      </c>
      <c r="DQ12" t="s">
        <v>682</v>
      </c>
      <c r="EF12" t="s">
        <v>682</v>
      </c>
      <c r="EU12" t="s">
        <v>682</v>
      </c>
      <c r="FJ12" t="s">
        <v>682</v>
      </c>
      <c r="FY12" t="s">
        <v>682</v>
      </c>
      <c r="GN12" t="s">
        <v>682</v>
      </c>
      <c r="HC12" t="s">
        <v>682</v>
      </c>
      <c r="HR12" t="s">
        <v>682</v>
      </c>
      <c r="IG12" t="s">
        <v>682</v>
      </c>
      <c r="IV12" t="s">
        <v>682</v>
      </c>
      <c r="JK12" t="s">
        <v>682</v>
      </c>
      <c r="JZ12" t="s">
        <v>682</v>
      </c>
      <c r="KO12" t="s">
        <v>682</v>
      </c>
      <c r="LD12" t="s">
        <v>682</v>
      </c>
      <c r="LS12" t="s">
        <v>682</v>
      </c>
      <c r="MH12" t="s">
        <v>682</v>
      </c>
      <c r="MW12" t="s">
        <v>682</v>
      </c>
      <c r="NL12" t="s">
        <v>682</v>
      </c>
    </row>
    <row r="13" spans="1:376" ht="15.75" hidden="1" customHeight="1" x14ac:dyDescent="0.25">
      <c r="A13" t="s">
        <v>683</v>
      </c>
      <c r="P13" t="s">
        <v>683</v>
      </c>
      <c r="AE13" t="s">
        <v>683</v>
      </c>
      <c r="AT13" t="s">
        <v>683</v>
      </c>
      <c r="BI13" t="s">
        <v>683</v>
      </c>
      <c r="BX13" t="s">
        <v>683</v>
      </c>
      <c r="CM13" t="s">
        <v>683</v>
      </c>
      <c r="DB13" t="s">
        <v>683</v>
      </c>
      <c r="DQ13" t="s">
        <v>683</v>
      </c>
      <c r="EF13" t="s">
        <v>683</v>
      </c>
      <c r="EU13" t="s">
        <v>683</v>
      </c>
      <c r="FJ13" t="s">
        <v>683</v>
      </c>
      <c r="FY13" t="s">
        <v>683</v>
      </c>
      <c r="GN13" t="s">
        <v>683</v>
      </c>
      <c r="HC13" t="s">
        <v>683</v>
      </c>
      <c r="HR13" t="s">
        <v>683</v>
      </c>
      <c r="IG13" t="s">
        <v>683</v>
      </c>
      <c r="IV13" t="s">
        <v>683</v>
      </c>
      <c r="JK13" t="s">
        <v>683</v>
      </c>
      <c r="JZ13" t="s">
        <v>683</v>
      </c>
      <c r="KO13" t="s">
        <v>683</v>
      </c>
      <c r="LD13" t="s">
        <v>683</v>
      </c>
      <c r="LS13" t="s">
        <v>683</v>
      </c>
      <c r="MH13" t="s">
        <v>683</v>
      </c>
      <c r="MW13" t="s">
        <v>683</v>
      </c>
      <c r="NL13" t="s">
        <v>683</v>
      </c>
    </row>
    <row r="14" spans="1:376" ht="15.75" hidden="1" customHeight="1" x14ac:dyDescent="0.25">
      <c r="A14" t="s">
        <v>684</v>
      </c>
      <c r="P14" t="s">
        <v>684</v>
      </c>
      <c r="AE14" t="s">
        <v>684</v>
      </c>
      <c r="AT14" t="s">
        <v>684</v>
      </c>
      <c r="BI14" t="s">
        <v>684</v>
      </c>
      <c r="BX14" t="s">
        <v>684</v>
      </c>
      <c r="CM14" t="s">
        <v>684</v>
      </c>
      <c r="DB14" t="s">
        <v>684</v>
      </c>
      <c r="DQ14" t="s">
        <v>684</v>
      </c>
      <c r="EF14" t="s">
        <v>684</v>
      </c>
      <c r="EU14" t="s">
        <v>684</v>
      </c>
      <c r="FJ14" t="s">
        <v>684</v>
      </c>
      <c r="FY14" t="s">
        <v>684</v>
      </c>
      <c r="GN14" t="s">
        <v>684</v>
      </c>
      <c r="HC14" t="s">
        <v>684</v>
      </c>
      <c r="HR14" t="s">
        <v>684</v>
      </c>
      <c r="IG14" t="s">
        <v>684</v>
      </c>
      <c r="IV14" t="s">
        <v>684</v>
      </c>
      <c r="JK14" t="s">
        <v>684</v>
      </c>
      <c r="JZ14" t="s">
        <v>684</v>
      </c>
      <c r="KO14" t="s">
        <v>684</v>
      </c>
      <c r="LD14" t="s">
        <v>684</v>
      </c>
      <c r="LS14" t="s">
        <v>684</v>
      </c>
      <c r="MH14" t="s">
        <v>684</v>
      </c>
      <c r="MW14" t="s">
        <v>684</v>
      </c>
      <c r="NL14" t="s">
        <v>684</v>
      </c>
    </row>
    <row r="15" spans="1:376" ht="15.75" hidden="1" customHeight="1" x14ac:dyDescent="0.25">
      <c r="A15" t="s">
        <v>685</v>
      </c>
      <c r="P15" t="s">
        <v>685</v>
      </c>
      <c r="AE15" t="s">
        <v>685</v>
      </c>
      <c r="AT15" t="s">
        <v>685</v>
      </c>
      <c r="BI15" t="s">
        <v>685</v>
      </c>
      <c r="BX15" t="s">
        <v>685</v>
      </c>
      <c r="CM15" t="s">
        <v>685</v>
      </c>
      <c r="DB15" t="s">
        <v>685</v>
      </c>
      <c r="DQ15" t="s">
        <v>685</v>
      </c>
      <c r="EF15" t="s">
        <v>685</v>
      </c>
      <c r="EU15" t="s">
        <v>685</v>
      </c>
      <c r="FJ15" t="s">
        <v>685</v>
      </c>
      <c r="FY15" t="s">
        <v>685</v>
      </c>
      <c r="GN15" t="s">
        <v>685</v>
      </c>
      <c r="HC15" t="s">
        <v>685</v>
      </c>
      <c r="HR15" t="s">
        <v>685</v>
      </c>
      <c r="IG15" t="s">
        <v>685</v>
      </c>
      <c r="IV15" t="s">
        <v>685</v>
      </c>
      <c r="JK15" t="s">
        <v>685</v>
      </c>
      <c r="JZ15" t="s">
        <v>685</v>
      </c>
      <c r="KO15" t="s">
        <v>685</v>
      </c>
      <c r="LD15" t="s">
        <v>685</v>
      </c>
      <c r="LS15" t="s">
        <v>685</v>
      </c>
      <c r="MH15" t="s">
        <v>685</v>
      </c>
      <c r="MW15" t="s">
        <v>685</v>
      </c>
      <c r="NL15" t="s">
        <v>685</v>
      </c>
    </row>
    <row r="16" spans="1:376" ht="15.75" hidden="1" customHeight="1" x14ac:dyDescent="0.25">
      <c r="A16" t="s">
        <v>686</v>
      </c>
      <c r="P16" t="s">
        <v>686</v>
      </c>
      <c r="AE16" t="s">
        <v>686</v>
      </c>
      <c r="AT16" t="s">
        <v>686</v>
      </c>
      <c r="BI16" t="s">
        <v>686</v>
      </c>
      <c r="BX16" t="s">
        <v>686</v>
      </c>
      <c r="CM16" t="s">
        <v>686</v>
      </c>
      <c r="DB16" t="s">
        <v>686</v>
      </c>
      <c r="DQ16" t="s">
        <v>686</v>
      </c>
      <c r="EF16" t="s">
        <v>686</v>
      </c>
      <c r="EU16" t="s">
        <v>686</v>
      </c>
      <c r="FJ16" t="s">
        <v>686</v>
      </c>
      <c r="FY16" t="s">
        <v>686</v>
      </c>
      <c r="GN16" t="s">
        <v>686</v>
      </c>
      <c r="HC16" t="s">
        <v>686</v>
      </c>
      <c r="HR16" t="s">
        <v>686</v>
      </c>
      <c r="IG16" t="s">
        <v>686</v>
      </c>
      <c r="IV16" t="s">
        <v>686</v>
      </c>
      <c r="JK16" t="s">
        <v>686</v>
      </c>
      <c r="JZ16" t="s">
        <v>686</v>
      </c>
      <c r="KO16" t="s">
        <v>686</v>
      </c>
      <c r="LD16" t="s">
        <v>686</v>
      </c>
      <c r="LS16" t="s">
        <v>686</v>
      </c>
      <c r="MH16" t="s">
        <v>686</v>
      </c>
      <c r="MW16" t="s">
        <v>686</v>
      </c>
      <c r="NL16" t="s">
        <v>686</v>
      </c>
    </row>
    <row r="17" spans="1:376" ht="15.75" hidden="1" customHeight="1" x14ac:dyDescent="0.25"/>
    <row r="18" spans="1:376" ht="15.75" hidden="1" customHeight="1" x14ac:dyDescent="0.25">
      <c r="A18" t="s">
        <v>687</v>
      </c>
      <c r="P18" t="s">
        <v>995</v>
      </c>
      <c r="AE18" t="s">
        <v>1047</v>
      </c>
      <c r="AT18" t="s">
        <v>1094</v>
      </c>
      <c r="BI18" t="s">
        <v>1130</v>
      </c>
      <c r="BX18" t="s">
        <v>1173</v>
      </c>
      <c r="CM18" t="s">
        <v>1442</v>
      </c>
      <c r="DB18" t="s">
        <v>1469</v>
      </c>
      <c r="DQ18" t="s">
        <v>1499</v>
      </c>
      <c r="EF18" t="s">
        <v>1527</v>
      </c>
      <c r="EU18" t="s">
        <v>1554</v>
      </c>
      <c r="FJ18" t="s">
        <v>1575</v>
      </c>
      <c r="FY18" t="s">
        <v>1602</v>
      </c>
      <c r="GN18" t="s">
        <v>1622</v>
      </c>
      <c r="HC18" t="s">
        <v>1645</v>
      </c>
      <c r="HR18" t="s">
        <v>1667</v>
      </c>
      <c r="IG18" t="s">
        <v>1686</v>
      </c>
      <c r="IV18" t="s">
        <v>1701</v>
      </c>
      <c r="JK18" t="s">
        <v>1719</v>
      </c>
      <c r="JZ18" t="s">
        <v>1740</v>
      </c>
      <c r="KO18" t="s">
        <v>1754</v>
      </c>
      <c r="LD18" t="s">
        <v>1769</v>
      </c>
      <c r="LS18" t="s">
        <v>1788</v>
      </c>
      <c r="MH18" t="s">
        <v>1800</v>
      </c>
      <c r="MW18" t="s">
        <v>1818</v>
      </c>
      <c r="NL18" t="s">
        <v>1833</v>
      </c>
    </row>
    <row r="19" spans="1:376" ht="15.75" hidden="1" customHeight="1" x14ac:dyDescent="0.25"/>
    <row r="20" spans="1:376" ht="15.75" hidden="1" customHeight="1" x14ac:dyDescent="0.25">
      <c r="A20" t="s">
        <v>688</v>
      </c>
      <c r="P20" t="s">
        <v>688</v>
      </c>
      <c r="AE20" t="s">
        <v>688</v>
      </c>
      <c r="AT20" t="s">
        <v>688</v>
      </c>
      <c r="BI20" t="s">
        <v>688</v>
      </c>
      <c r="BX20" t="s">
        <v>688</v>
      </c>
      <c r="CM20" t="s">
        <v>688</v>
      </c>
      <c r="DB20" t="s">
        <v>688</v>
      </c>
      <c r="DQ20" t="s">
        <v>688</v>
      </c>
      <c r="EF20" t="s">
        <v>688</v>
      </c>
      <c r="EU20" t="s">
        <v>688</v>
      </c>
      <c r="FJ20" t="s">
        <v>688</v>
      </c>
      <c r="FY20" t="s">
        <v>688</v>
      </c>
      <c r="GN20" t="s">
        <v>688</v>
      </c>
      <c r="HC20" t="s">
        <v>688</v>
      </c>
      <c r="HR20" t="s">
        <v>688</v>
      </c>
      <c r="IG20" t="s">
        <v>688</v>
      </c>
      <c r="IV20" t="s">
        <v>688</v>
      </c>
      <c r="JK20" t="s">
        <v>688</v>
      </c>
      <c r="JZ20" t="s">
        <v>688</v>
      </c>
      <c r="KO20" t="s">
        <v>688</v>
      </c>
      <c r="LD20" t="s">
        <v>688</v>
      </c>
      <c r="LS20" t="s">
        <v>688</v>
      </c>
      <c r="MH20" t="s">
        <v>688</v>
      </c>
      <c r="MW20" t="s">
        <v>688</v>
      </c>
      <c r="NL20" t="s">
        <v>688</v>
      </c>
    </row>
    <row r="21" spans="1:376" ht="15.75" hidden="1" customHeight="1" x14ac:dyDescent="0.25"/>
    <row r="22" spans="1:376" ht="15.75" hidden="1" customHeight="1" x14ac:dyDescent="0.25">
      <c r="A22" t="s">
        <v>689</v>
      </c>
      <c r="P22" t="s">
        <v>689</v>
      </c>
      <c r="AE22" t="s">
        <v>689</v>
      </c>
      <c r="AT22" t="s">
        <v>689</v>
      </c>
      <c r="BI22" t="s">
        <v>689</v>
      </c>
      <c r="BX22" t="s">
        <v>689</v>
      </c>
      <c r="CM22" t="s">
        <v>689</v>
      </c>
      <c r="DB22" t="s">
        <v>689</v>
      </c>
      <c r="DQ22" t="s">
        <v>689</v>
      </c>
      <c r="EF22" t="s">
        <v>689</v>
      </c>
      <c r="EU22" t="s">
        <v>689</v>
      </c>
      <c r="FJ22" t="s">
        <v>689</v>
      </c>
      <c r="FY22" t="s">
        <v>689</v>
      </c>
      <c r="GN22" t="s">
        <v>689</v>
      </c>
      <c r="HC22" t="s">
        <v>689</v>
      </c>
      <c r="HR22" t="s">
        <v>689</v>
      </c>
      <c r="IG22" t="s">
        <v>689</v>
      </c>
      <c r="IV22" t="s">
        <v>689</v>
      </c>
      <c r="JK22" t="s">
        <v>689</v>
      </c>
      <c r="JZ22" t="s">
        <v>689</v>
      </c>
      <c r="KO22" t="s">
        <v>689</v>
      </c>
      <c r="LD22" t="s">
        <v>689</v>
      </c>
      <c r="LS22" t="s">
        <v>689</v>
      </c>
      <c r="MH22" t="s">
        <v>689</v>
      </c>
      <c r="MW22" t="s">
        <v>689</v>
      </c>
      <c r="NL22" t="s">
        <v>689</v>
      </c>
    </row>
    <row r="23" spans="1:376" ht="15.75" hidden="1" customHeight="1" x14ac:dyDescent="0.25"/>
    <row r="24" spans="1:376" ht="15.75" hidden="1" customHeight="1" x14ac:dyDescent="0.25">
      <c r="A24" t="s">
        <v>690</v>
      </c>
      <c r="P24" t="s">
        <v>690</v>
      </c>
      <c r="AE24" t="s">
        <v>690</v>
      </c>
      <c r="AT24" t="s">
        <v>690</v>
      </c>
      <c r="BI24" t="s">
        <v>690</v>
      </c>
      <c r="BX24" t="s">
        <v>690</v>
      </c>
      <c r="CM24" t="s">
        <v>690</v>
      </c>
      <c r="DB24" t="s">
        <v>690</v>
      </c>
      <c r="DQ24" t="s">
        <v>690</v>
      </c>
      <c r="EF24" t="s">
        <v>690</v>
      </c>
      <c r="EU24" t="s">
        <v>690</v>
      </c>
      <c r="FJ24" t="s">
        <v>690</v>
      </c>
      <c r="FY24" t="s">
        <v>690</v>
      </c>
      <c r="GN24" t="s">
        <v>690</v>
      </c>
      <c r="HC24" t="s">
        <v>690</v>
      </c>
      <c r="HR24" t="s">
        <v>690</v>
      </c>
      <c r="IG24" t="s">
        <v>690</v>
      </c>
      <c r="IV24" t="s">
        <v>690</v>
      </c>
      <c r="JK24" t="s">
        <v>690</v>
      </c>
      <c r="JZ24" t="s">
        <v>690</v>
      </c>
      <c r="KO24" t="s">
        <v>690</v>
      </c>
      <c r="LD24" t="s">
        <v>690</v>
      </c>
      <c r="LS24" t="s">
        <v>690</v>
      </c>
      <c r="MH24" t="s">
        <v>690</v>
      </c>
      <c r="MW24" t="s">
        <v>690</v>
      </c>
      <c r="NL24" t="s">
        <v>690</v>
      </c>
    </row>
    <row r="25" spans="1:376" ht="15.75" hidden="1" customHeight="1" x14ac:dyDescent="0.25"/>
    <row r="26" spans="1:376" ht="15.75" hidden="1" customHeight="1" x14ac:dyDescent="0.25">
      <c r="A26" t="s">
        <v>691</v>
      </c>
      <c r="P26" t="s">
        <v>996</v>
      </c>
      <c r="AE26" t="s">
        <v>1048</v>
      </c>
      <c r="AT26" t="s">
        <v>1095</v>
      </c>
      <c r="BI26" t="s">
        <v>1131</v>
      </c>
      <c r="BX26" t="s">
        <v>1174</v>
      </c>
      <c r="CM26" t="s">
        <v>1443</v>
      </c>
      <c r="DB26" t="s">
        <v>1470</v>
      </c>
      <c r="DQ26" t="s">
        <v>1500</v>
      </c>
      <c r="EF26" t="s">
        <v>1528</v>
      </c>
      <c r="EU26" t="s">
        <v>1555</v>
      </c>
      <c r="FJ26" t="s">
        <v>1576</v>
      </c>
      <c r="FY26" t="s">
        <v>1603</v>
      </c>
      <c r="GN26" t="s">
        <v>1623</v>
      </c>
      <c r="HC26" t="s">
        <v>1646</v>
      </c>
      <c r="HR26" t="s">
        <v>1668</v>
      </c>
      <c r="IG26" t="s">
        <v>1687</v>
      </c>
      <c r="IV26" t="s">
        <v>1702</v>
      </c>
      <c r="JK26" t="s">
        <v>1720</v>
      </c>
      <c r="JZ26" t="s">
        <v>1741</v>
      </c>
      <c r="KO26" t="s">
        <v>1755</v>
      </c>
      <c r="LD26" t="s">
        <v>1770</v>
      </c>
      <c r="LS26" t="s">
        <v>1789</v>
      </c>
      <c r="MH26" t="s">
        <v>1801</v>
      </c>
      <c r="MW26" t="s">
        <v>1819</v>
      </c>
      <c r="NL26" t="s">
        <v>1834</v>
      </c>
    </row>
    <row r="27" spans="1:376" ht="15.75" hidden="1" customHeight="1" x14ac:dyDescent="0.25">
      <c r="A27" t="s">
        <v>692</v>
      </c>
      <c r="P27" t="s">
        <v>997</v>
      </c>
      <c r="AE27" t="s">
        <v>1049</v>
      </c>
      <c r="AT27" t="s">
        <v>696</v>
      </c>
      <c r="BI27" t="s">
        <v>692</v>
      </c>
      <c r="BX27" t="s">
        <v>1051</v>
      </c>
      <c r="CM27" t="s">
        <v>1098</v>
      </c>
      <c r="DB27" t="s">
        <v>1471</v>
      </c>
      <c r="DQ27" t="s">
        <v>1501</v>
      </c>
      <c r="EF27" t="s">
        <v>706</v>
      </c>
      <c r="EU27" t="s">
        <v>700</v>
      </c>
      <c r="FJ27" t="s">
        <v>1577</v>
      </c>
      <c r="FY27" t="s">
        <v>1579</v>
      </c>
      <c r="GN27" t="s">
        <v>1624</v>
      </c>
      <c r="HC27" t="s">
        <v>1051</v>
      </c>
      <c r="HR27" t="s">
        <v>1669</v>
      </c>
      <c r="IG27" t="s">
        <v>1688</v>
      </c>
      <c r="IV27" t="s">
        <v>1577</v>
      </c>
      <c r="JK27" t="s">
        <v>1721</v>
      </c>
      <c r="JZ27" t="s">
        <v>700</v>
      </c>
      <c r="KO27" t="s">
        <v>696</v>
      </c>
      <c r="LD27" t="s">
        <v>1771</v>
      </c>
      <c r="LS27" t="s">
        <v>1688</v>
      </c>
      <c r="MH27" t="s">
        <v>1100</v>
      </c>
      <c r="MW27" t="s">
        <v>1503</v>
      </c>
      <c r="NL27" t="s">
        <v>1771</v>
      </c>
    </row>
    <row r="28" spans="1:376" ht="15.75" hidden="1" customHeight="1" x14ac:dyDescent="0.25">
      <c r="A28" t="s">
        <v>693</v>
      </c>
      <c r="P28" t="s">
        <v>998</v>
      </c>
      <c r="AE28" t="s">
        <v>803</v>
      </c>
      <c r="AT28" t="s">
        <v>1096</v>
      </c>
      <c r="BI28" t="s">
        <v>890</v>
      </c>
      <c r="BX28" t="s">
        <v>693</v>
      </c>
      <c r="CM28" t="s">
        <v>798</v>
      </c>
      <c r="DB28" t="s">
        <v>1062</v>
      </c>
      <c r="DQ28" t="s">
        <v>799</v>
      </c>
      <c r="EF28" t="s">
        <v>798</v>
      </c>
      <c r="EU28" t="s">
        <v>799</v>
      </c>
      <c r="FJ28" t="s">
        <v>826</v>
      </c>
      <c r="FY28" t="s">
        <v>1002</v>
      </c>
      <c r="GN28" t="s">
        <v>791</v>
      </c>
      <c r="HC28" t="s">
        <v>798</v>
      </c>
      <c r="HR28" t="s">
        <v>1020</v>
      </c>
      <c r="IG28" t="s">
        <v>1005</v>
      </c>
      <c r="IV28" t="s">
        <v>833</v>
      </c>
      <c r="JK28" t="s">
        <v>798</v>
      </c>
      <c r="JZ28" t="s">
        <v>1742</v>
      </c>
      <c r="KO28" t="s">
        <v>797</v>
      </c>
      <c r="LD28" t="s">
        <v>1009</v>
      </c>
      <c r="LS28" t="s">
        <v>1009</v>
      </c>
      <c r="MH28" t="s">
        <v>1005</v>
      </c>
      <c r="MW28" t="s">
        <v>1020</v>
      </c>
      <c r="NL28" t="s">
        <v>831</v>
      </c>
    </row>
    <row r="29" spans="1:376" ht="15.75" hidden="1" customHeight="1" x14ac:dyDescent="0.25"/>
    <row r="30" spans="1:376" ht="15.75" hidden="1" customHeight="1" x14ac:dyDescent="0.25">
      <c r="A30" t="s">
        <v>694</v>
      </c>
      <c r="P30" t="s">
        <v>694</v>
      </c>
      <c r="AE30" t="s">
        <v>694</v>
      </c>
      <c r="AT30" t="s">
        <v>694</v>
      </c>
      <c r="BI30" t="s">
        <v>694</v>
      </c>
      <c r="BX30" t="s">
        <v>694</v>
      </c>
      <c r="CM30" t="s">
        <v>694</v>
      </c>
      <c r="DB30" t="s">
        <v>694</v>
      </c>
      <c r="DQ30" t="s">
        <v>694</v>
      </c>
      <c r="EF30" t="s">
        <v>694</v>
      </c>
      <c r="EU30" t="s">
        <v>694</v>
      </c>
      <c r="FJ30" t="s">
        <v>694</v>
      </c>
      <c r="FY30" t="s">
        <v>694</v>
      </c>
      <c r="GN30" t="s">
        <v>694</v>
      </c>
      <c r="HC30" t="s">
        <v>694</v>
      </c>
      <c r="HR30" t="s">
        <v>694</v>
      </c>
      <c r="IG30" t="s">
        <v>694</v>
      </c>
      <c r="IV30" t="s">
        <v>694</v>
      </c>
      <c r="JK30" t="s">
        <v>694</v>
      </c>
      <c r="JZ30" t="s">
        <v>694</v>
      </c>
      <c r="KO30" t="s">
        <v>694</v>
      </c>
      <c r="LD30" t="s">
        <v>694</v>
      </c>
      <c r="LS30" t="s">
        <v>694</v>
      </c>
      <c r="MH30" t="s">
        <v>694</v>
      </c>
      <c r="MW30" t="s">
        <v>694</v>
      </c>
      <c r="NL30" t="s">
        <v>694</v>
      </c>
    </row>
    <row r="31" spans="1:376" ht="15.75" hidden="1" customHeight="1" x14ac:dyDescent="0.25"/>
    <row r="32" spans="1:376" ht="15.75" hidden="1" customHeight="1" x14ac:dyDescent="0.25">
      <c r="A32" t="s">
        <v>695</v>
      </c>
      <c r="P32" t="s">
        <v>999</v>
      </c>
      <c r="AE32" t="s">
        <v>1050</v>
      </c>
      <c r="AT32" t="s">
        <v>1095</v>
      </c>
      <c r="BI32" t="s">
        <v>1132</v>
      </c>
      <c r="BX32" t="s">
        <v>1175</v>
      </c>
      <c r="CM32" t="s">
        <v>1444</v>
      </c>
      <c r="DB32" t="s">
        <v>1472</v>
      </c>
      <c r="DQ32" t="s">
        <v>1500</v>
      </c>
      <c r="EF32" t="s">
        <v>1529</v>
      </c>
      <c r="EU32" t="s">
        <v>1556</v>
      </c>
      <c r="FJ32" t="s">
        <v>1578</v>
      </c>
      <c r="FY32" t="s">
        <v>1604</v>
      </c>
      <c r="GN32" t="s">
        <v>1623</v>
      </c>
      <c r="HC32" t="s">
        <v>1647</v>
      </c>
      <c r="HR32" t="s">
        <v>1670</v>
      </c>
      <c r="IG32" t="s">
        <v>1687</v>
      </c>
      <c r="IV32" t="s">
        <v>1703</v>
      </c>
      <c r="JK32" t="s">
        <v>1722</v>
      </c>
      <c r="JZ32" t="s">
        <v>1741</v>
      </c>
      <c r="KO32" t="s">
        <v>1755</v>
      </c>
      <c r="LD32" t="s">
        <v>1772</v>
      </c>
      <c r="LS32" t="s">
        <v>1789</v>
      </c>
      <c r="MH32" t="s">
        <v>1802</v>
      </c>
      <c r="MW32" t="s">
        <v>1820</v>
      </c>
      <c r="NL32" t="s">
        <v>1835</v>
      </c>
    </row>
    <row r="33" spans="1:376" ht="15.75" hidden="1" customHeight="1" x14ac:dyDescent="0.25">
      <c r="A33" t="s">
        <v>696</v>
      </c>
      <c r="P33" t="s">
        <v>700</v>
      </c>
      <c r="AE33" t="s">
        <v>1051</v>
      </c>
      <c r="AT33" t="s">
        <v>696</v>
      </c>
      <c r="BI33" t="s">
        <v>1133</v>
      </c>
      <c r="BX33" t="s">
        <v>1176</v>
      </c>
      <c r="CM33" t="s">
        <v>696</v>
      </c>
      <c r="DB33" t="s">
        <v>1473</v>
      </c>
      <c r="DQ33" t="s">
        <v>1501</v>
      </c>
      <c r="EF33" t="s">
        <v>1530</v>
      </c>
      <c r="EU33" t="s">
        <v>997</v>
      </c>
      <c r="FJ33" t="s">
        <v>1579</v>
      </c>
      <c r="FY33" t="s">
        <v>1503</v>
      </c>
      <c r="GN33" t="s">
        <v>1624</v>
      </c>
      <c r="HC33" t="s">
        <v>1648</v>
      </c>
      <c r="HR33" t="s">
        <v>1671</v>
      </c>
      <c r="IG33" t="s">
        <v>1688</v>
      </c>
      <c r="IV33" t="s">
        <v>1503</v>
      </c>
      <c r="JK33" t="s">
        <v>1582</v>
      </c>
      <c r="JZ33" t="s">
        <v>700</v>
      </c>
      <c r="KO33" t="s">
        <v>696</v>
      </c>
      <c r="LD33" t="s">
        <v>1724</v>
      </c>
      <c r="LS33" t="s">
        <v>1688</v>
      </c>
      <c r="MH33" t="s">
        <v>1098</v>
      </c>
      <c r="MW33" t="s">
        <v>1721</v>
      </c>
      <c r="NL33" t="s">
        <v>1836</v>
      </c>
    </row>
    <row r="34" spans="1:376" ht="15.75" hidden="1" customHeight="1" x14ac:dyDescent="0.25">
      <c r="A34" t="s">
        <v>697</v>
      </c>
      <c r="P34" t="s">
        <v>697</v>
      </c>
      <c r="AE34" t="s">
        <v>851</v>
      </c>
      <c r="AT34" t="s">
        <v>859</v>
      </c>
      <c r="BI34" t="s">
        <v>701</v>
      </c>
      <c r="BX34" t="s">
        <v>701</v>
      </c>
      <c r="CM34" t="s">
        <v>859</v>
      </c>
      <c r="DB34" t="s">
        <v>800</v>
      </c>
      <c r="DQ34" t="s">
        <v>701</v>
      </c>
      <c r="EF34" t="s">
        <v>859</v>
      </c>
      <c r="EU34" t="s">
        <v>701</v>
      </c>
      <c r="FJ34" t="s">
        <v>859</v>
      </c>
      <c r="FY34" t="s">
        <v>859</v>
      </c>
      <c r="GN34" t="s">
        <v>1023</v>
      </c>
      <c r="HC34" t="s">
        <v>804</v>
      </c>
      <c r="HR34" t="s">
        <v>805</v>
      </c>
      <c r="IG34" t="s">
        <v>701</v>
      </c>
      <c r="IV34" t="s">
        <v>800</v>
      </c>
      <c r="JK34" t="s">
        <v>701</v>
      </c>
      <c r="JZ34" t="s">
        <v>1023</v>
      </c>
      <c r="KO34" t="s">
        <v>697</v>
      </c>
      <c r="LD34" t="s">
        <v>701</v>
      </c>
      <c r="LS34" t="s">
        <v>851</v>
      </c>
      <c r="MH34" t="s">
        <v>800</v>
      </c>
      <c r="MW34" t="s">
        <v>851</v>
      </c>
      <c r="NL34" t="s">
        <v>805</v>
      </c>
    </row>
    <row r="35" spans="1:376" ht="15.75" hidden="1" customHeight="1" x14ac:dyDescent="0.25"/>
    <row r="36" spans="1:376" ht="15.75" hidden="1" customHeight="1" x14ac:dyDescent="0.25">
      <c r="A36" t="s">
        <v>698</v>
      </c>
      <c r="P36" t="s">
        <v>698</v>
      </c>
      <c r="AE36" t="s">
        <v>698</v>
      </c>
      <c r="AT36" t="s">
        <v>698</v>
      </c>
      <c r="BI36" t="s">
        <v>698</v>
      </c>
      <c r="BX36" t="s">
        <v>698</v>
      </c>
      <c r="CM36" t="s">
        <v>698</v>
      </c>
      <c r="DB36" t="s">
        <v>698</v>
      </c>
      <c r="DQ36" t="s">
        <v>698</v>
      </c>
      <c r="EF36" t="s">
        <v>698</v>
      </c>
      <c r="EU36" t="s">
        <v>698</v>
      </c>
      <c r="FJ36" t="s">
        <v>698</v>
      </c>
      <c r="FY36" t="s">
        <v>698</v>
      </c>
      <c r="GN36" t="s">
        <v>698</v>
      </c>
      <c r="HC36" t="s">
        <v>698</v>
      </c>
      <c r="HR36" t="s">
        <v>698</v>
      </c>
      <c r="IG36" t="s">
        <v>698</v>
      </c>
      <c r="IV36" t="s">
        <v>698</v>
      </c>
      <c r="JK36" t="s">
        <v>698</v>
      </c>
      <c r="JZ36" t="s">
        <v>698</v>
      </c>
      <c r="KO36" t="s">
        <v>698</v>
      </c>
      <c r="LD36" t="s">
        <v>698</v>
      </c>
      <c r="LS36" t="s">
        <v>698</v>
      </c>
      <c r="MH36" t="s">
        <v>698</v>
      </c>
      <c r="MW36" t="s">
        <v>698</v>
      </c>
      <c r="NL36" t="s">
        <v>698</v>
      </c>
    </row>
    <row r="37" spans="1:376" ht="15.75" hidden="1" customHeight="1" x14ac:dyDescent="0.25"/>
    <row r="38" spans="1:376" ht="15.75" hidden="1" customHeight="1" x14ac:dyDescent="0.25">
      <c r="A38" t="s">
        <v>699</v>
      </c>
      <c r="P38" t="s">
        <v>999</v>
      </c>
      <c r="AE38" t="s">
        <v>1052</v>
      </c>
      <c r="AT38" t="s">
        <v>1095</v>
      </c>
      <c r="BI38" t="s">
        <v>1134</v>
      </c>
      <c r="BX38" t="s">
        <v>1177</v>
      </c>
      <c r="CM38" t="s">
        <v>1443</v>
      </c>
      <c r="DB38" t="s">
        <v>1474</v>
      </c>
      <c r="DQ38" t="s">
        <v>1502</v>
      </c>
      <c r="EF38" t="s">
        <v>1528</v>
      </c>
      <c r="EU38" t="s">
        <v>1555</v>
      </c>
      <c r="FJ38" t="s">
        <v>1580</v>
      </c>
      <c r="FY38" t="s">
        <v>1603</v>
      </c>
      <c r="GN38" t="s">
        <v>1625</v>
      </c>
      <c r="HC38" t="s">
        <v>1649</v>
      </c>
      <c r="HR38" t="s">
        <v>1672</v>
      </c>
      <c r="IG38" t="s">
        <v>1689</v>
      </c>
      <c r="IV38" t="s">
        <v>1702</v>
      </c>
      <c r="JK38" t="s">
        <v>1723</v>
      </c>
      <c r="JZ38" t="s">
        <v>1743</v>
      </c>
      <c r="KO38" t="s">
        <v>1755</v>
      </c>
      <c r="LD38" t="s">
        <v>1773</v>
      </c>
      <c r="LS38" t="s">
        <v>1790</v>
      </c>
      <c r="MH38" t="s">
        <v>1803</v>
      </c>
      <c r="MW38" t="s">
        <v>1821</v>
      </c>
      <c r="NL38" t="s">
        <v>1837</v>
      </c>
    </row>
    <row r="39" spans="1:376" ht="15.75" hidden="1" customHeight="1" x14ac:dyDescent="0.25">
      <c r="A39" t="s">
        <v>700</v>
      </c>
      <c r="P39" t="s">
        <v>700</v>
      </c>
      <c r="AE39" t="s">
        <v>1053</v>
      </c>
      <c r="AT39" t="s">
        <v>696</v>
      </c>
      <c r="BI39" t="s">
        <v>706</v>
      </c>
      <c r="BX39" t="s">
        <v>1053</v>
      </c>
      <c r="CM39" t="s">
        <v>1098</v>
      </c>
      <c r="DB39" t="s">
        <v>997</v>
      </c>
      <c r="DQ39" t="s">
        <v>1503</v>
      </c>
      <c r="EF39" t="s">
        <v>706</v>
      </c>
      <c r="EU39" t="s">
        <v>700</v>
      </c>
      <c r="FJ39" t="s">
        <v>1501</v>
      </c>
      <c r="FY39" t="s">
        <v>1579</v>
      </c>
      <c r="GN39" t="s">
        <v>1471</v>
      </c>
      <c r="HC39" t="s">
        <v>1650</v>
      </c>
      <c r="HR39" t="s">
        <v>1098</v>
      </c>
      <c r="IG39" t="s">
        <v>1049</v>
      </c>
      <c r="IV39" t="s">
        <v>1577</v>
      </c>
      <c r="JK39" t="s">
        <v>1724</v>
      </c>
      <c r="JZ39" t="s">
        <v>692</v>
      </c>
      <c r="KO39" t="s">
        <v>696</v>
      </c>
      <c r="LD39" t="s">
        <v>1098</v>
      </c>
      <c r="LS39" t="s">
        <v>1501</v>
      </c>
      <c r="MH39" t="s">
        <v>692</v>
      </c>
      <c r="MW39" t="s">
        <v>1771</v>
      </c>
      <c r="NL39" t="s">
        <v>1049</v>
      </c>
    </row>
    <row r="40" spans="1:376" ht="15.75" hidden="1" customHeight="1" x14ac:dyDescent="0.25">
      <c r="A40" t="s">
        <v>701</v>
      </c>
      <c r="P40" t="s">
        <v>815</v>
      </c>
      <c r="AE40" t="s">
        <v>817</v>
      </c>
      <c r="AT40" t="s">
        <v>815</v>
      </c>
      <c r="BI40" t="s">
        <v>817</v>
      </c>
      <c r="BX40" t="s">
        <v>815</v>
      </c>
      <c r="CM40" t="s">
        <v>859</v>
      </c>
      <c r="DB40" t="s">
        <v>817</v>
      </c>
      <c r="DQ40" t="s">
        <v>804</v>
      </c>
      <c r="EF40" t="s">
        <v>851</v>
      </c>
      <c r="EU40" t="s">
        <v>703</v>
      </c>
      <c r="FJ40" t="s">
        <v>851</v>
      </c>
      <c r="FY40" t="s">
        <v>821</v>
      </c>
      <c r="GN40" t="s">
        <v>804</v>
      </c>
      <c r="HC40" t="s">
        <v>815</v>
      </c>
      <c r="HR40" t="s">
        <v>815</v>
      </c>
      <c r="IG40" t="s">
        <v>815</v>
      </c>
      <c r="IV40" t="s">
        <v>817</v>
      </c>
      <c r="JK40" t="s">
        <v>804</v>
      </c>
      <c r="JZ40" t="s">
        <v>805</v>
      </c>
      <c r="KO40" t="s">
        <v>859</v>
      </c>
      <c r="LD40" t="s">
        <v>817</v>
      </c>
      <c r="LS40" t="s">
        <v>859</v>
      </c>
      <c r="MH40" t="s">
        <v>817</v>
      </c>
      <c r="MW40" t="s">
        <v>851</v>
      </c>
      <c r="NL40" t="s">
        <v>804</v>
      </c>
    </row>
    <row r="41" spans="1:376" ht="15.75" hidden="1" customHeight="1" x14ac:dyDescent="0.25"/>
    <row r="42" spans="1:376" ht="15.75" hidden="1" customHeight="1" x14ac:dyDescent="0.25">
      <c r="A42" t="s">
        <v>702</v>
      </c>
      <c r="P42" t="s">
        <v>702</v>
      </c>
      <c r="AE42" t="s">
        <v>702</v>
      </c>
      <c r="AT42" t="s">
        <v>702</v>
      </c>
      <c r="BI42" t="s">
        <v>702</v>
      </c>
      <c r="BX42" t="s">
        <v>702</v>
      </c>
      <c r="CM42" t="s">
        <v>702</v>
      </c>
      <c r="DB42" t="s">
        <v>702</v>
      </c>
      <c r="DQ42" t="s">
        <v>702</v>
      </c>
      <c r="EF42" t="s">
        <v>702</v>
      </c>
      <c r="EU42" t="s">
        <v>702</v>
      </c>
      <c r="FJ42" t="s">
        <v>702</v>
      </c>
      <c r="FY42" t="s">
        <v>702</v>
      </c>
      <c r="GN42" t="s">
        <v>702</v>
      </c>
      <c r="HC42" t="s">
        <v>702</v>
      </c>
      <c r="HR42" t="s">
        <v>702</v>
      </c>
      <c r="IG42" t="s">
        <v>702</v>
      </c>
      <c r="IV42" t="s">
        <v>702</v>
      </c>
      <c r="JK42" t="s">
        <v>702</v>
      </c>
      <c r="JZ42" t="s">
        <v>702</v>
      </c>
      <c r="KO42" t="s">
        <v>702</v>
      </c>
      <c r="LD42" t="s">
        <v>702</v>
      </c>
      <c r="LS42" t="s">
        <v>702</v>
      </c>
      <c r="MH42" t="s">
        <v>702</v>
      </c>
      <c r="MW42" t="s">
        <v>702</v>
      </c>
      <c r="NL42" t="s">
        <v>702</v>
      </c>
    </row>
    <row r="43" spans="1:376" ht="15.75" hidden="1" customHeight="1" x14ac:dyDescent="0.25"/>
    <row r="44" spans="1:376" ht="15.75" hidden="1" customHeight="1" x14ac:dyDescent="0.25">
      <c r="A44" t="s">
        <v>695</v>
      </c>
      <c r="P44" t="s">
        <v>999</v>
      </c>
      <c r="AE44" t="s">
        <v>1054</v>
      </c>
      <c r="AT44" t="s">
        <v>1097</v>
      </c>
      <c r="BI44" t="s">
        <v>1131</v>
      </c>
      <c r="BX44" t="s">
        <v>1177</v>
      </c>
      <c r="CM44" t="s">
        <v>1445</v>
      </c>
      <c r="DB44" t="s">
        <v>1474</v>
      </c>
      <c r="DQ44" t="s">
        <v>1502</v>
      </c>
      <c r="EF44" t="s">
        <v>1531</v>
      </c>
      <c r="EU44" t="s">
        <v>1557</v>
      </c>
      <c r="FJ44" t="s">
        <v>1581</v>
      </c>
      <c r="FY44" t="s">
        <v>1605</v>
      </c>
      <c r="GN44" t="s">
        <v>1625</v>
      </c>
      <c r="HC44" t="s">
        <v>1651</v>
      </c>
      <c r="HR44" t="s">
        <v>1672</v>
      </c>
      <c r="IG44" t="s">
        <v>1690</v>
      </c>
      <c r="IV44" t="s">
        <v>1702</v>
      </c>
      <c r="JK44" t="s">
        <v>1722</v>
      </c>
      <c r="JZ44" t="s">
        <v>1741</v>
      </c>
      <c r="KO44" t="s">
        <v>1756</v>
      </c>
      <c r="LD44" t="s">
        <v>1770</v>
      </c>
      <c r="LS44" t="s">
        <v>1791</v>
      </c>
      <c r="MH44" t="s">
        <v>1804</v>
      </c>
      <c r="MW44" t="s">
        <v>1821</v>
      </c>
      <c r="NL44" t="s">
        <v>1838</v>
      </c>
    </row>
    <row r="45" spans="1:376" ht="15.75" hidden="1" customHeight="1" x14ac:dyDescent="0.25">
      <c r="A45" t="s">
        <v>696</v>
      </c>
      <c r="P45" t="s">
        <v>700</v>
      </c>
      <c r="AE45" t="s">
        <v>1055</v>
      </c>
      <c r="AT45" t="s">
        <v>1098</v>
      </c>
      <c r="BI45" t="s">
        <v>692</v>
      </c>
      <c r="BX45" t="s">
        <v>1053</v>
      </c>
      <c r="CM45" t="s">
        <v>706</v>
      </c>
      <c r="DB45" t="s">
        <v>997</v>
      </c>
      <c r="DQ45" t="s">
        <v>1503</v>
      </c>
      <c r="EF45" t="s">
        <v>700</v>
      </c>
      <c r="EU45" t="s">
        <v>706</v>
      </c>
      <c r="FJ45" t="s">
        <v>1582</v>
      </c>
      <c r="FY45" t="s">
        <v>1051</v>
      </c>
      <c r="GN45" t="s">
        <v>1471</v>
      </c>
      <c r="HC45" t="s">
        <v>700</v>
      </c>
      <c r="HR45" t="s">
        <v>1098</v>
      </c>
      <c r="IG45" t="s">
        <v>706</v>
      </c>
      <c r="IV45" t="s">
        <v>1577</v>
      </c>
      <c r="JK45" t="s">
        <v>1582</v>
      </c>
      <c r="JZ45" t="s">
        <v>700</v>
      </c>
      <c r="KO45" t="s">
        <v>1133</v>
      </c>
      <c r="LD45" t="s">
        <v>1771</v>
      </c>
      <c r="LS45" t="s">
        <v>1100</v>
      </c>
      <c r="MH45" t="s">
        <v>1133</v>
      </c>
      <c r="MW45" t="s">
        <v>1771</v>
      </c>
      <c r="NL45" t="s">
        <v>1839</v>
      </c>
    </row>
    <row r="46" spans="1:376" ht="15.75" hidden="1" customHeight="1" x14ac:dyDescent="0.25">
      <c r="A46" t="s">
        <v>703</v>
      </c>
      <c r="P46" t="s">
        <v>817</v>
      </c>
      <c r="AE46" t="s">
        <v>792</v>
      </c>
      <c r="AT46" t="s">
        <v>792</v>
      </c>
      <c r="BI46" t="s">
        <v>817</v>
      </c>
      <c r="BX46" t="s">
        <v>792</v>
      </c>
      <c r="CM46" t="s">
        <v>793</v>
      </c>
      <c r="DB46" t="s">
        <v>703</v>
      </c>
      <c r="DQ46" t="s">
        <v>792</v>
      </c>
      <c r="EF46" t="s">
        <v>703</v>
      </c>
      <c r="EU46" t="s">
        <v>703</v>
      </c>
      <c r="FJ46" t="s">
        <v>792</v>
      </c>
      <c r="FY46" t="s">
        <v>792</v>
      </c>
      <c r="GN46" t="s">
        <v>703</v>
      </c>
      <c r="HC46" t="s">
        <v>703</v>
      </c>
      <c r="HR46" t="s">
        <v>703</v>
      </c>
      <c r="IG46" t="s">
        <v>792</v>
      </c>
      <c r="IV46" t="s">
        <v>707</v>
      </c>
      <c r="JK46" t="s">
        <v>792</v>
      </c>
      <c r="JZ46" t="s">
        <v>851</v>
      </c>
      <c r="KO46" t="s">
        <v>703</v>
      </c>
      <c r="LD46" t="s">
        <v>792</v>
      </c>
      <c r="LS46" t="s">
        <v>792</v>
      </c>
      <c r="MH46" t="s">
        <v>792</v>
      </c>
      <c r="MW46" t="s">
        <v>792</v>
      </c>
      <c r="NL46" t="s">
        <v>792</v>
      </c>
    </row>
    <row r="47" spans="1:376" ht="15.75" hidden="1" customHeight="1" x14ac:dyDescent="0.25"/>
    <row r="48" spans="1:376" ht="15.75" hidden="1" customHeight="1" x14ac:dyDescent="0.25">
      <c r="A48" t="s">
        <v>704</v>
      </c>
      <c r="P48" t="s">
        <v>704</v>
      </c>
      <c r="AE48" t="s">
        <v>704</v>
      </c>
      <c r="AT48" t="s">
        <v>704</v>
      </c>
      <c r="BI48" t="s">
        <v>704</v>
      </c>
      <c r="BX48" t="s">
        <v>704</v>
      </c>
      <c r="CM48" t="s">
        <v>704</v>
      </c>
      <c r="DB48" t="s">
        <v>704</v>
      </c>
      <c r="DQ48" t="s">
        <v>704</v>
      </c>
      <c r="EF48" t="s">
        <v>704</v>
      </c>
      <c r="EU48" t="s">
        <v>704</v>
      </c>
      <c r="FJ48" t="s">
        <v>704</v>
      </c>
      <c r="FY48" t="s">
        <v>704</v>
      </c>
      <c r="GN48" t="s">
        <v>704</v>
      </c>
      <c r="HC48" t="s">
        <v>704</v>
      </c>
      <c r="HR48" t="s">
        <v>704</v>
      </c>
      <c r="IG48" t="s">
        <v>704</v>
      </c>
      <c r="IV48" t="s">
        <v>704</v>
      </c>
      <c r="JK48" t="s">
        <v>704</v>
      </c>
      <c r="JZ48" t="s">
        <v>704</v>
      </c>
      <c r="KO48" t="s">
        <v>704</v>
      </c>
      <c r="LD48" t="s">
        <v>704</v>
      </c>
      <c r="LS48" t="s">
        <v>704</v>
      </c>
      <c r="MH48" t="s">
        <v>704</v>
      </c>
      <c r="MW48" t="s">
        <v>704</v>
      </c>
      <c r="NL48" t="s">
        <v>704</v>
      </c>
    </row>
    <row r="49" spans="1:376" ht="15.75" hidden="1" customHeight="1" x14ac:dyDescent="0.25"/>
    <row r="50" spans="1:376" ht="15.75" hidden="1" customHeight="1" x14ac:dyDescent="0.25">
      <c r="A50" t="s">
        <v>705</v>
      </c>
      <c r="P50" t="s">
        <v>996</v>
      </c>
      <c r="AE50" t="s">
        <v>1050</v>
      </c>
      <c r="AT50" t="s">
        <v>1099</v>
      </c>
      <c r="BI50" t="s">
        <v>1135</v>
      </c>
      <c r="BX50" t="s">
        <v>1175</v>
      </c>
      <c r="CM50" t="s">
        <v>1446</v>
      </c>
      <c r="DB50" t="s">
        <v>1475</v>
      </c>
      <c r="DQ50" t="s">
        <v>1504</v>
      </c>
      <c r="EF50" t="s">
        <v>1532</v>
      </c>
      <c r="EU50" t="s">
        <v>1557</v>
      </c>
      <c r="FJ50" t="s">
        <v>1581</v>
      </c>
      <c r="FY50" t="s">
        <v>1604</v>
      </c>
      <c r="GN50" t="s">
        <v>1623</v>
      </c>
      <c r="HC50" t="s">
        <v>1652</v>
      </c>
      <c r="HR50" t="s">
        <v>1673</v>
      </c>
      <c r="IG50" t="s">
        <v>1687</v>
      </c>
      <c r="IV50" t="s">
        <v>1703</v>
      </c>
      <c r="JK50" t="s">
        <v>1722</v>
      </c>
      <c r="JZ50" t="s">
        <v>1741</v>
      </c>
      <c r="KO50" t="s">
        <v>1757</v>
      </c>
      <c r="LD50" t="s">
        <v>1773</v>
      </c>
      <c r="LS50" t="s">
        <v>1792</v>
      </c>
      <c r="MH50" t="s">
        <v>1805</v>
      </c>
      <c r="MW50" t="s">
        <v>1822</v>
      </c>
      <c r="NL50" t="s">
        <v>1838</v>
      </c>
    </row>
    <row r="51" spans="1:376" ht="15.75" hidden="1" customHeight="1" x14ac:dyDescent="0.25">
      <c r="A51" t="s">
        <v>706</v>
      </c>
      <c r="P51" t="s">
        <v>997</v>
      </c>
      <c r="AE51" t="s">
        <v>1051</v>
      </c>
      <c r="AT51" t="s">
        <v>1100</v>
      </c>
      <c r="BI51" t="s">
        <v>1053</v>
      </c>
      <c r="BX51" t="s">
        <v>1176</v>
      </c>
      <c r="CM51" t="s">
        <v>1055</v>
      </c>
      <c r="DB51" t="s">
        <v>1133</v>
      </c>
      <c r="DQ51" t="s">
        <v>1505</v>
      </c>
      <c r="EF51" t="s">
        <v>1473</v>
      </c>
      <c r="EU51" t="s">
        <v>706</v>
      </c>
      <c r="FJ51" t="s">
        <v>1582</v>
      </c>
      <c r="FY51" t="s">
        <v>1503</v>
      </c>
      <c r="GN51" t="s">
        <v>1624</v>
      </c>
      <c r="HC51" t="s">
        <v>1049</v>
      </c>
      <c r="HR51" t="s">
        <v>1624</v>
      </c>
      <c r="IG51" t="s">
        <v>1688</v>
      </c>
      <c r="IV51" t="s">
        <v>1503</v>
      </c>
      <c r="JK51" t="s">
        <v>1582</v>
      </c>
      <c r="JZ51" t="s">
        <v>700</v>
      </c>
      <c r="KO51" t="s">
        <v>1688</v>
      </c>
      <c r="LD51" t="s">
        <v>1098</v>
      </c>
      <c r="LS51" t="s">
        <v>1721</v>
      </c>
      <c r="MH51" t="s">
        <v>706</v>
      </c>
      <c r="MW51" t="s">
        <v>706</v>
      </c>
      <c r="NL51" t="s">
        <v>1839</v>
      </c>
    </row>
    <row r="52" spans="1:376" ht="15.75" hidden="1" customHeight="1" x14ac:dyDescent="0.25">
      <c r="A52" t="s">
        <v>707</v>
      </c>
      <c r="P52" t="s">
        <v>792</v>
      </c>
      <c r="AE52" t="s">
        <v>792</v>
      </c>
      <c r="AT52" t="s">
        <v>707</v>
      </c>
      <c r="BI52" t="s">
        <v>792</v>
      </c>
      <c r="BX52" t="s">
        <v>792</v>
      </c>
      <c r="CM52" t="s">
        <v>793</v>
      </c>
      <c r="DB52" t="s">
        <v>792</v>
      </c>
      <c r="DQ52" t="s">
        <v>817</v>
      </c>
      <c r="EF52" t="s">
        <v>792</v>
      </c>
      <c r="EU52" t="s">
        <v>707</v>
      </c>
      <c r="FJ52" t="s">
        <v>796</v>
      </c>
      <c r="FY52" t="s">
        <v>707</v>
      </c>
      <c r="GN52" t="s">
        <v>793</v>
      </c>
      <c r="HC52" t="s">
        <v>707</v>
      </c>
      <c r="HR52" t="s">
        <v>793</v>
      </c>
      <c r="IG52" t="s">
        <v>793</v>
      </c>
      <c r="IV52" t="s">
        <v>792</v>
      </c>
      <c r="JK52" t="s">
        <v>707</v>
      </c>
      <c r="JZ52" t="s">
        <v>793</v>
      </c>
      <c r="KO52" t="s">
        <v>707</v>
      </c>
      <c r="LD52" t="s">
        <v>792</v>
      </c>
      <c r="LS52" t="s">
        <v>703</v>
      </c>
      <c r="MH52" t="s">
        <v>707</v>
      </c>
      <c r="MW52" t="s">
        <v>793</v>
      </c>
      <c r="NL52" t="s">
        <v>796</v>
      </c>
    </row>
    <row r="53" spans="1:376" ht="15.75" hidden="1" customHeight="1" x14ac:dyDescent="0.25"/>
    <row r="54" spans="1:376" ht="15.75" hidden="1" customHeight="1" x14ac:dyDescent="0.25">
      <c r="A54" t="s">
        <v>708</v>
      </c>
      <c r="P54" t="s">
        <v>708</v>
      </c>
      <c r="AE54" t="s">
        <v>708</v>
      </c>
      <c r="AT54" t="s">
        <v>708</v>
      </c>
      <c r="BI54" t="s">
        <v>708</v>
      </c>
      <c r="BX54" t="s">
        <v>708</v>
      </c>
      <c r="CM54" t="s">
        <v>708</v>
      </c>
      <c r="DB54" t="s">
        <v>708</v>
      </c>
      <c r="DQ54" t="s">
        <v>708</v>
      </c>
      <c r="EF54" t="s">
        <v>708</v>
      </c>
      <c r="EU54" t="s">
        <v>708</v>
      </c>
      <c r="FJ54" t="s">
        <v>708</v>
      </c>
      <c r="FY54" t="s">
        <v>708</v>
      </c>
      <c r="GN54" t="s">
        <v>708</v>
      </c>
      <c r="HC54" t="s">
        <v>708</v>
      </c>
      <c r="HR54" t="s">
        <v>708</v>
      </c>
      <c r="IG54" t="s">
        <v>708</v>
      </c>
      <c r="IV54" t="s">
        <v>708</v>
      </c>
      <c r="JK54" t="s">
        <v>708</v>
      </c>
      <c r="JZ54" t="s">
        <v>708</v>
      </c>
      <c r="KO54" t="s">
        <v>708</v>
      </c>
      <c r="LD54" t="s">
        <v>708</v>
      </c>
      <c r="LS54" t="s">
        <v>708</v>
      </c>
      <c r="MH54" t="s">
        <v>708</v>
      </c>
      <c r="MW54" t="s">
        <v>708</v>
      </c>
      <c r="NL54" t="s">
        <v>708</v>
      </c>
    </row>
    <row r="55" spans="1:376" ht="15.75" hidden="1" customHeight="1" x14ac:dyDescent="0.25"/>
    <row r="56" spans="1:376" ht="15.75" hidden="1" customHeight="1" x14ac:dyDescent="0.25">
      <c r="A56" t="s">
        <v>709</v>
      </c>
      <c r="P56" t="s">
        <v>709</v>
      </c>
      <c r="AE56" t="s">
        <v>709</v>
      </c>
      <c r="AT56" t="s">
        <v>709</v>
      </c>
      <c r="BI56" t="s">
        <v>709</v>
      </c>
      <c r="BX56" t="s">
        <v>709</v>
      </c>
      <c r="CM56" t="s">
        <v>709</v>
      </c>
      <c r="DB56" t="s">
        <v>709</v>
      </c>
      <c r="DQ56" t="s">
        <v>709</v>
      </c>
      <c r="EF56" t="s">
        <v>709</v>
      </c>
      <c r="EU56" t="s">
        <v>709</v>
      </c>
      <c r="FJ56" t="s">
        <v>709</v>
      </c>
      <c r="FY56" t="s">
        <v>709</v>
      </c>
      <c r="GN56" t="s">
        <v>709</v>
      </c>
      <c r="HC56" t="s">
        <v>709</v>
      </c>
      <c r="HR56" t="s">
        <v>709</v>
      </c>
      <c r="IG56" t="s">
        <v>709</v>
      </c>
      <c r="IV56" t="s">
        <v>709</v>
      </c>
      <c r="JK56" t="s">
        <v>709</v>
      </c>
      <c r="JZ56" t="s">
        <v>709</v>
      </c>
      <c r="KO56" t="s">
        <v>709</v>
      </c>
      <c r="LD56" t="s">
        <v>709</v>
      </c>
      <c r="LS56" t="s">
        <v>709</v>
      </c>
      <c r="MH56" t="s">
        <v>709</v>
      </c>
      <c r="MW56" t="s">
        <v>709</v>
      </c>
      <c r="NL56" t="s">
        <v>709</v>
      </c>
    </row>
    <row r="57" spans="1:376" ht="15.75" hidden="1" customHeight="1" x14ac:dyDescent="0.25"/>
    <row r="58" spans="1:376" ht="15.75" hidden="1" customHeight="1" x14ac:dyDescent="0.25">
      <c r="A58" t="s">
        <v>710</v>
      </c>
      <c r="P58" t="s">
        <v>710</v>
      </c>
      <c r="AE58" t="s">
        <v>710</v>
      </c>
      <c r="AT58" t="s">
        <v>710</v>
      </c>
      <c r="BI58" t="s">
        <v>710</v>
      </c>
      <c r="BX58" t="s">
        <v>710</v>
      </c>
      <c r="CM58" t="s">
        <v>710</v>
      </c>
      <c r="DB58" t="s">
        <v>710</v>
      </c>
      <c r="DQ58" t="s">
        <v>710</v>
      </c>
      <c r="EF58" t="s">
        <v>710</v>
      </c>
      <c r="EU58" t="s">
        <v>710</v>
      </c>
      <c r="FJ58" t="s">
        <v>710</v>
      </c>
      <c r="FY58" t="s">
        <v>710</v>
      </c>
      <c r="GN58" t="s">
        <v>710</v>
      </c>
      <c r="HC58" t="s">
        <v>710</v>
      </c>
      <c r="HR58" t="s">
        <v>710</v>
      </c>
      <c r="IG58" t="s">
        <v>710</v>
      </c>
      <c r="IV58" t="s">
        <v>710</v>
      </c>
      <c r="JK58" t="s">
        <v>710</v>
      </c>
      <c r="JZ58" t="s">
        <v>710</v>
      </c>
      <c r="KO58" t="s">
        <v>710</v>
      </c>
      <c r="LD58" t="s">
        <v>710</v>
      </c>
      <c r="LS58" t="s">
        <v>710</v>
      </c>
      <c r="MH58" t="s">
        <v>710</v>
      </c>
      <c r="MW58" t="s">
        <v>710</v>
      </c>
      <c r="NL58" t="s">
        <v>710</v>
      </c>
    </row>
    <row r="59" spans="1:376" ht="15.75" hidden="1" customHeight="1" x14ac:dyDescent="0.25">
      <c r="A59" t="s">
        <v>711</v>
      </c>
      <c r="P59" t="s">
        <v>711</v>
      </c>
      <c r="AE59" t="s">
        <v>711</v>
      </c>
      <c r="AT59" t="s">
        <v>711</v>
      </c>
      <c r="BI59" t="s">
        <v>711</v>
      </c>
      <c r="BX59" t="s">
        <v>711</v>
      </c>
      <c r="CM59" t="s">
        <v>711</v>
      </c>
      <c r="DB59" t="s">
        <v>711</v>
      </c>
      <c r="DQ59" t="s">
        <v>711</v>
      </c>
      <c r="EF59" t="s">
        <v>711</v>
      </c>
      <c r="EU59" t="s">
        <v>711</v>
      </c>
      <c r="FJ59" t="s">
        <v>711</v>
      </c>
      <c r="FY59" t="s">
        <v>711</v>
      </c>
      <c r="GN59" t="s">
        <v>711</v>
      </c>
      <c r="HC59" t="s">
        <v>711</v>
      </c>
      <c r="HR59" t="s">
        <v>711</v>
      </c>
      <c r="IG59" t="s">
        <v>711</v>
      </c>
      <c r="IV59" t="s">
        <v>711</v>
      </c>
      <c r="JK59" t="s">
        <v>711</v>
      </c>
      <c r="JZ59" t="s">
        <v>711</v>
      </c>
      <c r="KO59" t="s">
        <v>711</v>
      </c>
      <c r="LD59" t="s">
        <v>711</v>
      </c>
      <c r="LS59" t="s">
        <v>711</v>
      </c>
      <c r="MH59" t="s">
        <v>711</v>
      </c>
      <c r="MW59" t="s">
        <v>711</v>
      </c>
      <c r="NL59" t="s">
        <v>711</v>
      </c>
    </row>
    <row r="60" spans="1:376" ht="15.75" hidden="1" customHeight="1" x14ac:dyDescent="0.25">
      <c r="A60" t="s">
        <v>712</v>
      </c>
      <c r="P60" t="s">
        <v>712</v>
      </c>
      <c r="AE60" t="s">
        <v>712</v>
      </c>
      <c r="AT60" t="s">
        <v>712</v>
      </c>
      <c r="BI60" t="s">
        <v>712</v>
      </c>
      <c r="BX60" t="s">
        <v>712</v>
      </c>
      <c r="CM60" t="s">
        <v>712</v>
      </c>
      <c r="DB60" t="s">
        <v>712</v>
      </c>
      <c r="DQ60" t="s">
        <v>712</v>
      </c>
      <c r="EF60" t="s">
        <v>712</v>
      </c>
      <c r="EU60" t="s">
        <v>712</v>
      </c>
      <c r="FJ60" t="s">
        <v>712</v>
      </c>
      <c r="FY60" t="s">
        <v>712</v>
      </c>
      <c r="GN60" t="s">
        <v>712</v>
      </c>
      <c r="HC60" t="s">
        <v>712</v>
      </c>
      <c r="HR60" t="s">
        <v>712</v>
      </c>
      <c r="IG60" t="s">
        <v>712</v>
      </c>
      <c r="IV60" t="s">
        <v>712</v>
      </c>
      <c r="JK60" t="s">
        <v>712</v>
      </c>
      <c r="JZ60" t="s">
        <v>712</v>
      </c>
      <c r="KO60" t="s">
        <v>712</v>
      </c>
      <c r="LD60" t="s">
        <v>712</v>
      </c>
      <c r="LS60" t="s">
        <v>712</v>
      </c>
      <c r="MH60" t="s">
        <v>712</v>
      </c>
      <c r="MW60" t="s">
        <v>712</v>
      </c>
      <c r="NL60" t="s">
        <v>712</v>
      </c>
    </row>
    <row r="61" spans="1:376" ht="15.75" hidden="1" customHeight="1" x14ac:dyDescent="0.25">
      <c r="A61" t="s">
        <v>713</v>
      </c>
      <c r="P61" t="s">
        <v>713</v>
      </c>
      <c r="AE61" t="s">
        <v>713</v>
      </c>
      <c r="AT61" t="s">
        <v>713</v>
      </c>
      <c r="BI61" t="s">
        <v>713</v>
      </c>
      <c r="BX61" t="s">
        <v>713</v>
      </c>
      <c r="CM61" t="s">
        <v>713</v>
      </c>
      <c r="DB61" t="s">
        <v>713</v>
      </c>
      <c r="DQ61" t="s">
        <v>713</v>
      </c>
      <c r="EF61" t="s">
        <v>713</v>
      </c>
      <c r="EU61" t="s">
        <v>713</v>
      </c>
      <c r="FJ61" t="s">
        <v>713</v>
      </c>
      <c r="FY61" t="s">
        <v>713</v>
      </c>
      <c r="GN61" t="s">
        <v>713</v>
      </c>
      <c r="HC61" t="s">
        <v>713</v>
      </c>
      <c r="HR61" t="s">
        <v>713</v>
      </c>
      <c r="IG61" t="s">
        <v>713</v>
      </c>
      <c r="IV61" t="s">
        <v>713</v>
      </c>
      <c r="JK61" t="s">
        <v>713</v>
      </c>
      <c r="JZ61" t="s">
        <v>713</v>
      </c>
      <c r="KO61" t="s">
        <v>713</v>
      </c>
      <c r="LD61" t="s">
        <v>713</v>
      </c>
      <c r="LS61" t="s">
        <v>713</v>
      </c>
      <c r="MH61" t="s">
        <v>713</v>
      </c>
      <c r="MW61" t="s">
        <v>713</v>
      </c>
      <c r="NL61" t="s">
        <v>713</v>
      </c>
    </row>
    <row r="62" spans="1:376" ht="15.75" hidden="1" customHeight="1" x14ac:dyDescent="0.25">
      <c r="A62" t="s">
        <v>714</v>
      </c>
      <c r="P62" t="s">
        <v>714</v>
      </c>
      <c r="AE62" t="s">
        <v>714</v>
      </c>
      <c r="AT62" t="s">
        <v>714</v>
      </c>
      <c r="BI62" t="s">
        <v>714</v>
      </c>
      <c r="BX62" t="s">
        <v>714</v>
      </c>
      <c r="CM62" t="s">
        <v>714</v>
      </c>
      <c r="DB62" t="s">
        <v>714</v>
      </c>
      <c r="DQ62" t="s">
        <v>714</v>
      </c>
      <c r="EF62" t="s">
        <v>714</v>
      </c>
      <c r="EU62" t="s">
        <v>714</v>
      </c>
      <c r="FJ62" t="s">
        <v>714</v>
      </c>
      <c r="FY62" t="s">
        <v>714</v>
      </c>
      <c r="GN62" t="s">
        <v>714</v>
      </c>
      <c r="HC62" t="s">
        <v>714</v>
      </c>
      <c r="HR62" t="s">
        <v>714</v>
      </c>
      <c r="IG62" t="s">
        <v>714</v>
      </c>
      <c r="IV62" t="s">
        <v>714</v>
      </c>
      <c r="JK62" t="s">
        <v>714</v>
      </c>
      <c r="JZ62" t="s">
        <v>714</v>
      </c>
      <c r="KO62" t="s">
        <v>714</v>
      </c>
      <c r="LD62" t="s">
        <v>714</v>
      </c>
      <c r="LS62" t="s">
        <v>714</v>
      </c>
      <c r="MH62" t="s">
        <v>714</v>
      </c>
      <c r="MW62" t="s">
        <v>714</v>
      </c>
      <c r="NL62" t="s">
        <v>714</v>
      </c>
    </row>
    <row r="63" spans="1:376" ht="15.75" hidden="1" customHeight="1" x14ac:dyDescent="0.25">
      <c r="A63" t="s">
        <v>715</v>
      </c>
      <c r="P63" t="s">
        <v>715</v>
      </c>
      <c r="AE63" t="s">
        <v>715</v>
      </c>
      <c r="AT63" t="s">
        <v>715</v>
      </c>
      <c r="BI63" t="s">
        <v>715</v>
      </c>
      <c r="BX63" t="s">
        <v>715</v>
      </c>
      <c r="CM63" t="s">
        <v>715</v>
      </c>
      <c r="DB63" t="s">
        <v>715</v>
      </c>
      <c r="DQ63" t="s">
        <v>715</v>
      </c>
      <c r="EF63" t="s">
        <v>715</v>
      </c>
      <c r="EU63" t="s">
        <v>715</v>
      </c>
      <c r="FJ63" t="s">
        <v>715</v>
      </c>
      <c r="FY63" t="s">
        <v>715</v>
      </c>
      <c r="GN63" t="s">
        <v>715</v>
      </c>
      <c r="HC63" t="s">
        <v>715</v>
      </c>
      <c r="HR63" t="s">
        <v>715</v>
      </c>
      <c r="IG63" t="s">
        <v>715</v>
      </c>
      <c r="IV63" t="s">
        <v>715</v>
      </c>
      <c r="JK63" t="s">
        <v>715</v>
      </c>
      <c r="JZ63" t="s">
        <v>715</v>
      </c>
      <c r="KO63" t="s">
        <v>715</v>
      </c>
      <c r="LD63" t="s">
        <v>715</v>
      </c>
      <c r="LS63" t="s">
        <v>715</v>
      </c>
      <c r="MH63" t="s">
        <v>715</v>
      </c>
      <c r="MW63" t="s">
        <v>715</v>
      </c>
      <c r="NL63" t="s">
        <v>715</v>
      </c>
    </row>
    <row r="64" spans="1:376" ht="15.75" hidden="1" customHeight="1" x14ac:dyDescent="0.25">
      <c r="A64" t="s">
        <v>716</v>
      </c>
      <c r="P64" t="s">
        <v>716</v>
      </c>
      <c r="AE64" t="s">
        <v>716</v>
      </c>
      <c r="AT64" t="s">
        <v>716</v>
      </c>
      <c r="BI64" t="s">
        <v>716</v>
      </c>
      <c r="BX64" t="s">
        <v>716</v>
      </c>
      <c r="CM64" t="s">
        <v>716</v>
      </c>
      <c r="DB64" t="s">
        <v>716</v>
      </c>
      <c r="DQ64" t="s">
        <v>716</v>
      </c>
      <c r="EF64" t="s">
        <v>716</v>
      </c>
      <c r="EU64" t="s">
        <v>716</v>
      </c>
      <c r="FJ64" t="s">
        <v>716</v>
      </c>
      <c r="FY64" t="s">
        <v>716</v>
      </c>
      <c r="GN64" t="s">
        <v>716</v>
      </c>
      <c r="HC64" t="s">
        <v>716</v>
      </c>
      <c r="HR64" t="s">
        <v>716</v>
      </c>
      <c r="IG64" t="s">
        <v>716</v>
      </c>
      <c r="IV64" t="s">
        <v>716</v>
      </c>
      <c r="JK64" t="s">
        <v>716</v>
      </c>
      <c r="JZ64" t="s">
        <v>716</v>
      </c>
      <c r="KO64" t="s">
        <v>716</v>
      </c>
      <c r="LD64" t="s">
        <v>716</v>
      </c>
      <c r="LS64" t="s">
        <v>716</v>
      </c>
      <c r="MH64" t="s">
        <v>716</v>
      </c>
      <c r="MW64" t="s">
        <v>716</v>
      </c>
      <c r="NL64" t="s">
        <v>716</v>
      </c>
    </row>
    <row r="65" spans="1:376" ht="15.75" hidden="1" customHeight="1" x14ac:dyDescent="0.25"/>
    <row r="66" spans="1:376" ht="15.75" hidden="1" customHeight="1" x14ac:dyDescent="0.25">
      <c r="A66" t="s">
        <v>717</v>
      </c>
      <c r="P66" t="s">
        <v>717</v>
      </c>
      <c r="AE66" t="s">
        <v>717</v>
      </c>
      <c r="AT66" t="s">
        <v>717</v>
      </c>
      <c r="BI66" t="s">
        <v>717</v>
      </c>
      <c r="BX66" t="s">
        <v>717</v>
      </c>
      <c r="CM66" t="s">
        <v>717</v>
      </c>
      <c r="DB66" t="s">
        <v>717</v>
      </c>
      <c r="DQ66" t="s">
        <v>717</v>
      </c>
      <c r="EF66" t="s">
        <v>717</v>
      </c>
      <c r="EU66" t="s">
        <v>717</v>
      </c>
      <c r="FJ66" t="s">
        <v>717</v>
      </c>
      <c r="FY66" t="s">
        <v>717</v>
      </c>
      <c r="GN66" t="s">
        <v>717</v>
      </c>
      <c r="HC66" t="s">
        <v>717</v>
      </c>
      <c r="HR66" t="s">
        <v>717</v>
      </c>
      <c r="IG66" t="s">
        <v>717</v>
      </c>
      <c r="IV66" t="s">
        <v>717</v>
      </c>
      <c r="JK66" t="s">
        <v>717</v>
      </c>
      <c r="JZ66" t="s">
        <v>717</v>
      </c>
      <c r="KO66" t="s">
        <v>717</v>
      </c>
      <c r="LD66" t="s">
        <v>717</v>
      </c>
      <c r="LS66" t="s">
        <v>717</v>
      </c>
      <c r="MH66" t="s">
        <v>717</v>
      </c>
      <c r="MW66" t="s">
        <v>717</v>
      </c>
      <c r="NL66" t="s">
        <v>717</v>
      </c>
    </row>
    <row r="67" spans="1:376" ht="15.75" hidden="1" customHeight="1" x14ac:dyDescent="0.25"/>
    <row r="68" spans="1:376" ht="15.75" hidden="1" customHeight="1" x14ac:dyDescent="0.25">
      <c r="A68" t="s">
        <v>718</v>
      </c>
      <c r="P68" t="s">
        <v>718</v>
      </c>
      <c r="AE68" t="s">
        <v>718</v>
      </c>
      <c r="AT68" t="s">
        <v>718</v>
      </c>
      <c r="BI68" t="s">
        <v>718</v>
      </c>
      <c r="BX68" t="s">
        <v>718</v>
      </c>
      <c r="CM68" t="s">
        <v>718</v>
      </c>
      <c r="DB68" t="s">
        <v>718</v>
      </c>
      <c r="DQ68" t="s">
        <v>718</v>
      </c>
      <c r="EF68" t="s">
        <v>718</v>
      </c>
      <c r="EU68" t="s">
        <v>718</v>
      </c>
      <c r="FJ68" t="s">
        <v>718</v>
      </c>
      <c r="FY68" t="s">
        <v>718</v>
      </c>
      <c r="GN68" t="s">
        <v>718</v>
      </c>
      <c r="HC68" t="s">
        <v>718</v>
      </c>
      <c r="HR68" t="s">
        <v>718</v>
      </c>
      <c r="IG68" t="s">
        <v>718</v>
      </c>
      <c r="IV68" t="s">
        <v>718</v>
      </c>
      <c r="JK68" t="s">
        <v>718</v>
      </c>
      <c r="JZ68" t="s">
        <v>718</v>
      </c>
      <c r="KO68" t="s">
        <v>718</v>
      </c>
      <c r="LD68" t="s">
        <v>718</v>
      </c>
      <c r="LS68" t="s">
        <v>718</v>
      </c>
      <c r="MH68" t="s">
        <v>718</v>
      </c>
      <c r="MW68" t="s">
        <v>718</v>
      </c>
      <c r="NL68" t="s">
        <v>718</v>
      </c>
    </row>
    <row r="69" spans="1:376" ht="15.75" hidden="1" customHeight="1" x14ac:dyDescent="0.25">
      <c r="A69" t="s">
        <v>719</v>
      </c>
      <c r="P69" t="s">
        <v>719</v>
      </c>
      <c r="AE69" t="s">
        <v>719</v>
      </c>
      <c r="AT69" t="s">
        <v>719</v>
      </c>
      <c r="BI69" t="s">
        <v>719</v>
      </c>
      <c r="BX69" t="s">
        <v>719</v>
      </c>
      <c r="CM69" t="s">
        <v>719</v>
      </c>
      <c r="DB69" t="s">
        <v>719</v>
      </c>
      <c r="DQ69" t="s">
        <v>719</v>
      </c>
      <c r="EF69" t="s">
        <v>719</v>
      </c>
      <c r="EU69" t="s">
        <v>719</v>
      </c>
      <c r="FJ69" t="s">
        <v>719</v>
      </c>
      <c r="FY69" t="s">
        <v>719</v>
      </c>
      <c r="GN69" t="s">
        <v>719</v>
      </c>
      <c r="HC69" t="s">
        <v>719</v>
      </c>
      <c r="HR69" t="s">
        <v>719</v>
      </c>
      <c r="IG69" t="s">
        <v>719</v>
      </c>
      <c r="IV69" t="s">
        <v>719</v>
      </c>
      <c r="JK69" t="s">
        <v>719</v>
      </c>
      <c r="JZ69" t="s">
        <v>719</v>
      </c>
      <c r="KO69" t="s">
        <v>719</v>
      </c>
      <c r="LD69" t="s">
        <v>719</v>
      </c>
      <c r="LS69" t="s">
        <v>719</v>
      </c>
      <c r="MH69" t="s">
        <v>719</v>
      </c>
      <c r="MW69" t="s">
        <v>719</v>
      </c>
      <c r="NL69" t="s">
        <v>719</v>
      </c>
    </row>
    <row r="70" spans="1:376" ht="15.75" hidden="1" customHeight="1" x14ac:dyDescent="0.25"/>
    <row r="71" spans="1:376" ht="15.75" hidden="1" customHeight="1" x14ac:dyDescent="0.25"/>
    <row r="72" spans="1:376" ht="15.75" hidden="1" customHeight="1" x14ac:dyDescent="0.25"/>
    <row r="73" spans="1:376" ht="15.75" hidden="1" customHeight="1" x14ac:dyDescent="0.25">
      <c r="A73" t="s">
        <v>720</v>
      </c>
      <c r="P73" t="s">
        <v>720</v>
      </c>
      <c r="AE73" t="s">
        <v>720</v>
      </c>
      <c r="AT73" t="s">
        <v>720</v>
      </c>
      <c r="BI73" t="s">
        <v>720</v>
      </c>
      <c r="BX73" t="s">
        <v>720</v>
      </c>
      <c r="CM73" t="s">
        <v>720</v>
      </c>
      <c r="DB73" t="s">
        <v>720</v>
      </c>
      <c r="DQ73" t="s">
        <v>720</v>
      </c>
      <c r="EF73" t="s">
        <v>720</v>
      </c>
      <c r="EU73" t="s">
        <v>720</v>
      </c>
      <c r="FJ73" t="s">
        <v>720</v>
      </c>
      <c r="FY73" t="s">
        <v>720</v>
      </c>
      <c r="GN73" t="s">
        <v>720</v>
      </c>
      <c r="HC73" t="s">
        <v>720</v>
      </c>
      <c r="HR73" t="s">
        <v>720</v>
      </c>
      <c r="IG73" t="s">
        <v>720</v>
      </c>
      <c r="IV73" t="s">
        <v>720</v>
      </c>
      <c r="JK73" t="s">
        <v>720</v>
      </c>
      <c r="JZ73" t="s">
        <v>720</v>
      </c>
      <c r="KO73" t="s">
        <v>720</v>
      </c>
      <c r="LD73" t="s">
        <v>720</v>
      </c>
      <c r="LS73" t="s">
        <v>720</v>
      </c>
      <c r="MH73" t="s">
        <v>720</v>
      </c>
      <c r="MW73" t="s">
        <v>720</v>
      </c>
      <c r="NL73" t="s">
        <v>720</v>
      </c>
    </row>
    <row r="74" spans="1:376" ht="15.75" hidden="1" customHeight="1" x14ac:dyDescent="0.25">
      <c r="A74" t="s">
        <v>721</v>
      </c>
      <c r="P74" t="s">
        <v>721</v>
      </c>
      <c r="AE74" t="s">
        <v>721</v>
      </c>
      <c r="AT74" t="s">
        <v>721</v>
      </c>
      <c r="BI74" t="s">
        <v>721</v>
      </c>
      <c r="BX74" t="s">
        <v>721</v>
      </c>
      <c r="CM74" t="s">
        <v>721</v>
      </c>
      <c r="DB74" t="s">
        <v>721</v>
      </c>
      <c r="DQ74" t="s">
        <v>721</v>
      </c>
      <c r="EF74" t="s">
        <v>721</v>
      </c>
      <c r="EU74" t="s">
        <v>721</v>
      </c>
      <c r="FJ74" t="s">
        <v>721</v>
      </c>
      <c r="FY74" t="s">
        <v>721</v>
      </c>
      <c r="GN74" t="s">
        <v>721</v>
      </c>
      <c r="HC74" t="s">
        <v>721</v>
      </c>
      <c r="HR74" t="s">
        <v>721</v>
      </c>
      <c r="IG74" t="s">
        <v>721</v>
      </c>
      <c r="IV74" t="s">
        <v>721</v>
      </c>
      <c r="JK74" t="s">
        <v>721</v>
      </c>
      <c r="JZ74" t="s">
        <v>721</v>
      </c>
      <c r="KO74" t="s">
        <v>721</v>
      </c>
      <c r="LD74" t="s">
        <v>721</v>
      </c>
      <c r="LS74" t="s">
        <v>721</v>
      </c>
      <c r="MH74" t="s">
        <v>721</v>
      </c>
      <c r="MW74" t="s">
        <v>721</v>
      </c>
      <c r="NL74" t="s">
        <v>721</v>
      </c>
    </row>
    <row r="75" spans="1:376" ht="15.75" hidden="1" customHeight="1" x14ac:dyDescent="0.25">
      <c r="A75" t="s">
        <v>722</v>
      </c>
      <c r="P75" t="s">
        <v>722</v>
      </c>
      <c r="AE75" t="s">
        <v>722</v>
      </c>
      <c r="AT75" t="s">
        <v>722</v>
      </c>
      <c r="BI75" t="s">
        <v>722</v>
      </c>
      <c r="BX75" t="s">
        <v>722</v>
      </c>
      <c r="CM75" t="s">
        <v>722</v>
      </c>
      <c r="DB75" t="s">
        <v>722</v>
      </c>
      <c r="DQ75" t="s">
        <v>722</v>
      </c>
      <c r="EF75" t="s">
        <v>722</v>
      </c>
      <c r="EU75" t="s">
        <v>722</v>
      </c>
      <c r="FJ75" t="s">
        <v>722</v>
      </c>
      <c r="FY75" t="s">
        <v>722</v>
      </c>
      <c r="GN75" t="s">
        <v>722</v>
      </c>
      <c r="HC75" t="s">
        <v>722</v>
      </c>
      <c r="HR75" t="s">
        <v>722</v>
      </c>
      <c r="IG75" t="s">
        <v>722</v>
      </c>
      <c r="IV75" t="s">
        <v>722</v>
      </c>
      <c r="JK75" t="s">
        <v>722</v>
      </c>
      <c r="JZ75" t="s">
        <v>722</v>
      </c>
      <c r="KO75" t="s">
        <v>722</v>
      </c>
      <c r="LD75" t="s">
        <v>722</v>
      </c>
      <c r="LS75" t="s">
        <v>722</v>
      </c>
      <c r="MH75" t="s">
        <v>722</v>
      </c>
      <c r="MW75" t="s">
        <v>722</v>
      </c>
      <c r="NL75" t="s">
        <v>722</v>
      </c>
    </row>
    <row r="76" spans="1:376" ht="15.75" hidden="1" customHeight="1" x14ac:dyDescent="0.25">
      <c r="A76" t="s">
        <v>723</v>
      </c>
      <c r="P76" t="s">
        <v>723</v>
      </c>
      <c r="AE76" t="s">
        <v>723</v>
      </c>
      <c r="AT76" t="s">
        <v>723</v>
      </c>
      <c r="BI76" t="s">
        <v>723</v>
      </c>
      <c r="BX76" t="s">
        <v>723</v>
      </c>
      <c r="CM76" t="s">
        <v>723</v>
      </c>
      <c r="DB76" t="s">
        <v>723</v>
      </c>
      <c r="DQ76" t="s">
        <v>723</v>
      </c>
      <c r="EF76" t="s">
        <v>723</v>
      </c>
      <c r="EU76" t="s">
        <v>723</v>
      </c>
      <c r="FJ76" t="s">
        <v>723</v>
      </c>
      <c r="FY76" t="s">
        <v>723</v>
      </c>
      <c r="GN76" t="s">
        <v>723</v>
      </c>
      <c r="HC76" t="s">
        <v>723</v>
      </c>
      <c r="HR76" t="s">
        <v>723</v>
      </c>
      <c r="IG76" t="s">
        <v>723</v>
      </c>
      <c r="IV76" t="s">
        <v>723</v>
      </c>
      <c r="JK76" t="s">
        <v>723</v>
      </c>
      <c r="JZ76" t="s">
        <v>723</v>
      </c>
      <c r="KO76" t="s">
        <v>723</v>
      </c>
      <c r="LD76" t="s">
        <v>723</v>
      </c>
      <c r="LS76" t="s">
        <v>723</v>
      </c>
      <c r="MH76" t="s">
        <v>723</v>
      </c>
      <c r="MW76" t="s">
        <v>723</v>
      </c>
      <c r="NL76" t="s">
        <v>723</v>
      </c>
    </row>
    <row r="77" spans="1:376" ht="15.75" hidden="1" customHeight="1" x14ac:dyDescent="0.25">
      <c r="A77" t="s">
        <v>724</v>
      </c>
      <c r="P77" t="s">
        <v>724</v>
      </c>
      <c r="AE77" t="s">
        <v>724</v>
      </c>
      <c r="AT77" t="s">
        <v>724</v>
      </c>
      <c r="BI77" t="s">
        <v>724</v>
      </c>
      <c r="BX77" t="s">
        <v>724</v>
      </c>
      <c r="CM77" t="s">
        <v>724</v>
      </c>
      <c r="DB77" t="s">
        <v>724</v>
      </c>
      <c r="DQ77" t="s">
        <v>724</v>
      </c>
      <c r="EF77" t="s">
        <v>724</v>
      </c>
      <c r="EU77" t="s">
        <v>724</v>
      </c>
      <c r="FJ77" t="s">
        <v>724</v>
      </c>
      <c r="FY77" t="s">
        <v>724</v>
      </c>
      <c r="GN77" t="s">
        <v>724</v>
      </c>
      <c r="HC77" t="s">
        <v>724</v>
      </c>
      <c r="HR77" t="s">
        <v>724</v>
      </c>
      <c r="IG77" t="s">
        <v>724</v>
      </c>
      <c r="IV77" t="s">
        <v>724</v>
      </c>
      <c r="JK77" t="s">
        <v>724</v>
      </c>
      <c r="JZ77" t="s">
        <v>724</v>
      </c>
      <c r="KO77" t="s">
        <v>724</v>
      </c>
      <c r="LD77" t="s">
        <v>724</v>
      </c>
      <c r="LS77" t="s">
        <v>724</v>
      </c>
      <c r="MH77" t="s">
        <v>724</v>
      </c>
      <c r="MW77" t="s">
        <v>724</v>
      </c>
      <c r="NL77" t="s">
        <v>724</v>
      </c>
    </row>
    <row r="78" spans="1:376" ht="15.75" hidden="1" customHeight="1" x14ac:dyDescent="0.25">
      <c r="A78" t="s">
        <v>725</v>
      </c>
      <c r="P78" t="s">
        <v>725</v>
      </c>
      <c r="AE78" t="s">
        <v>725</v>
      </c>
      <c r="AT78" t="s">
        <v>725</v>
      </c>
      <c r="BI78" t="s">
        <v>725</v>
      </c>
      <c r="BX78" t="s">
        <v>725</v>
      </c>
      <c r="CM78" t="s">
        <v>725</v>
      </c>
      <c r="DB78" t="s">
        <v>725</v>
      </c>
      <c r="DQ78" t="s">
        <v>725</v>
      </c>
      <c r="EF78" t="s">
        <v>725</v>
      </c>
      <c r="EU78" t="s">
        <v>725</v>
      </c>
      <c r="FJ78" t="s">
        <v>725</v>
      </c>
      <c r="FY78" t="s">
        <v>725</v>
      </c>
      <c r="GN78" t="s">
        <v>725</v>
      </c>
      <c r="HC78" t="s">
        <v>725</v>
      </c>
      <c r="HR78" t="s">
        <v>725</v>
      </c>
      <c r="IG78" t="s">
        <v>725</v>
      </c>
      <c r="IV78" t="s">
        <v>725</v>
      </c>
      <c r="JK78" t="s">
        <v>725</v>
      </c>
      <c r="JZ78" t="s">
        <v>725</v>
      </c>
      <c r="KO78" t="s">
        <v>725</v>
      </c>
      <c r="LD78" t="s">
        <v>725</v>
      </c>
      <c r="LS78" t="s">
        <v>725</v>
      </c>
      <c r="MH78" t="s">
        <v>725</v>
      </c>
      <c r="MW78" t="s">
        <v>725</v>
      </c>
      <c r="NL78" t="s">
        <v>725</v>
      </c>
    </row>
    <row r="79" spans="1:376" ht="15.75" hidden="1" customHeight="1" x14ac:dyDescent="0.25">
      <c r="A79" t="s">
        <v>726</v>
      </c>
      <c r="P79" t="s">
        <v>726</v>
      </c>
      <c r="AE79" t="s">
        <v>726</v>
      </c>
      <c r="AT79" t="s">
        <v>726</v>
      </c>
      <c r="BI79" t="s">
        <v>726</v>
      </c>
      <c r="BX79" t="s">
        <v>726</v>
      </c>
      <c r="CM79" t="s">
        <v>726</v>
      </c>
      <c r="DB79" t="s">
        <v>726</v>
      </c>
      <c r="DQ79" t="s">
        <v>726</v>
      </c>
      <c r="EF79" t="s">
        <v>726</v>
      </c>
      <c r="EU79" t="s">
        <v>726</v>
      </c>
      <c r="FJ79" t="s">
        <v>726</v>
      </c>
      <c r="FY79" t="s">
        <v>726</v>
      </c>
      <c r="GN79" t="s">
        <v>726</v>
      </c>
      <c r="HC79" t="s">
        <v>726</v>
      </c>
      <c r="HR79" t="s">
        <v>726</v>
      </c>
      <c r="IG79" t="s">
        <v>726</v>
      </c>
      <c r="IV79" t="s">
        <v>726</v>
      </c>
      <c r="JK79" t="s">
        <v>726</v>
      </c>
      <c r="JZ79" t="s">
        <v>726</v>
      </c>
      <c r="KO79" t="s">
        <v>726</v>
      </c>
      <c r="LD79" t="s">
        <v>726</v>
      </c>
      <c r="LS79" t="s">
        <v>726</v>
      </c>
      <c r="MH79" t="s">
        <v>726</v>
      </c>
      <c r="MW79" t="s">
        <v>726</v>
      </c>
      <c r="NL79" t="s">
        <v>726</v>
      </c>
    </row>
    <row r="80" spans="1:376" ht="15.75" hidden="1" customHeight="1" x14ac:dyDescent="0.25">
      <c r="A80" t="s">
        <v>727</v>
      </c>
      <c r="P80" t="s">
        <v>727</v>
      </c>
      <c r="AE80" t="s">
        <v>727</v>
      </c>
      <c r="AT80" t="s">
        <v>727</v>
      </c>
      <c r="BI80" t="s">
        <v>727</v>
      </c>
      <c r="BX80" t="s">
        <v>727</v>
      </c>
      <c r="CM80" t="s">
        <v>727</v>
      </c>
      <c r="DB80" t="s">
        <v>727</v>
      </c>
      <c r="DQ80" t="s">
        <v>727</v>
      </c>
      <c r="EF80" t="s">
        <v>727</v>
      </c>
      <c r="EU80" t="s">
        <v>727</v>
      </c>
      <c r="FJ80" t="s">
        <v>727</v>
      </c>
      <c r="FY80" t="s">
        <v>727</v>
      </c>
      <c r="GN80" t="s">
        <v>727</v>
      </c>
      <c r="HC80" t="s">
        <v>727</v>
      </c>
      <c r="HR80" t="s">
        <v>727</v>
      </c>
      <c r="IG80" t="s">
        <v>727</v>
      </c>
      <c r="IV80" t="s">
        <v>727</v>
      </c>
      <c r="JK80" t="s">
        <v>727</v>
      </c>
      <c r="JZ80" t="s">
        <v>727</v>
      </c>
      <c r="KO80" t="s">
        <v>727</v>
      </c>
      <c r="LD80" t="s">
        <v>727</v>
      </c>
      <c r="LS80" t="s">
        <v>727</v>
      </c>
      <c r="MH80" t="s">
        <v>727</v>
      </c>
      <c r="MW80" t="s">
        <v>727</v>
      </c>
      <c r="NL80" t="s">
        <v>727</v>
      </c>
    </row>
    <row r="81" spans="1:376" ht="15.75" hidden="1" customHeight="1" x14ac:dyDescent="0.25">
      <c r="A81" t="s">
        <v>674</v>
      </c>
      <c r="P81" t="s">
        <v>674</v>
      </c>
      <c r="AE81" t="s">
        <v>674</v>
      </c>
      <c r="AT81" t="s">
        <v>674</v>
      </c>
      <c r="BI81" t="s">
        <v>674</v>
      </c>
      <c r="BX81" t="s">
        <v>674</v>
      </c>
      <c r="CM81" t="s">
        <v>674</v>
      </c>
      <c r="DB81" t="s">
        <v>674</v>
      </c>
      <c r="DQ81" t="s">
        <v>674</v>
      </c>
      <c r="EF81" t="s">
        <v>674</v>
      </c>
      <c r="EU81" t="s">
        <v>674</v>
      </c>
      <c r="FJ81" t="s">
        <v>674</v>
      </c>
      <c r="FY81" t="s">
        <v>674</v>
      </c>
      <c r="GN81" t="s">
        <v>674</v>
      </c>
      <c r="HC81" t="s">
        <v>674</v>
      </c>
      <c r="HR81" t="s">
        <v>674</v>
      </c>
      <c r="IG81" t="s">
        <v>674</v>
      </c>
      <c r="IV81" t="s">
        <v>674</v>
      </c>
      <c r="JK81" t="s">
        <v>674</v>
      </c>
      <c r="JZ81" t="s">
        <v>674</v>
      </c>
      <c r="KO81" t="s">
        <v>674</v>
      </c>
      <c r="LD81" t="s">
        <v>674</v>
      </c>
      <c r="LS81" t="s">
        <v>674</v>
      </c>
      <c r="MH81" t="s">
        <v>674</v>
      </c>
      <c r="MW81" t="s">
        <v>674</v>
      </c>
      <c r="NL81" t="s">
        <v>674</v>
      </c>
    </row>
    <row r="82" spans="1:376" ht="15.75" hidden="1" customHeight="1" x14ac:dyDescent="0.25">
      <c r="A82" t="s">
        <v>728</v>
      </c>
      <c r="P82" t="s">
        <v>728</v>
      </c>
      <c r="AE82" t="s">
        <v>728</v>
      </c>
      <c r="AT82" t="s">
        <v>728</v>
      </c>
      <c r="BI82" t="s">
        <v>728</v>
      </c>
      <c r="BX82" t="s">
        <v>728</v>
      </c>
      <c r="CM82" t="s">
        <v>728</v>
      </c>
      <c r="DB82" t="s">
        <v>728</v>
      </c>
      <c r="DQ82" t="s">
        <v>728</v>
      </c>
      <c r="EF82" t="s">
        <v>728</v>
      </c>
      <c r="EU82" t="s">
        <v>728</v>
      </c>
      <c r="FJ82" t="s">
        <v>728</v>
      </c>
      <c r="FY82" t="s">
        <v>728</v>
      </c>
      <c r="GN82" t="s">
        <v>728</v>
      </c>
      <c r="HC82" t="s">
        <v>728</v>
      </c>
      <c r="HR82" t="s">
        <v>728</v>
      </c>
      <c r="IG82" t="s">
        <v>728</v>
      </c>
      <c r="IV82" t="s">
        <v>728</v>
      </c>
      <c r="JK82" t="s">
        <v>728</v>
      </c>
      <c r="JZ82" t="s">
        <v>728</v>
      </c>
      <c r="KO82" t="s">
        <v>728</v>
      </c>
      <c r="LD82" t="s">
        <v>728</v>
      </c>
      <c r="LS82" t="s">
        <v>728</v>
      </c>
      <c r="MH82" t="s">
        <v>728</v>
      </c>
      <c r="MW82" t="s">
        <v>728</v>
      </c>
      <c r="NL82" t="s">
        <v>728</v>
      </c>
    </row>
    <row r="83" spans="1:376" ht="15.75" hidden="1" customHeight="1" x14ac:dyDescent="0.25">
      <c r="A83" t="s">
        <v>729</v>
      </c>
      <c r="P83" t="s">
        <v>729</v>
      </c>
      <c r="AE83" t="s">
        <v>729</v>
      </c>
      <c r="AT83" t="s">
        <v>729</v>
      </c>
      <c r="BI83" t="s">
        <v>729</v>
      </c>
      <c r="BX83" t="s">
        <v>729</v>
      </c>
      <c r="CM83" t="s">
        <v>729</v>
      </c>
      <c r="DB83" t="s">
        <v>729</v>
      </c>
      <c r="DQ83" t="s">
        <v>729</v>
      </c>
      <c r="EF83" t="s">
        <v>729</v>
      </c>
      <c r="EU83" t="s">
        <v>729</v>
      </c>
      <c r="FJ83" t="s">
        <v>729</v>
      </c>
      <c r="FY83" t="s">
        <v>729</v>
      </c>
      <c r="GN83" t="s">
        <v>729</v>
      </c>
      <c r="HC83" t="s">
        <v>729</v>
      </c>
      <c r="HR83" t="s">
        <v>729</v>
      </c>
      <c r="IG83" t="s">
        <v>729</v>
      </c>
      <c r="IV83" t="s">
        <v>729</v>
      </c>
      <c r="JK83" t="s">
        <v>729</v>
      </c>
      <c r="JZ83" t="s">
        <v>729</v>
      </c>
      <c r="KO83" t="s">
        <v>729</v>
      </c>
      <c r="LD83" t="s">
        <v>729</v>
      </c>
      <c r="LS83" t="s">
        <v>729</v>
      </c>
      <c r="MH83" t="s">
        <v>729</v>
      </c>
      <c r="MW83" t="s">
        <v>729</v>
      </c>
      <c r="NL83" t="s">
        <v>729</v>
      </c>
    </row>
    <row r="84" spans="1:376" ht="15.75" hidden="1" customHeight="1" x14ac:dyDescent="0.25">
      <c r="A84" t="s">
        <v>730</v>
      </c>
      <c r="P84" t="s">
        <v>730</v>
      </c>
      <c r="AE84" t="s">
        <v>730</v>
      </c>
      <c r="AT84" t="s">
        <v>730</v>
      </c>
      <c r="BI84" t="s">
        <v>730</v>
      </c>
      <c r="BX84" t="s">
        <v>730</v>
      </c>
      <c r="CM84" t="s">
        <v>730</v>
      </c>
      <c r="DB84" t="s">
        <v>730</v>
      </c>
      <c r="DQ84" t="s">
        <v>730</v>
      </c>
      <c r="EF84" t="s">
        <v>730</v>
      </c>
      <c r="EU84" t="s">
        <v>730</v>
      </c>
      <c r="FJ84" t="s">
        <v>730</v>
      </c>
      <c r="FY84" t="s">
        <v>730</v>
      </c>
      <c r="GN84" t="s">
        <v>730</v>
      </c>
      <c r="HC84" t="s">
        <v>730</v>
      </c>
      <c r="HR84" t="s">
        <v>730</v>
      </c>
      <c r="IG84" t="s">
        <v>730</v>
      </c>
      <c r="IV84" t="s">
        <v>730</v>
      </c>
      <c r="JK84" t="s">
        <v>730</v>
      </c>
      <c r="JZ84" t="s">
        <v>730</v>
      </c>
      <c r="KO84" t="s">
        <v>730</v>
      </c>
      <c r="LD84" t="s">
        <v>730</v>
      </c>
      <c r="LS84" t="s">
        <v>730</v>
      </c>
      <c r="MH84" t="s">
        <v>730</v>
      </c>
      <c r="MW84" t="s">
        <v>730</v>
      </c>
      <c r="NL84" t="s">
        <v>730</v>
      </c>
    </row>
    <row r="85" spans="1:376" ht="15.75" hidden="1" customHeight="1" x14ac:dyDescent="0.25">
      <c r="A85" t="s">
        <v>731</v>
      </c>
      <c r="P85" t="s">
        <v>731</v>
      </c>
      <c r="AE85" t="s">
        <v>731</v>
      </c>
      <c r="AT85" t="s">
        <v>731</v>
      </c>
      <c r="BI85" t="s">
        <v>731</v>
      </c>
      <c r="BX85" t="s">
        <v>731</v>
      </c>
      <c r="CM85" t="s">
        <v>731</v>
      </c>
      <c r="DB85" t="s">
        <v>731</v>
      </c>
      <c r="DQ85" t="s">
        <v>731</v>
      </c>
      <c r="EF85" t="s">
        <v>731</v>
      </c>
      <c r="EU85" t="s">
        <v>731</v>
      </c>
      <c r="FJ85" t="s">
        <v>731</v>
      </c>
      <c r="FY85" t="s">
        <v>731</v>
      </c>
      <c r="GN85" t="s">
        <v>731</v>
      </c>
      <c r="HC85" t="s">
        <v>731</v>
      </c>
      <c r="HR85" t="s">
        <v>731</v>
      </c>
      <c r="IG85" t="s">
        <v>731</v>
      </c>
      <c r="IV85" t="s">
        <v>731</v>
      </c>
      <c r="JK85" t="s">
        <v>731</v>
      </c>
      <c r="JZ85" t="s">
        <v>731</v>
      </c>
      <c r="KO85" t="s">
        <v>731</v>
      </c>
      <c r="LD85" t="s">
        <v>731</v>
      </c>
      <c r="LS85" t="s">
        <v>731</v>
      </c>
      <c r="MH85" t="s">
        <v>731</v>
      </c>
      <c r="MW85" t="s">
        <v>731</v>
      </c>
      <c r="NL85" t="s">
        <v>731</v>
      </c>
    </row>
    <row r="86" spans="1:376" ht="15.75" hidden="1" customHeight="1" x14ac:dyDescent="0.25">
      <c r="A86" t="s">
        <v>732</v>
      </c>
      <c r="P86" t="s">
        <v>732</v>
      </c>
      <c r="AE86" t="s">
        <v>732</v>
      </c>
      <c r="AT86" t="s">
        <v>732</v>
      </c>
      <c r="BI86" t="s">
        <v>732</v>
      </c>
      <c r="BX86" t="s">
        <v>732</v>
      </c>
      <c r="CM86" t="s">
        <v>732</v>
      </c>
      <c r="DB86" t="s">
        <v>732</v>
      </c>
      <c r="DQ86" t="s">
        <v>732</v>
      </c>
      <c r="EF86" t="s">
        <v>732</v>
      </c>
      <c r="EU86" t="s">
        <v>732</v>
      </c>
      <c r="FJ86" t="s">
        <v>732</v>
      </c>
      <c r="FY86" t="s">
        <v>732</v>
      </c>
      <c r="GN86" t="s">
        <v>732</v>
      </c>
      <c r="HC86" t="s">
        <v>732</v>
      </c>
      <c r="HR86" t="s">
        <v>732</v>
      </c>
      <c r="IG86" t="s">
        <v>732</v>
      </c>
      <c r="IV86" t="s">
        <v>732</v>
      </c>
      <c r="JK86" t="s">
        <v>732</v>
      </c>
      <c r="JZ86" t="s">
        <v>732</v>
      </c>
      <c r="KO86" t="s">
        <v>732</v>
      </c>
      <c r="LD86" t="s">
        <v>732</v>
      </c>
      <c r="LS86" t="s">
        <v>732</v>
      </c>
      <c r="MH86" t="s">
        <v>732</v>
      </c>
      <c r="MW86" t="s">
        <v>732</v>
      </c>
      <c r="NL86" t="s">
        <v>732</v>
      </c>
    </row>
    <row r="87" spans="1:376" ht="15.75" hidden="1" customHeight="1" x14ac:dyDescent="0.25">
      <c r="A87" t="s">
        <v>733</v>
      </c>
      <c r="P87" t="s">
        <v>733</v>
      </c>
      <c r="AE87" t="s">
        <v>733</v>
      </c>
      <c r="AT87" t="s">
        <v>733</v>
      </c>
      <c r="BI87" t="s">
        <v>733</v>
      </c>
      <c r="BX87" t="s">
        <v>733</v>
      </c>
      <c r="CM87" t="s">
        <v>733</v>
      </c>
      <c r="DB87" t="s">
        <v>733</v>
      </c>
      <c r="DQ87" t="s">
        <v>733</v>
      </c>
      <c r="EF87" t="s">
        <v>733</v>
      </c>
      <c r="EU87" t="s">
        <v>733</v>
      </c>
      <c r="FJ87" t="s">
        <v>733</v>
      </c>
      <c r="FY87" t="s">
        <v>733</v>
      </c>
      <c r="GN87" t="s">
        <v>733</v>
      </c>
      <c r="HC87" t="s">
        <v>733</v>
      </c>
      <c r="HR87" t="s">
        <v>733</v>
      </c>
      <c r="IG87" t="s">
        <v>733</v>
      </c>
      <c r="IV87" t="s">
        <v>733</v>
      </c>
      <c r="JK87" t="s">
        <v>733</v>
      </c>
      <c r="JZ87" t="s">
        <v>733</v>
      </c>
      <c r="KO87" t="s">
        <v>733</v>
      </c>
      <c r="LD87" t="s">
        <v>733</v>
      </c>
      <c r="LS87" t="s">
        <v>733</v>
      </c>
      <c r="MH87" t="s">
        <v>733</v>
      </c>
      <c r="MW87" t="s">
        <v>733</v>
      </c>
      <c r="NL87" t="s">
        <v>733</v>
      </c>
    </row>
    <row r="88" spans="1:376" ht="15.75" hidden="1" customHeight="1" x14ac:dyDescent="0.25">
      <c r="A88" t="s">
        <v>734</v>
      </c>
      <c r="P88" t="s">
        <v>734</v>
      </c>
      <c r="AE88" t="s">
        <v>734</v>
      </c>
      <c r="AT88" t="s">
        <v>734</v>
      </c>
      <c r="BI88" t="s">
        <v>734</v>
      </c>
      <c r="BX88" t="s">
        <v>734</v>
      </c>
      <c r="CM88" t="s">
        <v>734</v>
      </c>
      <c r="DB88" t="s">
        <v>734</v>
      </c>
      <c r="DQ88" t="s">
        <v>734</v>
      </c>
      <c r="EF88" t="s">
        <v>734</v>
      </c>
      <c r="EU88" t="s">
        <v>734</v>
      </c>
      <c r="FJ88" t="s">
        <v>734</v>
      </c>
      <c r="FY88" t="s">
        <v>734</v>
      </c>
      <c r="GN88" t="s">
        <v>734</v>
      </c>
      <c r="HC88" t="s">
        <v>734</v>
      </c>
      <c r="HR88" t="s">
        <v>734</v>
      </c>
      <c r="IG88" t="s">
        <v>734</v>
      </c>
      <c r="IV88" t="s">
        <v>734</v>
      </c>
      <c r="JK88" t="s">
        <v>734</v>
      </c>
      <c r="JZ88" t="s">
        <v>734</v>
      </c>
      <c r="KO88" t="s">
        <v>734</v>
      </c>
      <c r="LD88" t="s">
        <v>734</v>
      </c>
      <c r="LS88" t="s">
        <v>734</v>
      </c>
      <c r="MH88" t="s">
        <v>734</v>
      </c>
      <c r="MW88" t="s">
        <v>734</v>
      </c>
      <c r="NL88" t="s">
        <v>734</v>
      </c>
    </row>
    <row r="89" spans="1:376" ht="15.75" hidden="1" customHeight="1" x14ac:dyDescent="0.25">
      <c r="A89" t="s">
        <v>735</v>
      </c>
      <c r="P89" t="s">
        <v>735</v>
      </c>
      <c r="AE89" t="s">
        <v>735</v>
      </c>
      <c r="AT89" t="s">
        <v>735</v>
      </c>
      <c r="BI89" t="s">
        <v>735</v>
      </c>
      <c r="BX89" t="s">
        <v>735</v>
      </c>
      <c r="CM89" t="s">
        <v>735</v>
      </c>
      <c r="DB89" t="s">
        <v>735</v>
      </c>
      <c r="DQ89" t="s">
        <v>735</v>
      </c>
      <c r="EF89" t="s">
        <v>735</v>
      </c>
      <c r="EU89" t="s">
        <v>735</v>
      </c>
      <c r="FJ89" t="s">
        <v>735</v>
      </c>
      <c r="FY89" t="s">
        <v>735</v>
      </c>
      <c r="GN89" t="s">
        <v>735</v>
      </c>
      <c r="HC89" t="s">
        <v>735</v>
      </c>
      <c r="HR89" t="s">
        <v>735</v>
      </c>
      <c r="IG89" t="s">
        <v>735</v>
      </c>
      <c r="IV89" t="s">
        <v>735</v>
      </c>
      <c r="JK89" t="s">
        <v>735</v>
      </c>
      <c r="JZ89" t="s">
        <v>735</v>
      </c>
      <c r="KO89" t="s">
        <v>735</v>
      </c>
      <c r="LD89" t="s">
        <v>735</v>
      </c>
      <c r="LS89" t="s">
        <v>735</v>
      </c>
      <c r="MH89" t="s">
        <v>735</v>
      </c>
      <c r="MW89" t="s">
        <v>735</v>
      </c>
      <c r="NL89" t="s">
        <v>735</v>
      </c>
    </row>
    <row r="90" spans="1:376" ht="15.75" hidden="1" customHeight="1" x14ac:dyDescent="0.25">
      <c r="A90" t="s">
        <v>736</v>
      </c>
      <c r="P90" t="s">
        <v>736</v>
      </c>
      <c r="AE90" t="s">
        <v>736</v>
      </c>
      <c r="AT90" t="s">
        <v>736</v>
      </c>
      <c r="BI90" t="s">
        <v>736</v>
      </c>
      <c r="BX90" t="s">
        <v>736</v>
      </c>
      <c r="CM90" t="s">
        <v>736</v>
      </c>
      <c r="DB90" t="s">
        <v>736</v>
      </c>
      <c r="DQ90" t="s">
        <v>736</v>
      </c>
      <c r="EF90" t="s">
        <v>736</v>
      </c>
      <c r="EU90" t="s">
        <v>736</v>
      </c>
      <c r="FJ90" t="s">
        <v>736</v>
      </c>
      <c r="FY90" t="s">
        <v>736</v>
      </c>
      <c r="GN90" t="s">
        <v>736</v>
      </c>
      <c r="HC90" t="s">
        <v>736</v>
      </c>
      <c r="HR90" t="s">
        <v>736</v>
      </c>
      <c r="IG90" t="s">
        <v>736</v>
      </c>
      <c r="IV90" t="s">
        <v>736</v>
      </c>
      <c r="JK90" t="s">
        <v>736</v>
      </c>
      <c r="JZ90" t="s">
        <v>736</v>
      </c>
      <c r="KO90" t="s">
        <v>736</v>
      </c>
      <c r="LD90" t="s">
        <v>736</v>
      </c>
      <c r="LS90" t="s">
        <v>736</v>
      </c>
      <c r="MH90" t="s">
        <v>736</v>
      </c>
      <c r="MW90" t="s">
        <v>736</v>
      </c>
      <c r="NL90" t="s">
        <v>736</v>
      </c>
    </row>
    <row r="91" spans="1:376" ht="15.75" hidden="1" customHeight="1" x14ac:dyDescent="0.25"/>
    <row r="92" spans="1:376" ht="15.75" hidden="1" customHeight="1" x14ac:dyDescent="0.25"/>
    <row r="93" spans="1:376" ht="15.75" hidden="1" customHeight="1" x14ac:dyDescent="0.25"/>
    <row r="94" spans="1:376" ht="15.75" hidden="1" customHeight="1" x14ac:dyDescent="0.25">
      <c r="A94" t="s">
        <v>737</v>
      </c>
      <c r="P94" t="s">
        <v>737</v>
      </c>
      <c r="AE94" t="s">
        <v>737</v>
      </c>
      <c r="AT94" t="s">
        <v>737</v>
      </c>
      <c r="BI94" t="s">
        <v>737</v>
      </c>
      <c r="BX94" t="s">
        <v>737</v>
      </c>
      <c r="CM94" t="s">
        <v>737</v>
      </c>
      <c r="DB94" t="s">
        <v>737</v>
      </c>
      <c r="DQ94" t="s">
        <v>737</v>
      </c>
      <c r="EF94" t="s">
        <v>737</v>
      </c>
      <c r="EU94" t="s">
        <v>737</v>
      </c>
      <c r="FJ94" t="s">
        <v>737</v>
      </c>
      <c r="FY94" t="s">
        <v>737</v>
      </c>
      <c r="GN94" t="s">
        <v>737</v>
      </c>
      <c r="HC94" t="s">
        <v>737</v>
      </c>
      <c r="HR94" t="s">
        <v>737</v>
      </c>
      <c r="IG94" t="s">
        <v>737</v>
      </c>
      <c r="IV94" t="s">
        <v>737</v>
      </c>
      <c r="JK94" t="s">
        <v>737</v>
      </c>
      <c r="JZ94" t="s">
        <v>737</v>
      </c>
      <c r="KO94" t="s">
        <v>737</v>
      </c>
      <c r="LD94" t="s">
        <v>737</v>
      </c>
      <c r="LS94" t="s">
        <v>737</v>
      </c>
      <c r="MH94" t="s">
        <v>737</v>
      </c>
      <c r="MW94" t="s">
        <v>737</v>
      </c>
      <c r="NL94" t="s">
        <v>737</v>
      </c>
    </row>
    <row r="95" spans="1:376" ht="15.75" hidden="1" customHeight="1" x14ac:dyDescent="0.25">
      <c r="A95" t="s">
        <v>738</v>
      </c>
      <c r="P95" t="s">
        <v>738</v>
      </c>
      <c r="AE95" t="s">
        <v>738</v>
      </c>
      <c r="AT95" t="s">
        <v>738</v>
      </c>
      <c r="BI95" t="s">
        <v>738</v>
      </c>
      <c r="BX95" t="s">
        <v>738</v>
      </c>
      <c r="CM95" t="s">
        <v>738</v>
      </c>
      <c r="DB95" t="s">
        <v>738</v>
      </c>
      <c r="DQ95" t="s">
        <v>738</v>
      </c>
      <c r="EF95" t="s">
        <v>738</v>
      </c>
      <c r="EU95" t="s">
        <v>738</v>
      </c>
      <c r="FJ95" t="s">
        <v>738</v>
      </c>
      <c r="FY95" t="s">
        <v>738</v>
      </c>
      <c r="GN95" t="s">
        <v>738</v>
      </c>
      <c r="HC95" t="s">
        <v>738</v>
      </c>
      <c r="HR95" t="s">
        <v>738</v>
      </c>
      <c r="IG95" t="s">
        <v>738</v>
      </c>
      <c r="IV95" t="s">
        <v>738</v>
      </c>
      <c r="JK95" t="s">
        <v>738</v>
      </c>
      <c r="JZ95" t="s">
        <v>738</v>
      </c>
      <c r="KO95" t="s">
        <v>738</v>
      </c>
      <c r="LD95" t="s">
        <v>738</v>
      </c>
      <c r="LS95" t="s">
        <v>738</v>
      </c>
      <c r="MH95" t="s">
        <v>738</v>
      </c>
      <c r="MW95" t="s">
        <v>738</v>
      </c>
      <c r="NL95" t="s">
        <v>738</v>
      </c>
    </row>
    <row r="96" spans="1:376" ht="15.75" hidden="1" customHeight="1" x14ac:dyDescent="0.25">
      <c r="A96" t="s">
        <v>739</v>
      </c>
      <c r="P96" t="s">
        <v>739</v>
      </c>
      <c r="AE96" t="s">
        <v>739</v>
      </c>
      <c r="AT96" t="s">
        <v>739</v>
      </c>
      <c r="BI96" t="s">
        <v>739</v>
      </c>
      <c r="BX96" t="s">
        <v>739</v>
      </c>
      <c r="CM96" t="s">
        <v>739</v>
      </c>
      <c r="DB96" t="s">
        <v>739</v>
      </c>
      <c r="DQ96" t="s">
        <v>739</v>
      </c>
      <c r="EF96" t="s">
        <v>739</v>
      </c>
      <c r="EU96" t="s">
        <v>739</v>
      </c>
      <c r="FJ96" t="s">
        <v>739</v>
      </c>
      <c r="FY96" t="s">
        <v>739</v>
      </c>
      <c r="GN96" t="s">
        <v>739</v>
      </c>
      <c r="HC96" t="s">
        <v>739</v>
      </c>
      <c r="HR96" t="s">
        <v>739</v>
      </c>
      <c r="IG96" t="s">
        <v>739</v>
      </c>
      <c r="IV96" t="s">
        <v>739</v>
      </c>
      <c r="JK96" t="s">
        <v>739</v>
      </c>
      <c r="JZ96" t="s">
        <v>739</v>
      </c>
      <c r="KO96" t="s">
        <v>739</v>
      </c>
      <c r="LD96" t="s">
        <v>739</v>
      </c>
      <c r="LS96" t="s">
        <v>739</v>
      </c>
      <c r="MH96" t="s">
        <v>739</v>
      </c>
      <c r="MW96" t="s">
        <v>739</v>
      </c>
      <c r="NL96" t="s">
        <v>739</v>
      </c>
    </row>
    <row r="97" spans="1:376" ht="15.75" hidden="1" customHeight="1" x14ac:dyDescent="0.25">
      <c r="A97" t="s">
        <v>740</v>
      </c>
      <c r="P97" t="s">
        <v>740</v>
      </c>
      <c r="AE97" t="s">
        <v>740</v>
      </c>
      <c r="AT97" t="s">
        <v>740</v>
      </c>
      <c r="BI97" t="s">
        <v>740</v>
      </c>
      <c r="BX97" t="s">
        <v>740</v>
      </c>
      <c r="CM97" t="s">
        <v>740</v>
      </c>
      <c r="DB97" t="s">
        <v>740</v>
      </c>
      <c r="DQ97" t="s">
        <v>740</v>
      </c>
      <c r="EF97" t="s">
        <v>740</v>
      </c>
      <c r="EU97" t="s">
        <v>740</v>
      </c>
      <c r="FJ97" t="s">
        <v>740</v>
      </c>
      <c r="FY97" t="s">
        <v>740</v>
      </c>
      <c r="GN97" t="s">
        <v>740</v>
      </c>
      <c r="HC97" t="s">
        <v>740</v>
      </c>
      <c r="HR97" t="s">
        <v>740</v>
      </c>
      <c r="IG97" t="s">
        <v>740</v>
      </c>
      <c r="IV97" t="s">
        <v>740</v>
      </c>
      <c r="JK97" t="s">
        <v>740</v>
      </c>
      <c r="JZ97" t="s">
        <v>740</v>
      </c>
      <c r="KO97" t="s">
        <v>740</v>
      </c>
      <c r="LD97" t="s">
        <v>740</v>
      </c>
      <c r="LS97" t="s">
        <v>740</v>
      </c>
      <c r="MH97" t="s">
        <v>740</v>
      </c>
      <c r="MW97" t="s">
        <v>740</v>
      </c>
      <c r="NL97" t="s">
        <v>740</v>
      </c>
    </row>
    <row r="98" spans="1:376" ht="15.75" hidden="1" customHeight="1" x14ac:dyDescent="0.25">
      <c r="A98" t="s">
        <v>741</v>
      </c>
      <c r="P98" t="s">
        <v>741</v>
      </c>
      <c r="AE98" t="s">
        <v>741</v>
      </c>
      <c r="AT98" t="s">
        <v>741</v>
      </c>
      <c r="BI98" t="s">
        <v>741</v>
      </c>
      <c r="BX98" t="s">
        <v>741</v>
      </c>
      <c r="CM98" t="s">
        <v>741</v>
      </c>
      <c r="DB98" t="s">
        <v>741</v>
      </c>
      <c r="DQ98" t="s">
        <v>741</v>
      </c>
      <c r="EF98" t="s">
        <v>741</v>
      </c>
      <c r="EU98" t="s">
        <v>741</v>
      </c>
      <c r="FJ98" t="s">
        <v>741</v>
      </c>
      <c r="FY98" t="s">
        <v>741</v>
      </c>
      <c r="GN98" t="s">
        <v>741</v>
      </c>
      <c r="HC98" t="s">
        <v>741</v>
      </c>
      <c r="HR98" t="s">
        <v>741</v>
      </c>
      <c r="IG98" t="s">
        <v>741</v>
      </c>
      <c r="IV98" t="s">
        <v>741</v>
      </c>
      <c r="JK98" t="s">
        <v>741</v>
      </c>
      <c r="JZ98" t="s">
        <v>741</v>
      </c>
      <c r="KO98" t="s">
        <v>741</v>
      </c>
      <c r="LD98" t="s">
        <v>741</v>
      </c>
      <c r="LS98" t="s">
        <v>741</v>
      </c>
      <c r="MH98" t="s">
        <v>741</v>
      </c>
      <c r="MW98" t="s">
        <v>741</v>
      </c>
      <c r="NL98" t="s">
        <v>741</v>
      </c>
    </row>
    <row r="99" spans="1:376" ht="15.75" hidden="1" customHeight="1" x14ac:dyDescent="0.25">
      <c r="A99" t="s">
        <v>742</v>
      </c>
      <c r="P99" t="s">
        <v>742</v>
      </c>
      <c r="AE99" t="s">
        <v>742</v>
      </c>
      <c r="AT99" t="s">
        <v>742</v>
      </c>
      <c r="BI99" t="s">
        <v>742</v>
      </c>
      <c r="BX99" t="s">
        <v>742</v>
      </c>
      <c r="CM99" t="s">
        <v>742</v>
      </c>
      <c r="DB99" t="s">
        <v>742</v>
      </c>
      <c r="DQ99" t="s">
        <v>742</v>
      </c>
      <c r="EF99" t="s">
        <v>742</v>
      </c>
      <c r="EU99" t="s">
        <v>742</v>
      </c>
      <c r="FJ99" t="s">
        <v>742</v>
      </c>
      <c r="FY99" t="s">
        <v>742</v>
      </c>
      <c r="GN99" t="s">
        <v>742</v>
      </c>
      <c r="HC99" t="s">
        <v>742</v>
      </c>
      <c r="HR99" t="s">
        <v>742</v>
      </c>
      <c r="IG99" t="s">
        <v>742</v>
      </c>
      <c r="IV99" t="s">
        <v>742</v>
      </c>
      <c r="JK99" t="s">
        <v>742</v>
      </c>
      <c r="JZ99" t="s">
        <v>742</v>
      </c>
      <c r="KO99" t="s">
        <v>742</v>
      </c>
      <c r="LD99" t="s">
        <v>742</v>
      </c>
      <c r="LS99" t="s">
        <v>742</v>
      </c>
      <c r="MH99" t="s">
        <v>742</v>
      </c>
      <c r="MW99" t="s">
        <v>742</v>
      </c>
      <c r="NL99" t="s">
        <v>742</v>
      </c>
    </row>
    <row r="100" spans="1:376" ht="15.75" hidden="1" customHeight="1" x14ac:dyDescent="0.25">
      <c r="A100" t="s">
        <v>743</v>
      </c>
      <c r="P100" t="s">
        <v>743</v>
      </c>
      <c r="AE100" t="s">
        <v>743</v>
      </c>
      <c r="AT100" t="s">
        <v>743</v>
      </c>
      <c r="BI100" t="s">
        <v>743</v>
      </c>
      <c r="BX100" t="s">
        <v>743</v>
      </c>
      <c r="CM100" t="s">
        <v>743</v>
      </c>
      <c r="DB100" t="s">
        <v>743</v>
      </c>
      <c r="DQ100" t="s">
        <v>743</v>
      </c>
      <c r="EF100" t="s">
        <v>743</v>
      </c>
      <c r="EU100" t="s">
        <v>743</v>
      </c>
      <c r="FJ100" t="s">
        <v>743</v>
      </c>
      <c r="FY100" t="s">
        <v>743</v>
      </c>
      <c r="GN100" t="s">
        <v>743</v>
      </c>
      <c r="HC100" t="s">
        <v>743</v>
      </c>
      <c r="HR100" t="s">
        <v>743</v>
      </c>
      <c r="IG100" t="s">
        <v>743</v>
      </c>
      <c r="IV100" t="s">
        <v>743</v>
      </c>
      <c r="JK100" t="s">
        <v>743</v>
      </c>
      <c r="JZ100" t="s">
        <v>743</v>
      </c>
      <c r="KO100" t="s">
        <v>743</v>
      </c>
      <c r="LD100" t="s">
        <v>743</v>
      </c>
      <c r="LS100" t="s">
        <v>743</v>
      </c>
      <c r="MH100" t="s">
        <v>743</v>
      </c>
      <c r="MW100" t="s">
        <v>743</v>
      </c>
      <c r="NL100" t="s">
        <v>743</v>
      </c>
    </row>
    <row r="101" spans="1:376" ht="15.75" hidden="1" customHeight="1" x14ac:dyDescent="0.25">
      <c r="A101" t="s">
        <v>744</v>
      </c>
      <c r="P101" t="s">
        <v>744</v>
      </c>
      <c r="AE101" t="s">
        <v>744</v>
      </c>
      <c r="AT101" t="s">
        <v>744</v>
      </c>
      <c r="BI101" t="s">
        <v>744</v>
      </c>
      <c r="BX101" t="s">
        <v>744</v>
      </c>
      <c r="CM101" t="s">
        <v>744</v>
      </c>
      <c r="DB101" t="s">
        <v>744</v>
      </c>
      <c r="DQ101" t="s">
        <v>744</v>
      </c>
      <c r="EF101" t="s">
        <v>744</v>
      </c>
      <c r="EU101" t="s">
        <v>744</v>
      </c>
      <c r="FJ101" t="s">
        <v>744</v>
      </c>
      <c r="FY101" t="s">
        <v>744</v>
      </c>
      <c r="GN101" t="s">
        <v>744</v>
      </c>
      <c r="HC101" t="s">
        <v>744</v>
      </c>
      <c r="HR101" t="s">
        <v>744</v>
      </c>
      <c r="IG101" t="s">
        <v>744</v>
      </c>
      <c r="IV101" t="s">
        <v>744</v>
      </c>
      <c r="JK101" t="s">
        <v>744</v>
      </c>
      <c r="JZ101" t="s">
        <v>744</v>
      </c>
      <c r="KO101" t="s">
        <v>744</v>
      </c>
      <c r="LD101" t="s">
        <v>744</v>
      </c>
      <c r="LS101" t="s">
        <v>744</v>
      </c>
      <c r="MH101" t="s">
        <v>744</v>
      </c>
      <c r="MW101" t="s">
        <v>744</v>
      </c>
      <c r="NL101" t="s">
        <v>744</v>
      </c>
    </row>
    <row r="102" spans="1:376" ht="15.75" hidden="1" customHeight="1" x14ac:dyDescent="0.25">
      <c r="A102" t="s">
        <v>54</v>
      </c>
      <c r="P102" t="s">
        <v>54</v>
      </c>
      <c r="AE102" t="s">
        <v>54</v>
      </c>
      <c r="AT102" t="s">
        <v>54</v>
      </c>
      <c r="BI102" t="s">
        <v>54</v>
      </c>
      <c r="BX102" t="s">
        <v>54</v>
      </c>
      <c r="CM102" t="s">
        <v>54</v>
      </c>
      <c r="DB102" t="s">
        <v>54</v>
      </c>
      <c r="DQ102" t="s">
        <v>54</v>
      </c>
      <c r="EF102" t="s">
        <v>54</v>
      </c>
      <c r="EU102" t="s">
        <v>54</v>
      </c>
      <c r="FJ102" t="s">
        <v>54</v>
      </c>
      <c r="FY102" t="s">
        <v>54</v>
      </c>
      <c r="GN102" t="s">
        <v>54</v>
      </c>
      <c r="HC102" t="s">
        <v>54</v>
      </c>
      <c r="HR102" t="s">
        <v>54</v>
      </c>
      <c r="IG102" t="s">
        <v>54</v>
      </c>
      <c r="IV102" t="s">
        <v>54</v>
      </c>
      <c r="JK102" t="s">
        <v>54</v>
      </c>
      <c r="JZ102" t="s">
        <v>54</v>
      </c>
      <c r="KO102" t="s">
        <v>54</v>
      </c>
      <c r="LD102" t="s">
        <v>54</v>
      </c>
      <c r="LS102" t="s">
        <v>54</v>
      </c>
      <c r="MH102" t="s">
        <v>54</v>
      </c>
      <c r="MW102" t="s">
        <v>54</v>
      </c>
      <c r="NL102" t="s">
        <v>54</v>
      </c>
    </row>
    <row r="103" spans="1:376" ht="15.75" hidden="1" customHeight="1" x14ac:dyDescent="0.25">
      <c r="A103" t="s">
        <v>745</v>
      </c>
      <c r="P103" t="s">
        <v>745</v>
      </c>
      <c r="AE103" t="s">
        <v>745</v>
      </c>
      <c r="AT103" t="s">
        <v>745</v>
      </c>
      <c r="BI103" t="s">
        <v>745</v>
      </c>
      <c r="BX103" t="s">
        <v>745</v>
      </c>
      <c r="CM103" t="s">
        <v>745</v>
      </c>
      <c r="DB103" t="s">
        <v>745</v>
      </c>
      <c r="DQ103" t="s">
        <v>745</v>
      </c>
      <c r="EF103" t="s">
        <v>745</v>
      </c>
      <c r="EU103" t="s">
        <v>745</v>
      </c>
      <c r="FJ103" t="s">
        <v>745</v>
      </c>
      <c r="FY103" t="s">
        <v>745</v>
      </c>
      <c r="GN103" t="s">
        <v>745</v>
      </c>
      <c r="HC103" t="s">
        <v>745</v>
      </c>
      <c r="HR103" t="s">
        <v>745</v>
      </c>
      <c r="IG103" t="s">
        <v>745</v>
      </c>
      <c r="IV103" t="s">
        <v>745</v>
      </c>
      <c r="JK103" t="s">
        <v>745</v>
      </c>
      <c r="JZ103" t="s">
        <v>745</v>
      </c>
      <c r="KO103" t="s">
        <v>745</v>
      </c>
      <c r="LD103" t="s">
        <v>745</v>
      </c>
      <c r="LS103" t="s">
        <v>745</v>
      </c>
      <c r="MH103" t="s">
        <v>745</v>
      </c>
      <c r="MW103" t="s">
        <v>745</v>
      </c>
      <c r="NL103" t="s">
        <v>745</v>
      </c>
    </row>
    <row r="104" spans="1:376" ht="15.75" hidden="1" customHeight="1" x14ac:dyDescent="0.25">
      <c r="A104" t="s">
        <v>746</v>
      </c>
      <c r="P104" t="s">
        <v>746</v>
      </c>
      <c r="AE104" t="s">
        <v>746</v>
      </c>
      <c r="AT104" t="s">
        <v>746</v>
      </c>
      <c r="BI104" t="s">
        <v>746</v>
      </c>
      <c r="BX104" t="s">
        <v>746</v>
      </c>
      <c r="CM104" t="s">
        <v>746</v>
      </c>
      <c r="DB104" t="s">
        <v>746</v>
      </c>
      <c r="DQ104" t="s">
        <v>746</v>
      </c>
      <c r="EF104" t="s">
        <v>746</v>
      </c>
      <c r="EU104" t="s">
        <v>746</v>
      </c>
      <c r="FJ104" t="s">
        <v>746</v>
      </c>
      <c r="FY104" t="s">
        <v>746</v>
      </c>
      <c r="GN104" t="s">
        <v>746</v>
      </c>
      <c r="HC104" t="s">
        <v>746</v>
      </c>
      <c r="HR104" t="s">
        <v>746</v>
      </c>
      <c r="IG104" t="s">
        <v>746</v>
      </c>
      <c r="IV104" t="s">
        <v>746</v>
      </c>
      <c r="JK104" t="s">
        <v>746</v>
      </c>
      <c r="JZ104" t="s">
        <v>746</v>
      </c>
      <c r="KO104" t="s">
        <v>746</v>
      </c>
      <c r="LD104" t="s">
        <v>746</v>
      </c>
      <c r="LS104" t="s">
        <v>746</v>
      </c>
      <c r="MH104" t="s">
        <v>746</v>
      </c>
      <c r="MW104" t="s">
        <v>746</v>
      </c>
      <c r="NL104" t="s">
        <v>746</v>
      </c>
    </row>
    <row r="105" spans="1:376" ht="15.75" hidden="1" customHeight="1" x14ac:dyDescent="0.25">
      <c r="A105" t="s">
        <v>747</v>
      </c>
      <c r="P105" t="s">
        <v>747</v>
      </c>
      <c r="AE105" t="s">
        <v>747</v>
      </c>
      <c r="AT105" t="s">
        <v>747</v>
      </c>
      <c r="BI105" t="s">
        <v>747</v>
      </c>
      <c r="BX105" t="s">
        <v>747</v>
      </c>
      <c r="CM105" t="s">
        <v>747</v>
      </c>
      <c r="DB105" t="s">
        <v>747</v>
      </c>
      <c r="DQ105" t="s">
        <v>747</v>
      </c>
      <c r="EF105" t="s">
        <v>747</v>
      </c>
      <c r="EU105" t="s">
        <v>747</v>
      </c>
      <c r="FJ105" t="s">
        <v>747</v>
      </c>
      <c r="FY105" t="s">
        <v>747</v>
      </c>
      <c r="GN105" t="s">
        <v>747</v>
      </c>
      <c r="HC105" t="s">
        <v>747</v>
      </c>
      <c r="HR105" t="s">
        <v>747</v>
      </c>
      <c r="IG105" t="s">
        <v>747</v>
      </c>
      <c r="IV105" t="s">
        <v>747</v>
      </c>
      <c r="JK105" t="s">
        <v>747</v>
      </c>
      <c r="JZ105" t="s">
        <v>747</v>
      </c>
      <c r="KO105" t="s">
        <v>747</v>
      </c>
      <c r="LD105" t="s">
        <v>747</v>
      </c>
      <c r="LS105" t="s">
        <v>747</v>
      </c>
      <c r="MH105" t="s">
        <v>747</v>
      </c>
      <c r="MW105" t="s">
        <v>747</v>
      </c>
      <c r="NL105" t="s">
        <v>747</v>
      </c>
    </row>
    <row r="106" spans="1:376" ht="15.75" hidden="1" customHeight="1" x14ac:dyDescent="0.25">
      <c r="A106" t="s">
        <v>748</v>
      </c>
      <c r="P106" t="s">
        <v>748</v>
      </c>
      <c r="AE106" t="s">
        <v>748</v>
      </c>
      <c r="AT106" t="s">
        <v>748</v>
      </c>
      <c r="BI106" t="s">
        <v>748</v>
      </c>
      <c r="BX106" t="s">
        <v>748</v>
      </c>
      <c r="CM106" t="s">
        <v>748</v>
      </c>
      <c r="DB106" t="s">
        <v>748</v>
      </c>
      <c r="DQ106" t="s">
        <v>748</v>
      </c>
      <c r="EF106" t="s">
        <v>748</v>
      </c>
      <c r="EU106" t="s">
        <v>748</v>
      </c>
      <c r="FJ106" t="s">
        <v>748</v>
      </c>
      <c r="FY106" t="s">
        <v>748</v>
      </c>
      <c r="GN106" t="s">
        <v>748</v>
      </c>
      <c r="HC106" t="s">
        <v>748</v>
      </c>
      <c r="HR106" t="s">
        <v>748</v>
      </c>
      <c r="IG106" t="s">
        <v>748</v>
      </c>
      <c r="IV106" t="s">
        <v>748</v>
      </c>
      <c r="JK106" t="s">
        <v>748</v>
      </c>
      <c r="JZ106" t="s">
        <v>748</v>
      </c>
      <c r="KO106" t="s">
        <v>748</v>
      </c>
      <c r="LD106" t="s">
        <v>748</v>
      </c>
      <c r="LS106" t="s">
        <v>748</v>
      </c>
      <c r="MH106" t="s">
        <v>748</v>
      </c>
      <c r="MW106" t="s">
        <v>748</v>
      </c>
      <c r="NL106" t="s">
        <v>748</v>
      </c>
    </row>
    <row r="107" spans="1:376" ht="15.75" hidden="1" customHeight="1" x14ac:dyDescent="0.25">
      <c r="A107" t="s">
        <v>749</v>
      </c>
      <c r="P107" t="s">
        <v>749</v>
      </c>
      <c r="AE107" t="s">
        <v>749</v>
      </c>
      <c r="AT107" t="s">
        <v>749</v>
      </c>
      <c r="BI107" t="s">
        <v>749</v>
      </c>
      <c r="BX107" t="s">
        <v>749</v>
      </c>
      <c r="CM107" t="s">
        <v>749</v>
      </c>
      <c r="DB107" t="s">
        <v>749</v>
      </c>
      <c r="DQ107" t="s">
        <v>749</v>
      </c>
      <c r="EF107" t="s">
        <v>749</v>
      </c>
      <c r="EU107" t="s">
        <v>749</v>
      </c>
      <c r="FJ107" t="s">
        <v>749</v>
      </c>
      <c r="FY107" t="s">
        <v>749</v>
      </c>
      <c r="GN107" t="s">
        <v>749</v>
      </c>
      <c r="HC107" t="s">
        <v>749</v>
      </c>
      <c r="HR107" t="s">
        <v>749</v>
      </c>
      <c r="IG107" t="s">
        <v>749</v>
      </c>
      <c r="IV107" t="s">
        <v>749</v>
      </c>
      <c r="JK107" t="s">
        <v>749</v>
      </c>
      <c r="JZ107" t="s">
        <v>749</v>
      </c>
      <c r="KO107" t="s">
        <v>749</v>
      </c>
      <c r="LD107" t="s">
        <v>749</v>
      </c>
      <c r="LS107" t="s">
        <v>749</v>
      </c>
      <c r="MH107" t="s">
        <v>749</v>
      </c>
      <c r="MW107" t="s">
        <v>749</v>
      </c>
      <c r="NL107" t="s">
        <v>749</v>
      </c>
    </row>
    <row r="108" spans="1:376" ht="15.75" hidden="1" customHeight="1" x14ac:dyDescent="0.25">
      <c r="A108" t="s">
        <v>750</v>
      </c>
      <c r="P108" t="s">
        <v>750</v>
      </c>
      <c r="AE108" t="s">
        <v>750</v>
      </c>
      <c r="AT108" t="s">
        <v>750</v>
      </c>
      <c r="BI108" t="s">
        <v>750</v>
      </c>
      <c r="BX108" t="s">
        <v>750</v>
      </c>
      <c r="CM108" t="s">
        <v>750</v>
      </c>
      <c r="DB108" t="s">
        <v>750</v>
      </c>
      <c r="DQ108" t="s">
        <v>750</v>
      </c>
      <c r="EF108" t="s">
        <v>750</v>
      </c>
      <c r="EU108" t="s">
        <v>750</v>
      </c>
      <c r="FJ108" t="s">
        <v>750</v>
      </c>
      <c r="FY108" t="s">
        <v>750</v>
      </c>
      <c r="GN108" t="s">
        <v>750</v>
      </c>
      <c r="HC108" t="s">
        <v>750</v>
      </c>
      <c r="HR108" t="s">
        <v>750</v>
      </c>
      <c r="IG108" t="s">
        <v>750</v>
      </c>
      <c r="IV108" t="s">
        <v>750</v>
      </c>
      <c r="JK108" t="s">
        <v>750</v>
      </c>
      <c r="JZ108" t="s">
        <v>750</v>
      </c>
      <c r="KO108" t="s">
        <v>750</v>
      </c>
      <c r="LD108" t="s">
        <v>750</v>
      </c>
      <c r="LS108" t="s">
        <v>750</v>
      </c>
      <c r="MH108" t="s">
        <v>750</v>
      </c>
      <c r="MW108" t="s">
        <v>750</v>
      </c>
      <c r="NL108" t="s">
        <v>750</v>
      </c>
    </row>
    <row r="109" spans="1:376" ht="15.75" hidden="1" customHeight="1" x14ac:dyDescent="0.25">
      <c r="A109" t="s">
        <v>751</v>
      </c>
      <c r="P109" t="s">
        <v>751</v>
      </c>
      <c r="AE109" t="s">
        <v>751</v>
      </c>
      <c r="AT109" t="s">
        <v>751</v>
      </c>
      <c r="BI109" t="s">
        <v>751</v>
      </c>
      <c r="BX109" t="s">
        <v>751</v>
      </c>
      <c r="CM109" t="s">
        <v>751</v>
      </c>
      <c r="DB109" t="s">
        <v>751</v>
      </c>
      <c r="DQ109" t="s">
        <v>751</v>
      </c>
      <c r="EF109" t="s">
        <v>751</v>
      </c>
      <c r="EU109" t="s">
        <v>751</v>
      </c>
      <c r="FJ109" t="s">
        <v>751</v>
      </c>
      <c r="FY109" t="s">
        <v>751</v>
      </c>
      <c r="GN109" t="s">
        <v>751</v>
      </c>
      <c r="HC109" t="s">
        <v>751</v>
      </c>
      <c r="HR109" t="s">
        <v>751</v>
      </c>
      <c r="IG109" t="s">
        <v>751</v>
      </c>
      <c r="IV109" t="s">
        <v>751</v>
      </c>
      <c r="JK109" t="s">
        <v>751</v>
      </c>
      <c r="JZ109" t="s">
        <v>751</v>
      </c>
      <c r="KO109" t="s">
        <v>751</v>
      </c>
      <c r="LD109" t="s">
        <v>751</v>
      </c>
      <c r="LS109" t="s">
        <v>751</v>
      </c>
      <c r="MH109" t="s">
        <v>751</v>
      </c>
      <c r="MW109" t="s">
        <v>751</v>
      </c>
      <c r="NL109" t="s">
        <v>751</v>
      </c>
    </row>
    <row r="110" spans="1:376" ht="15.75" hidden="1" customHeight="1" x14ac:dyDescent="0.25">
      <c r="A110" t="s">
        <v>752</v>
      </c>
      <c r="P110" t="s">
        <v>752</v>
      </c>
      <c r="AE110" t="s">
        <v>752</v>
      </c>
      <c r="AT110" t="s">
        <v>752</v>
      </c>
      <c r="BI110" t="s">
        <v>752</v>
      </c>
      <c r="BX110" t="s">
        <v>752</v>
      </c>
      <c r="CM110" t="s">
        <v>752</v>
      </c>
      <c r="DB110" t="s">
        <v>752</v>
      </c>
      <c r="DQ110" t="s">
        <v>752</v>
      </c>
      <c r="EF110" t="s">
        <v>752</v>
      </c>
      <c r="EU110" t="s">
        <v>752</v>
      </c>
      <c r="FJ110" t="s">
        <v>752</v>
      </c>
      <c r="FY110" t="s">
        <v>752</v>
      </c>
      <c r="GN110" t="s">
        <v>752</v>
      </c>
      <c r="HC110" t="s">
        <v>752</v>
      </c>
      <c r="HR110" t="s">
        <v>752</v>
      </c>
      <c r="IG110" t="s">
        <v>752</v>
      </c>
      <c r="IV110" t="s">
        <v>752</v>
      </c>
      <c r="JK110" t="s">
        <v>752</v>
      </c>
      <c r="JZ110" t="s">
        <v>752</v>
      </c>
      <c r="KO110" t="s">
        <v>752</v>
      </c>
      <c r="LD110" t="s">
        <v>752</v>
      </c>
      <c r="LS110" t="s">
        <v>752</v>
      </c>
      <c r="MH110" t="s">
        <v>752</v>
      </c>
      <c r="MW110" t="s">
        <v>752</v>
      </c>
      <c r="NL110" t="s">
        <v>752</v>
      </c>
    </row>
    <row r="111" spans="1:376" ht="15.75" hidden="1" customHeight="1" x14ac:dyDescent="0.25">
      <c r="A111" t="s">
        <v>753</v>
      </c>
      <c r="P111" t="s">
        <v>753</v>
      </c>
      <c r="AE111" t="s">
        <v>753</v>
      </c>
      <c r="AT111" t="s">
        <v>753</v>
      </c>
      <c r="BI111" t="s">
        <v>753</v>
      </c>
      <c r="BX111" t="s">
        <v>753</v>
      </c>
      <c r="CM111" t="s">
        <v>753</v>
      </c>
      <c r="DB111" t="s">
        <v>753</v>
      </c>
      <c r="DQ111" t="s">
        <v>753</v>
      </c>
      <c r="EF111" t="s">
        <v>753</v>
      </c>
      <c r="EU111" t="s">
        <v>753</v>
      </c>
      <c r="FJ111" t="s">
        <v>753</v>
      </c>
      <c r="FY111" t="s">
        <v>753</v>
      </c>
      <c r="GN111" t="s">
        <v>753</v>
      </c>
      <c r="HC111" t="s">
        <v>753</v>
      </c>
      <c r="HR111" t="s">
        <v>753</v>
      </c>
      <c r="IG111" t="s">
        <v>753</v>
      </c>
      <c r="IV111" t="s">
        <v>753</v>
      </c>
      <c r="JK111" t="s">
        <v>753</v>
      </c>
      <c r="JZ111" t="s">
        <v>753</v>
      </c>
      <c r="KO111" t="s">
        <v>753</v>
      </c>
      <c r="LD111" t="s">
        <v>753</v>
      </c>
      <c r="LS111" t="s">
        <v>753</v>
      </c>
      <c r="MH111" t="s">
        <v>753</v>
      </c>
      <c r="MW111" t="s">
        <v>753</v>
      </c>
      <c r="NL111" t="s">
        <v>753</v>
      </c>
    </row>
    <row r="112" spans="1:376" ht="15.75" hidden="1" customHeight="1" x14ac:dyDescent="0.25"/>
    <row r="113" spans="1:376" ht="15.75" hidden="1" customHeight="1" x14ac:dyDescent="0.25">
      <c r="A113" t="s">
        <v>754</v>
      </c>
      <c r="P113" t="s">
        <v>754</v>
      </c>
      <c r="AE113" t="s">
        <v>754</v>
      </c>
      <c r="AT113" t="s">
        <v>754</v>
      </c>
      <c r="BI113" t="s">
        <v>754</v>
      </c>
      <c r="BX113" t="s">
        <v>754</v>
      </c>
      <c r="CM113" t="s">
        <v>754</v>
      </c>
      <c r="DB113" t="s">
        <v>754</v>
      </c>
      <c r="DQ113" t="s">
        <v>754</v>
      </c>
      <c r="EF113" t="s">
        <v>754</v>
      </c>
      <c r="EU113" t="s">
        <v>754</v>
      </c>
      <c r="FJ113" t="s">
        <v>754</v>
      </c>
      <c r="FY113" t="s">
        <v>754</v>
      </c>
      <c r="GN113" t="s">
        <v>754</v>
      </c>
      <c r="HC113" t="s">
        <v>754</v>
      </c>
      <c r="HR113" t="s">
        <v>754</v>
      </c>
      <c r="IG113" t="s">
        <v>754</v>
      </c>
      <c r="IV113" t="s">
        <v>754</v>
      </c>
      <c r="JK113" t="s">
        <v>754</v>
      </c>
      <c r="JZ113" t="s">
        <v>754</v>
      </c>
      <c r="KO113" t="s">
        <v>754</v>
      </c>
      <c r="LD113" t="s">
        <v>754</v>
      </c>
      <c r="LS113" t="s">
        <v>754</v>
      </c>
      <c r="MH113" t="s">
        <v>754</v>
      </c>
      <c r="MW113" t="s">
        <v>754</v>
      </c>
      <c r="NL113" t="s">
        <v>754</v>
      </c>
    </row>
    <row r="114" spans="1:376" ht="15.75" hidden="1" customHeight="1" x14ac:dyDescent="0.25">
      <c r="A114" t="s">
        <v>755</v>
      </c>
      <c r="P114" t="s">
        <v>755</v>
      </c>
      <c r="AE114" t="s">
        <v>755</v>
      </c>
      <c r="AT114" t="s">
        <v>755</v>
      </c>
      <c r="BI114" t="s">
        <v>755</v>
      </c>
      <c r="BX114" t="s">
        <v>755</v>
      </c>
      <c r="CM114" t="s">
        <v>755</v>
      </c>
      <c r="DB114" t="s">
        <v>755</v>
      </c>
      <c r="DQ114" t="s">
        <v>755</v>
      </c>
      <c r="EF114" t="s">
        <v>755</v>
      </c>
      <c r="EU114" t="s">
        <v>755</v>
      </c>
      <c r="FJ114" t="s">
        <v>755</v>
      </c>
      <c r="FY114" t="s">
        <v>755</v>
      </c>
      <c r="GN114" t="s">
        <v>755</v>
      </c>
      <c r="HC114" t="s">
        <v>755</v>
      </c>
      <c r="HR114" t="s">
        <v>755</v>
      </c>
      <c r="IG114" t="s">
        <v>755</v>
      </c>
      <c r="IV114" t="s">
        <v>755</v>
      </c>
      <c r="JK114" t="s">
        <v>755</v>
      </c>
      <c r="JZ114" t="s">
        <v>755</v>
      </c>
      <c r="KO114" t="s">
        <v>755</v>
      </c>
      <c r="LD114" t="s">
        <v>755</v>
      </c>
      <c r="LS114" t="s">
        <v>755</v>
      </c>
      <c r="MH114" t="s">
        <v>755</v>
      </c>
      <c r="MW114" t="s">
        <v>755</v>
      </c>
      <c r="NL114" t="s">
        <v>755</v>
      </c>
    </row>
    <row r="115" spans="1:376" ht="15.75" hidden="1" customHeight="1" x14ac:dyDescent="0.25">
      <c r="A115" t="s">
        <v>756</v>
      </c>
      <c r="P115" t="s">
        <v>756</v>
      </c>
      <c r="AE115" t="s">
        <v>756</v>
      </c>
      <c r="AT115" t="s">
        <v>756</v>
      </c>
      <c r="BI115" t="s">
        <v>756</v>
      </c>
      <c r="BX115" t="s">
        <v>756</v>
      </c>
      <c r="CM115" t="s">
        <v>756</v>
      </c>
      <c r="DB115" t="s">
        <v>756</v>
      </c>
      <c r="DQ115" t="s">
        <v>756</v>
      </c>
      <c r="EF115" t="s">
        <v>756</v>
      </c>
      <c r="EU115" t="s">
        <v>756</v>
      </c>
      <c r="FJ115" t="s">
        <v>756</v>
      </c>
      <c r="FY115" t="s">
        <v>756</v>
      </c>
      <c r="GN115" t="s">
        <v>756</v>
      </c>
      <c r="HC115" t="s">
        <v>756</v>
      </c>
      <c r="HR115" t="s">
        <v>756</v>
      </c>
      <c r="IG115" t="s">
        <v>756</v>
      </c>
      <c r="IV115" t="s">
        <v>756</v>
      </c>
      <c r="JK115" t="s">
        <v>756</v>
      </c>
      <c r="JZ115" t="s">
        <v>756</v>
      </c>
      <c r="KO115" t="s">
        <v>756</v>
      </c>
      <c r="LD115" t="s">
        <v>756</v>
      </c>
      <c r="LS115" t="s">
        <v>756</v>
      </c>
      <c r="MH115" t="s">
        <v>756</v>
      </c>
      <c r="MW115" t="s">
        <v>756</v>
      </c>
      <c r="NL115" t="s">
        <v>756</v>
      </c>
    </row>
    <row r="116" spans="1:376" ht="15.75" hidden="1" customHeight="1" x14ac:dyDescent="0.25">
      <c r="A116" t="s">
        <v>757</v>
      </c>
      <c r="P116" t="s">
        <v>757</v>
      </c>
      <c r="AE116" t="s">
        <v>757</v>
      </c>
      <c r="AT116" t="s">
        <v>757</v>
      </c>
      <c r="BI116" t="s">
        <v>757</v>
      </c>
      <c r="BX116" t="s">
        <v>757</v>
      </c>
      <c r="CM116" t="s">
        <v>757</v>
      </c>
      <c r="DB116" t="s">
        <v>757</v>
      </c>
      <c r="DQ116" t="s">
        <v>757</v>
      </c>
      <c r="EF116" t="s">
        <v>757</v>
      </c>
      <c r="EU116" t="s">
        <v>757</v>
      </c>
      <c r="FJ116" t="s">
        <v>757</v>
      </c>
      <c r="FY116" t="s">
        <v>757</v>
      </c>
      <c r="GN116" t="s">
        <v>757</v>
      </c>
      <c r="HC116" t="s">
        <v>757</v>
      </c>
      <c r="HR116" t="s">
        <v>757</v>
      </c>
      <c r="IG116" t="s">
        <v>757</v>
      </c>
      <c r="IV116" t="s">
        <v>757</v>
      </c>
      <c r="JK116" t="s">
        <v>757</v>
      </c>
      <c r="JZ116" t="s">
        <v>757</v>
      </c>
      <c r="KO116" t="s">
        <v>757</v>
      </c>
      <c r="LD116" t="s">
        <v>757</v>
      </c>
      <c r="LS116" t="s">
        <v>757</v>
      </c>
      <c r="MH116" t="s">
        <v>757</v>
      </c>
      <c r="MW116" t="s">
        <v>757</v>
      </c>
      <c r="NL116" t="s">
        <v>757</v>
      </c>
    </row>
    <row r="117" spans="1:376" ht="15.75" hidden="1" customHeight="1" x14ac:dyDescent="0.25">
      <c r="A117" t="s">
        <v>758</v>
      </c>
      <c r="P117" t="s">
        <v>758</v>
      </c>
      <c r="AE117" t="s">
        <v>758</v>
      </c>
      <c r="AT117" t="s">
        <v>758</v>
      </c>
      <c r="BI117" t="s">
        <v>758</v>
      </c>
      <c r="BX117" t="s">
        <v>758</v>
      </c>
      <c r="CM117" t="s">
        <v>758</v>
      </c>
      <c r="DB117" t="s">
        <v>758</v>
      </c>
      <c r="DQ117" t="s">
        <v>758</v>
      </c>
      <c r="EF117" t="s">
        <v>758</v>
      </c>
      <c r="EU117" t="s">
        <v>758</v>
      </c>
      <c r="FJ117" t="s">
        <v>758</v>
      </c>
      <c r="FY117" t="s">
        <v>758</v>
      </c>
      <c r="GN117" t="s">
        <v>758</v>
      </c>
      <c r="HC117" t="s">
        <v>758</v>
      </c>
      <c r="HR117" t="s">
        <v>758</v>
      </c>
      <c r="IG117" t="s">
        <v>758</v>
      </c>
      <c r="IV117" t="s">
        <v>758</v>
      </c>
      <c r="JK117" t="s">
        <v>758</v>
      </c>
      <c r="JZ117" t="s">
        <v>758</v>
      </c>
      <c r="KO117" t="s">
        <v>758</v>
      </c>
      <c r="LD117" t="s">
        <v>758</v>
      </c>
      <c r="LS117" t="s">
        <v>758</v>
      </c>
      <c r="MH117" t="s">
        <v>758</v>
      </c>
      <c r="MW117" t="s">
        <v>758</v>
      </c>
      <c r="NL117" t="s">
        <v>758</v>
      </c>
    </row>
    <row r="118" spans="1:376" ht="15.75" hidden="1" customHeight="1" x14ac:dyDescent="0.25">
      <c r="A118" t="s">
        <v>759</v>
      </c>
      <c r="P118" t="s">
        <v>759</v>
      </c>
      <c r="AE118" t="s">
        <v>759</v>
      </c>
      <c r="AT118" t="s">
        <v>759</v>
      </c>
      <c r="BI118" t="s">
        <v>759</v>
      </c>
      <c r="BX118" t="s">
        <v>759</v>
      </c>
      <c r="CM118" t="s">
        <v>759</v>
      </c>
      <c r="DB118" t="s">
        <v>759</v>
      </c>
      <c r="DQ118" t="s">
        <v>759</v>
      </c>
      <c r="EF118" t="s">
        <v>759</v>
      </c>
      <c r="EU118" t="s">
        <v>759</v>
      </c>
      <c r="FJ118" t="s">
        <v>759</v>
      </c>
      <c r="FY118" t="s">
        <v>759</v>
      </c>
      <c r="GN118" t="s">
        <v>759</v>
      </c>
      <c r="HC118" t="s">
        <v>759</v>
      </c>
      <c r="HR118" t="s">
        <v>759</v>
      </c>
      <c r="IG118" t="s">
        <v>759</v>
      </c>
      <c r="IV118" t="s">
        <v>759</v>
      </c>
      <c r="JK118" t="s">
        <v>759</v>
      </c>
      <c r="JZ118" t="s">
        <v>759</v>
      </c>
      <c r="KO118" t="s">
        <v>759</v>
      </c>
      <c r="LD118" t="s">
        <v>759</v>
      </c>
      <c r="LS118" t="s">
        <v>759</v>
      </c>
      <c r="MH118" t="s">
        <v>759</v>
      </c>
      <c r="MW118" t="s">
        <v>759</v>
      </c>
      <c r="NL118" t="s">
        <v>759</v>
      </c>
    </row>
    <row r="119" spans="1:376" ht="15.75" hidden="1" customHeight="1" x14ac:dyDescent="0.25">
      <c r="A119" t="s">
        <v>760</v>
      </c>
      <c r="P119" t="s">
        <v>760</v>
      </c>
      <c r="AE119" t="s">
        <v>760</v>
      </c>
      <c r="AT119" t="s">
        <v>760</v>
      </c>
      <c r="BI119" t="s">
        <v>760</v>
      </c>
      <c r="BX119" t="s">
        <v>760</v>
      </c>
      <c r="CM119" t="s">
        <v>760</v>
      </c>
      <c r="DB119" t="s">
        <v>760</v>
      </c>
      <c r="DQ119" t="s">
        <v>760</v>
      </c>
      <c r="EF119" t="s">
        <v>760</v>
      </c>
      <c r="EU119" t="s">
        <v>760</v>
      </c>
      <c r="FJ119" t="s">
        <v>760</v>
      </c>
      <c r="FY119" t="s">
        <v>760</v>
      </c>
      <c r="GN119" t="s">
        <v>760</v>
      </c>
      <c r="HC119" t="s">
        <v>760</v>
      </c>
      <c r="HR119" t="s">
        <v>760</v>
      </c>
      <c r="IG119" t="s">
        <v>760</v>
      </c>
      <c r="IV119" t="s">
        <v>760</v>
      </c>
      <c r="JK119" t="s">
        <v>760</v>
      </c>
      <c r="JZ119" t="s">
        <v>760</v>
      </c>
      <c r="KO119" t="s">
        <v>760</v>
      </c>
      <c r="LD119" t="s">
        <v>760</v>
      </c>
      <c r="LS119" t="s">
        <v>760</v>
      </c>
      <c r="MH119" t="s">
        <v>760</v>
      </c>
      <c r="MW119" t="s">
        <v>760</v>
      </c>
      <c r="NL119" t="s">
        <v>760</v>
      </c>
    </row>
    <row r="120" spans="1:376" ht="15.75" hidden="1" customHeight="1" x14ac:dyDescent="0.25">
      <c r="A120" t="s">
        <v>761</v>
      </c>
      <c r="P120" t="s">
        <v>761</v>
      </c>
      <c r="AE120" t="s">
        <v>761</v>
      </c>
      <c r="AT120" t="s">
        <v>761</v>
      </c>
      <c r="BI120" t="s">
        <v>761</v>
      </c>
      <c r="BX120" t="s">
        <v>761</v>
      </c>
      <c r="CM120" t="s">
        <v>761</v>
      </c>
      <c r="DB120" t="s">
        <v>761</v>
      </c>
      <c r="DQ120" t="s">
        <v>761</v>
      </c>
      <c r="EF120" t="s">
        <v>761</v>
      </c>
      <c r="EU120" t="s">
        <v>761</v>
      </c>
      <c r="FJ120" t="s">
        <v>761</v>
      </c>
      <c r="FY120" t="s">
        <v>761</v>
      </c>
      <c r="GN120" t="s">
        <v>761</v>
      </c>
      <c r="HC120" t="s">
        <v>761</v>
      </c>
      <c r="HR120" t="s">
        <v>761</v>
      </c>
      <c r="IG120" t="s">
        <v>761</v>
      </c>
      <c r="IV120" t="s">
        <v>761</v>
      </c>
      <c r="JK120" t="s">
        <v>761</v>
      </c>
      <c r="JZ120" t="s">
        <v>761</v>
      </c>
      <c r="KO120" t="s">
        <v>761</v>
      </c>
      <c r="LD120" t="s">
        <v>761</v>
      </c>
      <c r="LS120" t="s">
        <v>761</v>
      </c>
      <c r="MH120" t="s">
        <v>761</v>
      </c>
      <c r="MW120" t="s">
        <v>761</v>
      </c>
      <c r="NL120" t="s">
        <v>761</v>
      </c>
    </row>
    <row r="121" spans="1:376" ht="15.75" hidden="1" customHeight="1" x14ac:dyDescent="0.25">
      <c r="A121" t="s">
        <v>762</v>
      </c>
      <c r="P121" t="s">
        <v>762</v>
      </c>
      <c r="AE121" t="s">
        <v>762</v>
      </c>
      <c r="AT121" t="s">
        <v>762</v>
      </c>
      <c r="BI121" t="s">
        <v>762</v>
      </c>
      <c r="BX121" t="s">
        <v>762</v>
      </c>
      <c r="CM121" t="s">
        <v>762</v>
      </c>
      <c r="DB121" t="s">
        <v>762</v>
      </c>
      <c r="DQ121" t="s">
        <v>762</v>
      </c>
      <c r="EF121" t="s">
        <v>762</v>
      </c>
      <c r="EU121" t="s">
        <v>762</v>
      </c>
      <c r="FJ121" t="s">
        <v>762</v>
      </c>
      <c r="FY121" t="s">
        <v>762</v>
      </c>
      <c r="GN121" t="s">
        <v>762</v>
      </c>
      <c r="HC121" t="s">
        <v>762</v>
      </c>
      <c r="HR121" t="s">
        <v>762</v>
      </c>
      <c r="IG121" t="s">
        <v>762</v>
      </c>
      <c r="IV121" t="s">
        <v>762</v>
      </c>
      <c r="JK121" t="s">
        <v>762</v>
      </c>
      <c r="JZ121" t="s">
        <v>762</v>
      </c>
      <c r="KO121" t="s">
        <v>762</v>
      </c>
      <c r="LD121" t="s">
        <v>762</v>
      </c>
      <c r="LS121" t="s">
        <v>762</v>
      </c>
      <c r="MH121" t="s">
        <v>762</v>
      </c>
      <c r="MW121" t="s">
        <v>762</v>
      </c>
      <c r="NL121" t="s">
        <v>762</v>
      </c>
    </row>
    <row r="122" spans="1:376" ht="15.75" hidden="1" customHeight="1" x14ac:dyDescent="0.25">
      <c r="A122" t="s">
        <v>763</v>
      </c>
      <c r="P122" t="s">
        <v>763</v>
      </c>
      <c r="AE122" t="s">
        <v>763</v>
      </c>
      <c r="AT122" t="s">
        <v>763</v>
      </c>
      <c r="BI122" t="s">
        <v>763</v>
      </c>
      <c r="BX122" t="s">
        <v>763</v>
      </c>
      <c r="CM122" t="s">
        <v>763</v>
      </c>
      <c r="DB122" t="s">
        <v>763</v>
      </c>
      <c r="DQ122" t="s">
        <v>763</v>
      </c>
      <c r="EF122" t="s">
        <v>763</v>
      </c>
      <c r="EU122" t="s">
        <v>763</v>
      </c>
      <c r="FJ122" t="s">
        <v>763</v>
      </c>
      <c r="FY122" t="s">
        <v>763</v>
      </c>
      <c r="GN122" t="s">
        <v>763</v>
      </c>
      <c r="HC122" t="s">
        <v>763</v>
      </c>
      <c r="HR122" t="s">
        <v>763</v>
      </c>
      <c r="IG122" t="s">
        <v>763</v>
      </c>
      <c r="IV122" t="s">
        <v>763</v>
      </c>
      <c r="JK122" t="s">
        <v>763</v>
      </c>
      <c r="JZ122" t="s">
        <v>763</v>
      </c>
      <c r="KO122" t="s">
        <v>763</v>
      </c>
      <c r="LD122" t="s">
        <v>763</v>
      </c>
      <c r="LS122" t="s">
        <v>763</v>
      </c>
      <c r="MH122" t="s">
        <v>763</v>
      </c>
      <c r="MW122" t="s">
        <v>763</v>
      </c>
      <c r="NL122" t="s">
        <v>763</v>
      </c>
    </row>
    <row r="123" spans="1:376" ht="15.75" hidden="1" customHeight="1" x14ac:dyDescent="0.25"/>
    <row r="124" spans="1:376" ht="15.75" hidden="1" customHeight="1" x14ac:dyDescent="0.25">
      <c r="A124" t="s">
        <v>764</v>
      </c>
      <c r="P124" t="s">
        <v>764</v>
      </c>
      <c r="AE124" t="s">
        <v>764</v>
      </c>
      <c r="AT124" t="s">
        <v>764</v>
      </c>
      <c r="BI124" t="s">
        <v>764</v>
      </c>
      <c r="BX124" t="s">
        <v>764</v>
      </c>
      <c r="CM124" t="s">
        <v>764</v>
      </c>
      <c r="DB124" t="s">
        <v>764</v>
      </c>
      <c r="DQ124" t="s">
        <v>764</v>
      </c>
      <c r="EF124" t="s">
        <v>764</v>
      </c>
      <c r="EU124" t="s">
        <v>764</v>
      </c>
      <c r="FJ124" t="s">
        <v>764</v>
      </c>
      <c r="FY124" t="s">
        <v>764</v>
      </c>
      <c r="GN124" t="s">
        <v>764</v>
      </c>
      <c r="HC124" t="s">
        <v>764</v>
      </c>
      <c r="HR124" t="s">
        <v>764</v>
      </c>
      <c r="IG124" t="s">
        <v>764</v>
      </c>
      <c r="IV124" t="s">
        <v>764</v>
      </c>
      <c r="JK124" t="s">
        <v>764</v>
      </c>
      <c r="JZ124" t="s">
        <v>764</v>
      </c>
      <c r="KO124" t="s">
        <v>764</v>
      </c>
      <c r="LD124" t="s">
        <v>764</v>
      </c>
      <c r="LS124" t="s">
        <v>764</v>
      </c>
      <c r="MH124" t="s">
        <v>764</v>
      </c>
      <c r="MW124" t="s">
        <v>764</v>
      </c>
      <c r="NL124" t="s">
        <v>764</v>
      </c>
    </row>
    <row r="125" spans="1:376" ht="15.75" hidden="1" customHeight="1" x14ac:dyDescent="0.25">
      <c r="A125" t="s">
        <v>765</v>
      </c>
      <c r="P125" t="s">
        <v>765</v>
      </c>
      <c r="AE125" t="s">
        <v>765</v>
      </c>
      <c r="AT125" t="s">
        <v>765</v>
      </c>
      <c r="BI125" t="s">
        <v>765</v>
      </c>
      <c r="BX125" t="s">
        <v>765</v>
      </c>
      <c r="CM125" t="s">
        <v>765</v>
      </c>
      <c r="DB125" t="s">
        <v>765</v>
      </c>
      <c r="DQ125" t="s">
        <v>765</v>
      </c>
      <c r="EF125" t="s">
        <v>765</v>
      </c>
      <c r="EU125" t="s">
        <v>765</v>
      </c>
      <c r="FJ125" t="s">
        <v>765</v>
      </c>
      <c r="FY125" t="s">
        <v>765</v>
      </c>
      <c r="GN125" t="s">
        <v>765</v>
      </c>
      <c r="HC125" t="s">
        <v>765</v>
      </c>
      <c r="HR125" t="s">
        <v>765</v>
      </c>
      <c r="IG125" t="s">
        <v>765</v>
      </c>
      <c r="IV125" t="s">
        <v>765</v>
      </c>
      <c r="JK125" t="s">
        <v>765</v>
      </c>
      <c r="JZ125" t="s">
        <v>765</v>
      </c>
      <c r="KO125" t="s">
        <v>765</v>
      </c>
      <c r="LD125" t="s">
        <v>765</v>
      </c>
      <c r="LS125" t="s">
        <v>765</v>
      </c>
      <c r="MH125" t="s">
        <v>765</v>
      </c>
      <c r="MW125" t="s">
        <v>765</v>
      </c>
      <c r="NL125" t="s">
        <v>765</v>
      </c>
    </row>
    <row r="126" spans="1:376" ht="15.75" hidden="1" customHeight="1" x14ac:dyDescent="0.25">
      <c r="A126" t="s">
        <v>766</v>
      </c>
      <c r="P126" t="s">
        <v>766</v>
      </c>
      <c r="AE126" t="s">
        <v>766</v>
      </c>
      <c r="AT126" t="s">
        <v>766</v>
      </c>
      <c r="BI126" t="s">
        <v>766</v>
      </c>
      <c r="BX126" t="s">
        <v>766</v>
      </c>
      <c r="CM126" t="s">
        <v>766</v>
      </c>
      <c r="DB126" t="s">
        <v>766</v>
      </c>
      <c r="DQ126" t="s">
        <v>766</v>
      </c>
      <c r="EF126" t="s">
        <v>766</v>
      </c>
      <c r="EU126" t="s">
        <v>766</v>
      </c>
      <c r="FJ126" t="s">
        <v>766</v>
      </c>
      <c r="FY126" t="s">
        <v>766</v>
      </c>
      <c r="GN126" t="s">
        <v>766</v>
      </c>
      <c r="HC126" t="s">
        <v>766</v>
      </c>
      <c r="HR126" t="s">
        <v>766</v>
      </c>
      <c r="IG126" t="s">
        <v>766</v>
      </c>
      <c r="IV126" t="s">
        <v>766</v>
      </c>
      <c r="JK126" t="s">
        <v>766</v>
      </c>
      <c r="JZ126" t="s">
        <v>766</v>
      </c>
      <c r="KO126" t="s">
        <v>766</v>
      </c>
      <c r="LD126" t="s">
        <v>766</v>
      </c>
      <c r="LS126" t="s">
        <v>766</v>
      </c>
      <c r="MH126" t="s">
        <v>766</v>
      </c>
      <c r="MW126" t="s">
        <v>766</v>
      </c>
      <c r="NL126" t="s">
        <v>766</v>
      </c>
    </row>
    <row r="127" spans="1:376" ht="15.75" hidden="1" customHeight="1" x14ac:dyDescent="0.25">
      <c r="A127" t="s">
        <v>767</v>
      </c>
      <c r="P127" t="s">
        <v>767</v>
      </c>
      <c r="AE127" t="s">
        <v>767</v>
      </c>
      <c r="AT127" t="s">
        <v>767</v>
      </c>
      <c r="BI127" t="s">
        <v>767</v>
      </c>
      <c r="BX127" t="s">
        <v>767</v>
      </c>
      <c r="CM127" t="s">
        <v>767</v>
      </c>
      <c r="DB127" t="s">
        <v>767</v>
      </c>
      <c r="DQ127" t="s">
        <v>767</v>
      </c>
      <c r="EF127" t="s">
        <v>767</v>
      </c>
      <c r="EU127" t="s">
        <v>767</v>
      </c>
      <c r="FJ127" t="s">
        <v>767</v>
      </c>
      <c r="FY127" t="s">
        <v>767</v>
      </c>
      <c r="GN127" t="s">
        <v>767</v>
      </c>
      <c r="HC127" t="s">
        <v>767</v>
      </c>
      <c r="HR127" t="s">
        <v>767</v>
      </c>
      <c r="IG127" t="s">
        <v>767</v>
      </c>
      <c r="IV127" t="s">
        <v>767</v>
      </c>
      <c r="JK127" t="s">
        <v>767</v>
      </c>
      <c r="JZ127" t="s">
        <v>767</v>
      </c>
      <c r="KO127" t="s">
        <v>767</v>
      </c>
      <c r="LD127" t="s">
        <v>767</v>
      </c>
      <c r="LS127" t="s">
        <v>767</v>
      </c>
      <c r="MH127" t="s">
        <v>767</v>
      </c>
      <c r="MW127" t="s">
        <v>767</v>
      </c>
      <c r="NL127" t="s">
        <v>767</v>
      </c>
    </row>
    <row r="128" spans="1:376" ht="15.75" hidden="1" customHeight="1" x14ac:dyDescent="0.25">
      <c r="A128" t="s">
        <v>768</v>
      </c>
      <c r="P128" t="s">
        <v>768</v>
      </c>
      <c r="AE128" t="s">
        <v>768</v>
      </c>
      <c r="AT128" t="s">
        <v>768</v>
      </c>
      <c r="BI128" t="s">
        <v>768</v>
      </c>
      <c r="BX128" t="s">
        <v>768</v>
      </c>
      <c r="CM128" t="s">
        <v>768</v>
      </c>
      <c r="DB128" t="s">
        <v>768</v>
      </c>
      <c r="DQ128" t="s">
        <v>768</v>
      </c>
      <c r="EF128" t="s">
        <v>768</v>
      </c>
      <c r="EU128" t="s">
        <v>768</v>
      </c>
      <c r="FJ128" t="s">
        <v>768</v>
      </c>
      <c r="FY128" t="s">
        <v>768</v>
      </c>
      <c r="GN128" t="s">
        <v>768</v>
      </c>
      <c r="HC128" t="s">
        <v>768</v>
      </c>
      <c r="HR128" t="s">
        <v>768</v>
      </c>
      <c r="IG128" t="s">
        <v>768</v>
      </c>
      <c r="IV128" t="s">
        <v>768</v>
      </c>
      <c r="JK128" t="s">
        <v>768</v>
      </c>
      <c r="JZ128" t="s">
        <v>768</v>
      </c>
      <c r="KO128" t="s">
        <v>768</v>
      </c>
      <c r="LD128" t="s">
        <v>768</v>
      </c>
      <c r="LS128" t="s">
        <v>768</v>
      </c>
      <c r="MH128" t="s">
        <v>768</v>
      </c>
      <c r="MW128" t="s">
        <v>768</v>
      </c>
      <c r="NL128" t="s">
        <v>768</v>
      </c>
    </row>
    <row r="129" spans="1:390" ht="15.75" hidden="1" customHeight="1" x14ac:dyDescent="0.25">
      <c r="A129" t="s">
        <v>769</v>
      </c>
      <c r="P129" t="s">
        <v>769</v>
      </c>
      <c r="AE129" t="s">
        <v>769</v>
      </c>
      <c r="AT129" t="s">
        <v>769</v>
      </c>
      <c r="BI129" t="s">
        <v>769</v>
      </c>
      <c r="BX129" t="s">
        <v>769</v>
      </c>
      <c r="CM129" t="s">
        <v>769</v>
      </c>
      <c r="DB129" t="s">
        <v>769</v>
      </c>
      <c r="DQ129" t="s">
        <v>769</v>
      </c>
      <c r="EF129" t="s">
        <v>769</v>
      </c>
      <c r="EU129" t="s">
        <v>769</v>
      </c>
      <c r="FJ129" t="s">
        <v>769</v>
      </c>
      <c r="FY129" t="s">
        <v>769</v>
      </c>
      <c r="GN129" t="s">
        <v>769</v>
      </c>
      <c r="HC129" t="s">
        <v>769</v>
      </c>
      <c r="HR129" t="s">
        <v>769</v>
      </c>
      <c r="IG129" t="s">
        <v>769</v>
      </c>
      <c r="IV129" t="s">
        <v>769</v>
      </c>
      <c r="JK129" t="s">
        <v>769</v>
      </c>
      <c r="JZ129" t="s">
        <v>769</v>
      </c>
      <c r="KO129" t="s">
        <v>769</v>
      </c>
      <c r="LD129" t="s">
        <v>769</v>
      </c>
      <c r="LS129" t="s">
        <v>769</v>
      </c>
      <c r="MH129" t="s">
        <v>769</v>
      </c>
      <c r="MW129" t="s">
        <v>769</v>
      </c>
      <c r="NL129" t="s">
        <v>769</v>
      </c>
    </row>
    <row r="130" spans="1:390" ht="15.75" hidden="1" customHeight="1" x14ac:dyDescent="0.25">
      <c r="A130" t="s">
        <v>770</v>
      </c>
      <c r="P130" t="s">
        <v>770</v>
      </c>
      <c r="AE130" t="s">
        <v>770</v>
      </c>
      <c r="AT130" t="s">
        <v>770</v>
      </c>
      <c r="BI130" t="s">
        <v>770</v>
      </c>
      <c r="BX130" t="s">
        <v>770</v>
      </c>
      <c r="CM130" t="s">
        <v>770</v>
      </c>
      <c r="DB130" t="s">
        <v>770</v>
      </c>
      <c r="DQ130" t="s">
        <v>770</v>
      </c>
      <c r="EF130" t="s">
        <v>770</v>
      </c>
      <c r="EU130" t="s">
        <v>770</v>
      </c>
      <c r="FJ130" t="s">
        <v>770</v>
      </c>
      <c r="FY130" t="s">
        <v>770</v>
      </c>
      <c r="GN130" t="s">
        <v>770</v>
      </c>
      <c r="HC130" t="s">
        <v>770</v>
      </c>
      <c r="HR130" t="s">
        <v>770</v>
      </c>
      <c r="IG130" t="s">
        <v>770</v>
      </c>
      <c r="IV130" t="s">
        <v>770</v>
      </c>
      <c r="JK130" t="s">
        <v>770</v>
      </c>
      <c r="JZ130" t="s">
        <v>770</v>
      </c>
      <c r="KO130" t="s">
        <v>770</v>
      </c>
      <c r="LD130" t="s">
        <v>770</v>
      </c>
      <c r="LS130" t="s">
        <v>770</v>
      </c>
      <c r="MH130" t="s">
        <v>770</v>
      </c>
      <c r="MW130" t="s">
        <v>770</v>
      </c>
      <c r="NL130" t="s">
        <v>770</v>
      </c>
    </row>
    <row r="131" spans="1:390" ht="15.75" hidden="1" customHeight="1" x14ac:dyDescent="0.25">
      <c r="A131" t="s">
        <v>771</v>
      </c>
      <c r="P131" t="s">
        <v>771</v>
      </c>
      <c r="AE131" t="s">
        <v>771</v>
      </c>
      <c r="AT131" t="s">
        <v>771</v>
      </c>
      <c r="BI131" t="s">
        <v>771</v>
      </c>
      <c r="BX131" t="s">
        <v>771</v>
      </c>
      <c r="CM131" t="s">
        <v>771</v>
      </c>
      <c r="DB131" t="s">
        <v>771</v>
      </c>
      <c r="DQ131" t="s">
        <v>771</v>
      </c>
      <c r="EF131" t="s">
        <v>771</v>
      </c>
      <c r="EU131" t="s">
        <v>771</v>
      </c>
      <c r="FJ131" t="s">
        <v>771</v>
      </c>
      <c r="FY131" t="s">
        <v>771</v>
      </c>
      <c r="GN131" t="s">
        <v>771</v>
      </c>
      <c r="HC131" t="s">
        <v>771</v>
      </c>
      <c r="HR131" t="s">
        <v>771</v>
      </c>
      <c r="IG131" t="s">
        <v>771</v>
      </c>
      <c r="IV131" t="s">
        <v>771</v>
      </c>
      <c r="JK131" t="s">
        <v>771</v>
      </c>
      <c r="JZ131" t="s">
        <v>771</v>
      </c>
      <c r="KO131" t="s">
        <v>771</v>
      </c>
      <c r="LD131" t="s">
        <v>771</v>
      </c>
      <c r="LS131" t="s">
        <v>771</v>
      </c>
      <c r="MH131" t="s">
        <v>771</v>
      </c>
      <c r="MW131" t="s">
        <v>771</v>
      </c>
      <c r="NL131" t="s">
        <v>771</v>
      </c>
    </row>
    <row r="132" spans="1:390" ht="15.75" hidden="1" customHeight="1" x14ac:dyDescent="0.25"/>
    <row r="133" spans="1:390" ht="15.75" hidden="1" customHeight="1" x14ac:dyDescent="0.25">
      <c r="A133" t="s">
        <v>772</v>
      </c>
      <c r="P133" t="s">
        <v>772</v>
      </c>
      <c r="AE133" t="s">
        <v>772</v>
      </c>
      <c r="AT133" t="s">
        <v>772</v>
      </c>
      <c r="BI133" t="s">
        <v>772</v>
      </c>
      <c r="BX133" t="s">
        <v>772</v>
      </c>
      <c r="CM133" t="s">
        <v>772</v>
      </c>
      <c r="DB133" t="s">
        <v>772</v>
      </c>
      <c r="DQ133" t="s">
        <v>772</v>
      </c>
      <c r="EF133" t="s">
        <v>772</v>
      </c>
      <c r="EU133" t="s">
        <v>772</v>
      </c>
      <c r="FJ133" t="s">
        <v>772</v>
      </c>
      <c r="FY133" t="s">
        <v>772</v>
      </c>
      <c r="GN133" t="s">
        <v>772</v>
      </c>
      <c r="HC133" t="s">
        <v>772</v>
      </c>
      <c r="HR133" t="s">
        <v>772</v>
      </c>
      <c r="IG133" t="s">
        <v>772</v>
      </c>
      <c r="IV133" t="s">
        <v>772</v>
      </c>
      <c r="JK133" t="s">
        <v>772</v>
      </c>
      <c r="JZ133" t="s">
        <v>772</v>
      </c>
      <c r="KO133" t="s">
        <v>772</v>
      </c>
      <c r="LD133" t="s">
        <v>772</v>
      </c>
      <c r="LS133" t="s">
        <v>772</v>
      </c>
      <c r="MH133" t="s">
        <v>772</v>
      </c>
      <c r="MW133" t="s">
        <v>772</v>
      </c>
      <c r="NL133" t="s">
        <v>772</v>
      </c>
    </row>
    <row r="134" spans="1:390" ht="15.75" hidden="1" customHeight="1" x14ac:dyDescent="0.25">
      <c r="A134" t="s">
        <v>773</v>
      </c>
      <c r="P134" t="s">
        <v>773</v>
      </c>
      <c r="AE134" t="s">
        <v>773</v>
      </c>
      <c r="AT134" t="s">
        <v>773</v>
      </c>
      <c r="BI134" t="s">
        <v>773</v>
      </c>
      <c r="BX134" t="s">
        <v>773</v>
      </c>
      <c r="CM134" t="s">
        <v>773</v>
      </c>
      <c r="DB134" t="s">
        <v>773</v>
      </c>
      <c r="DQ134" t="s">
        <v>773</v>
      </c>
      <c r="EF134" t="s">
        <v>773</v>
      </c>
      <c r="EU134" t="s">
        <v>773</v>
      </c>
      <c r="FJ134" t="s">
        <v>773</v>
      </c>
      <c r="FY134" t="s">
        <v>773</v>
      </c>
      <c r="GN134" t="s">
        <v>773</v>
      </c>
      <c r="HC134" t="s">
        <v>773</v>
      </c>
      <c r="HR134" t="s">
        <v>773</v>
      </c>
      <c r="IG134" t="s">
        <v>773</v>
      </c>
      <c r="IV134" t="s">
        <v>773</v>
      </c>
      <c r="JK134" t="s">
        <v>773</v>
      </c>
      <c r="JZ134" t="s">
        <v>773</v>
      </c>
      <c r="KO134" t="s">
        <v>773</v>
      </c>
      <c r="LD134" t="s">
        <v>773</v>
      </c>
      <c r="LS134" t="s">
        <v>773</v>
      </c>
      <c r="MH134" t="s">
        <v>773</v>
      </c>
      <c r="MW134" t="s">
        <v>773</v>
      </c>
      <c r="NL134" t="s">
        <v>773</v>
      </c>
    </row>
    <row r="135" spans="1:390" ht="15.75" hidden="1" customHeight="1" x14ac:dyDescent="0.25"/>
    <row r="136" spans="1:390" ht="15.75" hidden="1" customHeight="1" x14ac:dyDescent="0.25">
      <c r="A136" t="s">
        <v>774</v>
      </c>
      <c r="P136" t="s">
        <v>774</v>
      </c>
      <c r="AE136" t="s">
        <v>774</v>
      </c>
      <c r="AT136" t="s">
        <v>774</v>
      </c>
      <c r="BI136" t="s">
        <v>774</v>
      </c>
      <c r="BX136" t="s">
        <v>774</v>
      </c>
      <c r="CM136" t="s">
        <v>774</v>
      </c>
      <c r="DB136" t="s">
        <v>774</v>
      </c>
      <c r="DQ136" t="s">
        <v>774</v>
      </c>
      <c r="EF136" t="s">
        <v>774</v>
      </c>
      <c r="EU136" t="s">
        <v>774</v>
      </c>
      <c r="FJ136" t="s">
        <v>774</v>
      </c>
      <c r="FY136" t="s">
        <v>774</v>
      </c>
      <c r="GN136" t="s">
        <v>774</v>
      </c>
      <c r="HC136" t="s">
        <v>774</v>
      </c>
      <c r="HR136" t="s">
        <v>774</v>
      </c>
      <c r="IG136" t="s">
        <v>774</v>
      </c>
      <c r="IV136" t="s">
        <v>774</v>
      </c>
      <c r="JK136" t="s">
        <v>774</v>
      </c>
      <c r="JZ136" t="s">
        <v>774</v>
      </c>
      <c r="KO136" t="s">
        <v>774</v>
      </c>
      <c r="LD136" t="s">
        <v>774</v>
      </c>
      <c r="LS136" t="s">
        <v>774</v>
      </c>
      <c r="MH136" t="s">
        <v>774</v>
      </c>
      <c r="MW136" t="s">
        <v>774</v>
      </c>
      <c r="NL136" t="s">
        <v>774</v>
      </c>
    </row>
    <row r="137" spans="1:390" ht="15.75" hidden="1" customHeight="1" x14ac:dyDescent="0.25">
      <c r="A137" t="s">
        <v>775</v>
      </c>
      <c r="P137" t="s">
        <v>775</v>
      </c>
      <c r="AE137" t="s">
        <v>775</v>
      </c>
      <c r="AT137" t="s">
        <v>775</v>
      </c>
      <c r="BI137" t="s">
        <v>775</v>
      </c>
      <c r="BX137" t="s">
        <v>775</v>
      </c>
      <c r="CM137" t="s">
        <v>775</v>
      </c>
      <c r="DB137" t="s">
        <v>775</v>
      </c>
      <c r="DQ137" t="s">
        <v>775</v>
      </c>
      <c r="EF137" t="s">
        <v>775</v>
      </c>
      <c r="EU137" t="s">
        <v>775</v>
      </c>
      <c r="FJ137" t="s">
        <v>775</v>
      </c>
      <c r="FY137" t="s">
        <v>775</v>
      </c>
      <c r="GN137" t="s">
        <v>775</v>
      </c>
      <c r="HC137" t="s">
        <v>775</v>
      </c>
      <c r="HR137" t="s">
        <v>775</v>
      </c>
      <c r="IG137" t="s">
        <v>775</v>
      </c>
      <c r="IV137" t="s">
        <v>775</v>
      </c>
      <c r="JK137" t="s">
        <v>775</v>
      </c>
      <c r="JZ137" t="s">
        <v>775</v>
      </c>
      <c r="KO137" t="s">
        <v>775</v>
      </c>
      <c r="LD137" t="s">
        <v>775</v>
      </c>
      <c r="LS137" t="s">
        <v>775</v>
      </c>
      <c r="MH137" t="s">
        <v>775</v>
      </c>
      <c r="MW137" t="s">
        <v>775</v>
      </c>
      <c r="NL137" t="s">
        <v>775</v>
      </c>
    </row>
    <row r="138" spans="1:390" ht="15.75" hidden="1" customHeight="1" x14ac:dyDescent="0.25">
      <c r="A138" t="s">
        <v>776</v>
      </c>
      <c r="P138" t="s">
        <v>776</v>
      </c>
      <c r="AE138" t="s">
        <v>776</v>
      </c>
      <c r="AT138" t="s">
        <v>776</v>
      </c>
      <c r="BI138" t="s">
        <v>776</v>
      </c>
      <c r="BX138" t="s">
        <v>776</v>
      </c>
      <c r="CM138" t="s">
        <v>776</v>
      </c>
      <c r="DB138" t="s">
        <v>776</v>
      </c>
      <c r="DQ138" t="s">
        <v>776</v>
      </c>
      <c r="EF138" t="s">
        <v>776</v>
      </c>
      <c r="EU138" t="s">
        <v>776</v>
      </c>
      <c r="FJ138" t="s">
        <v>776</v>
      </c>
      <c r="FY138" t="s">
        <v>776</v>
      </c>
      <c r="GN138" t="s">
        <v>776</v>
      </c>
      <c r="HC138" t="s">
        <v>776</v>
      </c>
      <c r="HR138" t="s">
        <v>776</v>
      </c>
      <c r="IG138" t="s">
        <v>776</v>
      </c>
      <c r="IV138" t="s">
        <v>776</v>
      </c>
      <c r="JK138" t="s">
        <v>776</v>
      </c>
      <c r="JZ138" t="s">
        <v>776</v>
      </c>
      <c r="KO138" t="s">
        <v>776</v>
      </c>
      <c r="LD138" t="s">
        <v>776</v>
      </c>
      <c r="LS138" t="s">
        <v>776</v>
      </c>
      <c r="MH138" t="s">
        <v>776</v>
      </c>
      <c r="MW138" t="s">
        <v>776</v>
      </c>
      <c r="NL138" t="s">
        <v>776</v>
      </c>
    </row>
    <row r="139" spans="1:390" ht="15.75" hidden="1" customHeight="1" x14ac:dyDescent="0.25">
      <c r="A139" t="s">
        <v>777</v>
      </c>
      <c r="P139" t="s">
        <v>777</v>
      </c>
      <c r="AE139" t="s">
        <v>777</v>
      </c>
      <c r="AT139" t="s">
        <v>777</v>
      </c>
      <c r="BI139" t="s">
        <v>777</v>
      </c>
      <c r="BX139" t="s">
        <v>777</v>
      </c>
      <c r="CM139" t="s">
        <v>777</v>
      </c>
      <c r="DB139" t="s">
        <v>777</v>
      </c>
      <c r="DQ139" t="s">
        <v>777</v>
      </c>
      <c r="EF139" t="s">
        <v>777</v>
      </c>
      <c r="EU139" t="s">
        <v>777</v>
      </c>
      <c r="FJ139" t="s">
        <v>777</v>
      </c>
      <c r="FY139" t="s">
        <v>777</v>
      </c>
      <c r="GN139" t="s">
        <v>777</v>
      </c>
      <c r="HC139" t="s">
        <v>777</v>
      </c>
      <c r="HR139" t="s">
        <v>777</v>
      </c>
      <c r="IG139" t="s">
        <v>777</v>
      </c>
      <c r="IV139" t="s">
        <v>777</v>
      </c>
      <c r="JK139" t="s">
        <v>777</v>
      </c>
      <c r="JZ139" t="s">
        <v>777</v>
      </c>
      <c r="KO139" t="s">
        <v>777</v>
      </c>
      <c r="LD139" t="s">
        <v>777</v>
      </c>
      <c r="LS139" t="s">
        <v>777</v>
      </c>
      <c r="MH139" t="s">
        <v>777</v>
      </c>
      <c r="MW139" t="s">
        <v>777</v>
      </c>
      <c r="NL139" t="s">
        <v>777</v>
      </c>
    </row>
    <row r="140" spans="1:390" ht="15.75" hidden="1" customHeight="1" x14ac:dyDescent="0.25"/>
    <row r="141" spans="1:390" ht="15.75" hidden="1" customHeight="1" x14ac:dyDescent="0.25">
      <c r="A141" t="s">
        <v>778</v>
      </c>
      <c r="P141" t="s">
        <v>778</v>
      </c>
      <c r="AE141" t="s">
        <v>778</v>
      </c>
      <c r="AT141" t="s">
        <v>778</v>
      </c>
      <c r="BI141" t="s">
        <v>778</v>
      </c>
      <c r="BX141" t="s">
        <v>778</v>
      </c>
      <c r="CM141" t="s">
        <v>778</v>
      </c>
      <c r="DB141" t="s">
        <v>778</v>
      </c>
      <c r="DQ141" t="s">
        <v>778</v>
      </c>
      <c r="EF141" t="s">
        <v>778</v>
      </c>
      <c r="EU141" t="s">
        <v>778</v>
      </c>
      <c r="FJ141" t="s">
        <v>778</v>
      </c>
      <c r="FY141" t="s">
        <v>778</v>
      </c>
      <c r="GN141" t="s">
        <v>778</v>
      </c>
      <c r="HC141" t="s">
        <v>778</v>
      </c>
      <c r="HR141" t="s">
        <v>778</v>
      </c>
      <c r="IG141" t="s">
        <v>778</v>
      </c>
      <c r="IV141" t="s">
        <v>778</v>
      </c>
      <c r="JK141" t="s">
        <v>778</v>
      </c>
      <c r="JZ141" t="s">
        <v>778</v>
      </c>
      <c r="KO141" t="s">
        <v>778</v>
      </c>
      <c r="LD141" t="s">
        <v>778</v>
      </c>
      <c r="LS141" t="s">
        <v>778</v>
      </c>
      <c r="MH141" t="s">
        <v>778</v>
      </c>
      <c r="MW141" t="s">
        <v>778</v>
      </c>
      <c r="NL141" t="s">
        <v>778</v>
      </c>
    </row>
    <row r="142" spans="1:390" x14ac:dyDescent="0.25">
      <c r="A142" t="s">
        <v>779</v>
      </c>
      <c r="B142" t="s">
        <v>780</v>
      </c>
      <c r="C142" t="s">
        <v>53</v>
      </c>
      <c r="D142" t="s">
        <v>578</v>
      </c>
      <c r="E142" t="s">
        <v>781</v>
      </c>
      <c r="F142" t="s">
        <v>782</v>
      </c>
      <c r="G142" t="s">
        <v>783</v>
      </c>
      <c r="H142" t="s">
        <v>784</v>
      </c>
      <c r="I142" t="s">
        <v>785</v>
      </c>
      <c r="J142" t="s">
        <v>786</v>
      </c>
      <c r="K142" t="s">
        <v>787</v>
      </c>
      <c r="L142" t="s">
        <v>788</v>
      </c>
      <c r="M142" t="s">
        <v>789</v>
      </c>
      <c r="N142" t="s">
        <v>790</v>
      </c>
      <c r="O142" t="s">
        <v>224</v>
      </c>
      <c r="P142" t="s">
        <v>779</v>
      </c>
      <c r="Q142" t="s">
        <v>780</v>
      </c>
      <c r="R142" t="s">
        <v>53</v>
      </c>
      <c r="S142" t="s">
        <v>578</v>
      </c>
      <c r="T142" t="s">
        <v>781</v>
      </c>
      <c r="U142" t="s">
        <v>782</v>
      </c>
      <c r="V142" t="s">
        <v>783</v>
      </c>
      <c r="W142" t="s">
        <v>784</v>
      </c>
      <c r="X142" t="s">
        <v>785</v>
      </c>
      <c r="Y142" t="s">
        <v>786</v>
      </c>
      <c r="Z142" t="s">
        <v>787</v>
      </c>
      <c r="AA142" t="s">
        <v>788</v>
      </c>
      <c r="AB142" t="s">
        <v>789</v>
      </c>
      <c r="AC142" t="s">
        <v>790</v>
      </c>
      <c r="AD142" t="s">
        <v>224</v>
      </c>
      <c r="AE142" t="s">
        <v>779</v>
      </c>
      <c r="AF142" t="s">
        <v>780</v>
      </c>
      <c r="AG142" t="s">
        <v>53</v>
      </c>
      <c r="AH142" t="s">
        <v>578</v>
      </c>
      <c r="AI142" t="s">
        <v>781</v>
      </c>
      <c r="AJ142" t="s">
        <v>782</v>
      </c>
      <c r="AK142" t="s">
        <v>783</v>
      </c>
      <c r="AL142" t="s">
        <v>784</v>
      </c>
      <c r="AM142" t="s">
        <v>785</v>
      </c>
      <c r="AN142" t="s">
        <v>786</v>
      </c>
      <c r="AO142" t="s">
        <v>787</v>
      </c>
      <c r="AP142" t="s">
        <v>788</v>
      </c>
      <c r="AQ142" t="s">
        <v>789</v>
      </c>
      <c r="AR142" t="s">
        <v>790</v>
      </c>
      <c r="AS142" t="s">
        <v>224</v>
      </c>
      <c r="AT142" t="s">
        <v>779</v>
      </c>
      <c r="AU142" t="s">
        <v>780</v>
      </c>
      <c r="AV142" t="s">
        <v>53</v>
      </c>
      <c r="AW142" t="s">
        <v>578</v>
      </c>
      <c r="AX142" t="s">
        <v>781</v>
      </c>
      <c r="AY142" t="s">
        <v>782</v>
      </c>
      <c r="AZ142" t="s">
        <v>783</v>
      </c>
      <c r="BA142" t="s">
        <v>784</v>
      </c>
      <c r="BB142" t="s">
        <v>785</v>
      </c>
      <c r="BC142" t="s">
        <v>786</v>
      </c>
      <c r="BD142" t="s">
        <v>787</v>
      </c>
      <c r="BE142" t="s">
        <v>788</v>
      </c>
      <c r="BF142" t="s">
        <v>789</v>
      </c>
      <c r="BG142" t="s">
        <v>790</v>
      </c>
      <c r="BH142" t="s">
        <v>224</v>
      </c>
      <c r="BI142" t="s">
        <v>779</v>
      </c>
      <c r="BJ142" t="s">
        <v>780</v>
      </c>
      <c r="BK142" t="s">
        <v>53</v>
      </c>
      <c r="BL142" t="s">
        <v>578</v>
      </c>
      <c r="BM142" t="s">
        <v>781</v>
      </c>
      <c r="BN142" t="s">
        <v>782</v>
      </c>
      <c r="BO142" t="s">
        <v>783</v>
      </c>
      <c r="BP142" t="s">
        <v>784</v>
      </c>
      <c r="BQ142" t="s">
        <v>785</v>
      </c>
      <c r="BR142" t="s">
        <v>786</v>
      </c>
      <c r="BS142" t="s">
        <v>787</v>
      </c>
      <c r="BT142" t="s">
        <v>788</v>
      </c>
      <c r="BU142" t="s">
        <v>789</v>
      </c>
      <c r="BV142" t="s">
        <v>790</v>
      </c>
      <c r="BW142" t="s">
        <v>224</v>
      </c>
      <c r="BX142" t="s">
        <v>779</v>
      </c>
      <c r="BY142" t="s">
        <v>780</v>
      </c>
      <c r="BZ142" t="s">
        <v>53</v>
      </c>
      <c r="CA142" t="s">
        <v>578</v>
      </c>
      <c r="CB142" t="s">
        <v>781</v>
      </c>
      <c r="CC142" t="s">
        <v>782</v>
      </c>
      <c r="CD142" t="s">
        <v>783</v>
      </c>
      <c r="CE142" t="s">
        <v>784</v>
      </c>
      <c r="CF142" t="s">
        <v>785</v>
      </c>
      <c r="CG142" t="s">
        <v>786</v>
      </c>
      <c r="CH142" t="s">
        <v>787</v>
      </c>
      <c r="CI142" t="s">
        <v>788</v>
      </c>
      <c r="CJ142" t="s">
        <v>789</v>
      </c>
      <c r="CK142" t="s">
        <v>790</v>
      </c>
      <c r="CL142" t="s">
        <v>224</v>
      </c>
      <c r="CM142" t="s">
        <v>779</v>
      </c>
      <c r="CN142" t="s">
        <v>780</v>
      </c>
      <c r="CO142" t="s">
        <v>53</v>
      </c>
      <c r="CP142" t="s">
        <v>578</v>
      </c>
      <c r="CQ142" t="s">
        <v>781</v>
      </c>
      <c r="CR142" t="s">
        <v>782</v>
      </c>
      <c r="CS142" t="s">
        <v>783</v>
      </c>
      <c r="CT142" t="s">
        <v>784</v>
      </c>
      <c r="CU142" t="s">
        <v>785</v>
      </c>
      <c r="CV142" t="s">
        <v>786</v>
      </c>
      <c r="CW142" t="s">
        <v>787</v>
      </c>
      <c r="CX142" t="s">
        <v>788</v>
      </c>
      <c r="CY142" t="s">
        <v>789</v>
      </c>
      <c r="CZ142" t="s">
        <v>790</v>
      </c>
      <c r="DA142" t="s">
        <v>224</v>
      </c>
      <c r="DB142" t="s">
        <v>779</v>
      </c>
      <c r="DC142" t="s">
        <v>780</v>
      </c>
      <c r="DD142" t="s">
        <v>53</v>
      </c>
      <c r="DE142" t="s">
        <v>578</v>
      </c>
      <c r="DF142" t="s">
        <v>781</v>
      </c>
      <c r="DG142" t="s">
        <v>782</v>
      </c>
      <c r="DH142" t="s">
        <v>783</v>
      </c>
      <c r="DI142" t="s">
        <v>784</v>
      </c>
      <c r="DJ142" t="s">
        <v>785</v>
      </c>
      <c r="DK142" t="s">
        <v>786</v>
      </c>
      <c r="DL142" t="s">
        <v>787</v>
      </c>
      <c r="DM142" t="s">
        <v>788</v>
      </c>
      <c r="DN142" t="s">
        <v>789</v>
      </c>
      <c r="DO142" t="s">
        <v>790</v>
      </c>
      <c r="DP142" t="s">
        <v>224</v>
      </c>
      <c r="DQ142" t="s">
        <v>779</v>
      </c>
      <c r="DR142" t="s">
        <v>780</v>
      </c>
      <c r="DS142" t="s">
        <v>53</v>
      </c>
      <c r="DT142" t="s">
        <v>578</v>
      </c>
      <c r="DU142" t="s">
        <v>781</v>
      </c>
      <c r="DV142" t="s">
        <v>782</v>
      </c>
      <c r="DW142" t="s">
        <v>783</v>
      </c>
      <c r="DX142" t="s">
        <v>784</v>
      </c>
      <c r="DY142" t="s">
        <v>785</v>
      </c>
      <c r="DZ142" t="s">
        <v>786</v>
      </c>
      <c r="EA142" t="s">
        <v>787</v>
      </c>
      <c r="EB142" t="s">
        <v>788</v>
      </c>
      <c r="EC142" t="s">
        <v>789</v>
      </c>
      <c r="ED142" t="s">
        <v>790</v>
      </c>
      <c r="EE142" t="s">
        <v>224</v>
      </c>
      <c r="EF142" t="s">
        <v>779</v>
      </c>
      <c r="EG142" t="s">
        <v>780</v>
      </c>
      <c r="EH142" t="s">
        <v>53</v>
      </c>
      <c r="EI142" t="s">
        <v>578</v>
      </c>
      <c r="EJ142" t="s">
        <v>781</v>
      </c>
      <c r="EK142" t="s">
        <v>782</v>
      </c>
      <c r="EL142" t="s">
        <v>783</v>
      </c>
      <c r="EM142" t="s">
        <v>784</v>
      </c>
      <c r="EN142" t="s">
        <v>785</v>
      </c>
      <c r="EO142" t="s">
        <v>786</v>
      </c>
      <c r="EP142" t="s">
        <v>787</v>
      </c>
      <c r="EQ142" t="s">
        <v>788</v>
      </c>
      <c r="ER142" t="s">
        <v>789</v>
      </c>
      <c r="ES142" t="s">
        <v>790</v>
      </c>
      <c r="ET142" t="s">
        <v>224</v>
      </c>
      <c r="EU142" t="s">
        <v>779</v>
      </c>
      <c r="EV142" t="s">
        <v>780</v>
      </c>
      <c r="EW142" t="s">
        <v>53</v>
      </c>
      <c r="EX142" t="s">
        <v>578</v>
      </c>
      <c r="EY142" t="s">
        <v>781</v>
      </c>
      <c r="EZ142" t="s">
        <v>782</v>
      </c>
      <c r="FA142" t="s">
        <v>783</v>
      </c>
      <c r="FB142" t="s">
        <v>784</v>
      </c>
      <c r="FC142" t="s">
        <v>785</v>
      </c>
      <c r="FD142" t="s">
        <v>786</v>
      </c>
      <c r="FE142" t="s">
        <v>787</v>
      </c>
      <c r="FF142" t="s">
        <v>788</v>
      </c>
      <c r="FG142" t="s">
        <v>789</v>
      </c>
      <c r="FH142" t="s">
        <v>790</v>
      </c>
      <c r="FI142" t="s">
        <v>224</v>
      </c>
      <c r="FJ142" t="s">
        <v>779</v>
      </c>
      <c r="FK142" t="s">
        <v>780</v>
      </c>
      <c r="FL142" t="s">
        <v>53</v>
      </c>
      <c r="FM142" t="s">
        <v>578</v>
      </c>
      <c r="FN142" t="s">
        <v>781</v>
      </c>
      <c r="FO142" t="s">
        <v>782</v>
      </c>
      <c r="FP142" t="s">
        <v>783</v>
      </c>
      <c r="FQ142" t="s">
        <v>784</v>
      </c>
      <c r="FR142" t="s">
        <v>785</v>
      </c>
      <c r="FS142" t="s">
        <v>786</v>
      </c>
      <c r="FT142" t="s">
        <v>787</v>
      </c>
      <c r="FU142" t="s">
        <v>788</v>
      </c>
      <c r="FV142" t="s">
        <v>789</v>
      </c>
      <c r="FW142" t="s">
        <v>790</v>
      </c>
      <c r="FX142" t="s">
        <v>224</v>
      </c>
      <c r="FY142" t="s">
        <v>779</v>
      </c>
      <c r="FZ142" t="s">
        <v>780</v>
      </c>
      <c r="GA142" t="s">
        <v>53</v>
      </c>
      <c r="GB142" t="s">
        <v>578</v>
      </c>
      <c r="GC142" t="s">
        <v>781</v>
      </c>
      <c r="GD142" t="s">
        <v>782</v>
      </c>
      <c r="GE142" t="s">
        <v>783</v>
      </c>
      <c r="GF142" t="s">
        <v>784</v>
      </c>
      <c r="GG142" t="s">
        <v>785</v>
      </c>
      <c r="GH142" t="s">
        <v>786</v>
      </c>
      <c r="GI142" t="s">
        <v>787</v>
      </c>
      <c r="GJ142" t="s">
        <v>788</v>
      </c>
      <c r="GK142" t="s">
        <v>789</v>
      </c>
      <c r="GL142" t="s">
        <v>790</v>
      </c>
      <c r="GM142" t="s">
        <v>224</v>
      </c>
      <c r="GN142" t="s">
        <v>779</v>
      </c>
      <c r="GO142" t="s">
        <v>780</v>
      </c>
      <c r="GP142" t="s">
        <v>53</v>
      </c>
      <c r="GQ142" t="s">
        <v>578</v>
      </c>
      <c r="GR142" t="s">
        <v>781</v>
      </c>
      <c r="GS142" t="s">
        <v>782</v>
      </c>
      <c r="GT142" t="s">
        <v>783</v>
      </c>
      <c r="GU142" t="s">
        <v>784</v>
      </c>
      <c r="GV142" t="s">
        <v>785</v>
      </c>
      <c r="GW142" t="s">
        <v>786</v>
      </c>
      <c r="GX142" t="s">
        <v>787</v>
      </c>
      <c r="GY142" t="s">
        <v>788</v>
      </c>
      <c r="GZ142" t="s">
        <v>789</v>
      </c>
      <c r="HA142" t="s">
        <v>790</v>
      </c>
      <c r="HB142" t="s">
        <v>224</v>
      </c>
      <c r="HC142" t="s">
        <v>779</v>
      </c>
      <c r="HD142" t="s">
        <v>780</v>
      </c>
      <c r="HE142" t="s">
        <v>53</v>
      </c>
      <c r="HF142" t="s">
        <v>578</v>
      </c>
      <c r="HG142" t="s">
        <v>781</v>
      </c>
      <c r="HH142" t="s">
        <v>782</v>
      </c>
      <c r="HI142" t="s">
        <v>783</v>
      </c>
      <c r="HJ142" t="s">
        <v>784</v>
      </c>
      <c r="HK142" t="s">
        <v>785</v>
      </c>
      <c r="HL142" t="s">
        <v>786</v>
      </c>
      <c r="HM142" t="s">
        <v>787</v>
      </c>
      <c r="HN142" t="s">
        <v>788</v>
      </c>
      <c r="HO142" t="s">
        <v>789</v>
      </c>
      <c r="HP142" t="s">
        <v>790</v>
      </c>
      <c r="HQ142" t="s">
        <v>224</v>
      </c>
      <c r="HR142" t="s">
        <v>779</v>
      </c>
      <c r="HS142" t="s">
        <v>780</v>
      </c>
      <c r="HT142" t="s">
        <v>53</v>
      </c>
      <c r="HU142" t="s">
        <v>578</v>
      </c>
      <c r="HV142" t="s">
        <v>781</v>
      </c>
      <c r="HW142" t="s">
        <v>782</v>
      </c>
      <c r="HX142" t="s">
        <v>783</v>
      </c>
      <c r="HY142" t="s">
        <v>784</v>
      </c>
      <c r="HZ142" t="s">
        <v>785</v>
      </c>
      <c r="IA142" t="s">
        <v>786</v>
      </c>
      <c r="IB142" t="s">
        <v>787</v>
      </c>
      <c r="IC142" t="s">
        <v>788</v>
      </c>
      <c r="ID142" t="s">
        <v>789</v>
      </c>
      <c r="IE142" t="s">
        <v>790</v>
      </c>
      <c r="IF142" t="s">
        <v>224</v>
      </c>
      <c r="IG142" t="s">
        <v>779</v>
      </c>
      <c r="IH142" t="s">
        <v>780</v>
      </c>
      <c r="II142" t="s">
        <v>53</v>
      </c>
      <c r="IJ142" t="s">
        <v>578</v>
      </c>
      <c r="IK142" t="s">
        <v>781</v>
      </c>
      <c r="IL142" t="s">
        <v>782</v>
      </c>
      <c r="IM142" t="s">
        <v>783</v>
      </c>
      <c r="IN142" t="s">
        <v>784</v>
      </c>
      <c r="IO142" t="s">
        <v>785</v>
      </c>
      <c r="IP142" t="s">
        <v>786</v>
      </c>
      <c r="IQ142" t="s">
        <v>787</v>
      </c>
      <c r="IR142" t="s">
        <v>788</v>
      </c>
      <c r="IS142" t="s">
        <v>789</v>
      </c>
      <c r="IT142" t="s">
        <v>790</v>
      </c>
      <c r="IU142" t="s">
        <v>224</v>
      </c>
      <c r="IV142" t="s">
        <v>779</v>
      </c>
      <c r="IW142" t="s">
        <v>780</v>
      </c>
      <c r="IX142" t="s">
        <v>53</v>
      </c>
      <c r="IY142" t="s">
        <v>578</v>
      </c>
      <c r="IZ142" t="s">
        <v>781</v>
      </c>
      <c r="JA142" t="s">
        <v>782</v>
      </c>
      <c r="JB142" t="s">
        <v>783</v>
      </c>
      <c r="JC142" t="s">
        <v>784</v>
      </c>
      <c r="JD142" t="s">
        <v>785</v>
      </c>
      <c r="JE142" t="s">
        <v>786</v>
      </c>
      <c r="JF142" t="s">
        <v>787</v>
      </c>
      <c r="JG142" t="s">
        <v>788</v>
      </c>
      <c r="JH142" t="s">
        <v>789</v>
      </c>
      <c r="JI142" t="s">
        <v>790</v>
      </c>
      <c r="JJ142" t="s">
        <v>224</v>
      </c>
      <c r="JK142" t="s">
        <v>779</v>
      </c>
      <c r="JL142" t="s">
        <v>780</v>
      </c>
      <c r="JM142" t="s">
        <v>53</v>
      </c>
      <c r="JN142" t="s">
        <v>578</v>
      </c>
      <c r="JO142" t="s">
        <v>781</v>
      </c>
      <c r="JP142" t="s">
        <v>782</v>
      </c>
      <c r="JQ142" t="s">
        <v>783</v>
      </c>
      <c r="JR142" t="s">
        <v>784</v>
      </c>
      <c r="JS142" t="s">
        <v>785</v>
      </c>
      <c r="JT142" t="s">
        <v>786</v>
      </c>
      <c r="JU142" t="s">
        <v>787</v>
      </c>
      <c r="JV142" t="s">
        <v>788</v>
      </c>
      <c r="JW142" t="s">
        <v>789</v>
      </c>
      <c r="JX142" t="s">
        <v>790</v>
      </c>
      <c r="JY142" t="s">
        <v>224</v>
      </c>
      <c r="JZ142" t="s">
        <v>779</v>
      </c>
      <c r="KA142" t="s">
        <v>780</v>
      </c>
      <c r="KB142" t="s">
        <v>53</v>
      </c>
      <c r="KC142" t="s">
        <v>578</v>
      </c>
      <c r="KD142" t="s">
        <v>781</v>
      </c>
      <c r="KE142" t="s">
        <v>782</v>
      </c>
      <c r="KF142" t="s">
        <v>783</v>
      </c>
      <c r="KG142" t="s">
        <v>784</v>
      </c>
      <c r="KH142" t="s">
        <v>785</v>
      </c>
      <c r="KI142" t="s">
        <v>786</v>
      </c>
      <c r="KJ142" t="s">
        <v>787</v>
      </c>
      <c r="KK142" t="s">
        <v>788</v>
      </c>
      <c r="KL142" t="s">
        <v>789</v>
      </c>
      <c r="KM142" t="s">
        <v>790</v>
      </c>
      <c r="KN142" t="s">
        <v>224</v>
      </c>
      <c r="KO142" t="s">
        <v>779</v>
      </c>
      <c r="KP142" t="s">
        <v>780</v>
      </c>
      <c r="KQ142" t="s">
        <v>53</v>
      </c>
      <c r="KR142" t="s">
        <v>578</v>
      </c>
      <c r="KS142" t="s">
        <v>781</v>
      </c>
      <c r="KT142" t="s">
        <v>782</v>
      </c>
      <c r="KU142" t="s">
        <v>783</v>
      </c>
      <c r="KV142" t="s">
        <v>784</v>
      </c>
      <c r="KW142" t="s">
        <v>785</v>
      </c>
      <c r="KX142" t="s">
        <v>786</v>
      </c>
      <c r="KY142" t="s">
        <v>787</v>
      </c>
      <c r="KZ142" t="s">
        <v>788</v>
      </c>
      <c r="LA142" t="s">
        <v>789</v>
      </c>
      <c r="LB142" t="s">
        <v>790</v>
      </c>
      <c r="LC142" t="s">
        <v>224</v>
      </c>
      <c r="LD142" t="s">
        <v>779</v>
      </c>
      <c r="LE142" t="s">
        <v>780</v>
      </c>
      <c r="LF142" t="s">
        <v>53</v>
      </c>
      <c r="LG142" t="s">
        <v>578</v>
      </c>
      <c r="LH142" t="s">
        <v>781</v>
      </c>
      <c r="LI142" t="s">
        <v>782</v>
      </c>
      <c r="LJ142" t="s">
        <v>783</v>
      </c>
      <c r="LK142" t="s">
        <v>784</v>
      </c>
      <c r="LL142" t="s">
        <v>785</v>
      </c>
      <c r="LM142" t="s">
        <v>786</v>
      </c>
      <c r="LN142" t="s">
        <v>787</v>
      </c>
      <c r="LO142" t="s">
        <v>788</v>
      </c>
      <c r="LP142" t="s">
        <v>789</v>
      </c>
      <c r="LQ142" t="s">
        <v>790</v>
      </c>
      <c r="LR142" t="s">
        <v>224</v>
      </c>
      <c r="LS142" t="s">
        <v>779</v>
      </c>
      <c r="LT142" t="s">
        <v>780</v>
      </c>
      <c r="LU142" t="s">
        <v>53</v>
      </c>
      <c r="LV142" t="s">
        <v>578</v>
      </c>
      <c r="LW142" t="s">
        <v>781</v>
      </c>
      <c r="LX142" t="s">
        <v>782</v>
      </c>
      <c r="LY142" t="s">
        <v>783</v>
      </c>
      <c r="LZ142" t="s">
        <v>784</v>
      </c>
      <c r="MA142" t="s">
        <v>785</v>
      </c>
      <c r="MB142" t="s">
        <v>786</v>
      </c>
      <c r="MC142" t="s">
        <v>787</v>
      </c>
      <c r="MD142" t="s">
        <v>788</v>
      </c>
      <c r="ME142" t="s">
        <v>789</v>
      </c>
      <c r="MF142" t="s">
        <v>790</v>
      </c>
      <c r="MG142" t="s">
        <v>224</v>
      </c>
      <c r="MH142" t="s">
        <v>779</v>
      </c>
      <c r="MI142" t="s">
        <v>780</v>
      </c>
      <c r="MJ142" t="s">
        <v>53</v>
      </c>
      <c r="MK142" t="s">
        <v>578</v>
      </c>
      <c r="ML142" t="s">
        <v>781</v>
      </c>
      <c r="MM142" t="s">
        <v>782</v>
      </c>
      <c r="MN142" t="s">
        <v>783</v>
      </c>
      <c r="MO142" t="s">
        <v>784</v>
      </c>
      <c r="MP142" t="s">
        <v>785</v>
      </c>
      <c r="MQ142" t="s">
        <v>786</v>
      </c>
      <c r="MR142" t="s">
        <v>787</v>
      </c>
      <c r="MS142" t="s">
        <v>788</v>
      </c>
      <c r="MT142" t="s">
        <v>789</v>
      </c>
      <c r="MU142" t="s">
        <v>790</v>
      </c>
      <c r="MV142" t="s">
        <v>224</v>
      </c>
      <c r="MW142" t="s">
        <v>779</v>
      </c>
      <c r="MX142" t="s">
        <v>780</v>
      </c>
      <c r="MY142" t="s">
        <v>53</v>
      </c>
      <c r="MZ142" t="s">
        <v>578</v>
      </c>
      <c r="NA142" t="s">
        <v>781</v>
      </c>
      <c r="NB142" t="s">
        <v>782</v>
      </c>
      <c r="NC142" t="s">
        <v>783</v>
      </c>
      <c r="ND142" t="s">
        <v>784</v>
      </c>
      <c r="NE142" t="s">
        <v>785</v>
      </c>
      <c r="NF142" t="s">
        <v>786</v>
      </c>
      <c r="NG142" t="s">
        <v>787</v>
      </c>
      <c r="NH142" t="s">
        <v>788</v>
      </c>
      <c r="NI142" t="s">
        <v>789</v>
      </c>
      <c r="NJ142" t="s">
        <v>790</v>
      </c>
      <c r="NK142" t="s">
        <v>224</v>
      </c>
      <c r="NL142" t="s">
        <v>779</v>
      </c>
      <c r="NM142" t="s">
        <v>780</v>
      </c>
      <c r="NN142" t="s">
        <v>53</v>
      </c>
      <c r="NO142" t="s">
        <v>578</v>
      </c>
      <c r="NP142" t="s">
        <v>781</v>
      </c>
      <c r="NQ142" t="s">
        <v>782</v>
      </c>
      <c r="NR142" t="s">
        <v>783</v>
      </c>
      <c r="NS142" t="s">
        <v>784</v>
      </c>
      <c r="NT142" t="s">
        <v>785</v>
      </c>
      <c r="NU142" t="s">
        <v>786</v>
      </c>
      <c r="NV142" t="s">
        <v>787</v>
      </c>
      <c r="NW142" t="s">
        <v>788</v>
      </c>
      <c r="NX142" t="s">
        <v>789</v>
      </c>
      <c r="NY142" t="s">
        <v>790</v>
      </c>
      <c r="NZ142" t="s">
        <v>224</v>
      </c>
    </row>
    <row r="143" spans="1:390" x14ac:dyDescent="0.25">
      <c r="A143" t="s">
        <v>139</v>
      </c>
      <c r="B143">
        <v>1</v>
      </c>
      <c r="C143">
        <v>1</v>
      </c>
      <c r="D143" t="s">
        <v>791</v>
      </c>
      <c r="E143" t="s">
        <v>693</v>
      </c>
      <c r="F143" t="s">
        <v>707</v>
      </c>
      <c r="G143" t="s">
        <v>707</v>
      </c>
      <c r="H143" t="s">
        <v>792</v>
      </c>
      <c r="I143" t="s">
        <v>793</v>
      </c>
      <c r="J143" t="s">
        <v>794</v>
      </c>
      <c r="K143" t="s">
        <v>795</v>
      </c>
      <c r="L143" t="s">
        <v>796</v>
      </c>
      <c r="M143" t="s">
        <v>707</v>
      </c>
      <c r="N143" t="s">
        <v>796</v>
      </c>
      <c r="O143" s="270" t="s">
        <v>797</v>
      </c>
      <c r="P143" t="s">
        <v>451</v>
      </c>
      <c r="Q143" s="271">
        <v>1</v>
      </c>
      <c r="R143">
        <v>1</v>
      </c>
      <c r="S143" t="s">
        <v>1000</v>
      </c>
      <c r="T143" t="s">
        <v>998</v>
      </c>
      <c r="U143" t="s">
        <v>796</v>
      </c>
      <c r="V143" t="s">
        <v>800</v>
      </c>
      <c r="W143" t="s">
        <v>800</v>
      </c>
      <c r="X143" t="s">
        <v>793</v>
      </c>
      <c r="Y143" t="s">
        <v>794</v>
      </c>
      <c r="Z143" t="s">
        <v>794</v>
      </c>
      <c r="AA143" t="s">
        <v>796</v>
      </c>
      <c r="AB143" t="s">
        <v>792</v>
      </c>
      <c r="AC143" t="s">
        <v>796</v>
      </c>
      <c r="AD143" t="s">
        <v>1001</v>
      </c>
      <c r="AE143" t="s">
        <v>591</v>
      </c>
      <c r="AF143">
        <v>1</v>
      </c>
      <c r="AG143">
        <v>0</v>
      </c>
      <c r="AH143" t="s">
        <v>851</v>
      </c>
      <c r="AI143" t="s">
        <v>817</v>
      </c>
      <c r="AJ143" t="s">
        <v>796</v>
      </c>
      <c r="AK143" t="s">
        <v>707</v>
      </c>
      <c r="AL143" t="s">
        <v>707</v>
      </c>
      <c r="AM143" t="s">
        <v>796</v>
      </c>
      <c r="AN143" t="s">
        <v>795</v>
      </c>
      <c r="AO143" t="s">
        <v>795</v>
      </c>
      <c r="AP143" t="s">
        <v>796</v>
      </c>
      <c r="AQ143" t="s">
        <v>796</v>
      </c>
      <c r="AR143" t="s">
        <v>796</v>
      </c>
      <c r="AS143" t="s">
        <v>1066</v>
      </c>
      <c r="AT143" t="s">
        <v>479</v>
      </c>
      <c r="AU143">
        <v>1</v>
      </c>
      <c r="AV143">
        <v>1</v>
      </c>
      <c r="AW143" t="s">
        <v>890</v>
      </c>
      <c r="AX143" t="s">
        <v>1096</v>
      </c>
      <c r="AY143" t="s">
        <v>707</v>
      </c>
      <c r="AZ143" t="s">
        <v>804</v>
      </c>
      <c r="BA143" t="s">
        <v>859</v>
      </c>
      <c r="BB143" t="s">
        <v>815</v>
      </c>
      <c r="BC143" t="s">
        <v>795</v>
      </c>
      <c r="BD143" t="s">
        <v>795</v>
      </c>
      <c r="BE143" t="s">
        <v>793</v>
      </c>
      <c r="BF143" t="s">
        <v>703</v>
      </c>
      <c r="BG143" t="s">
        <v>823</v>
      </c>
      <c r="BH143" t="s">
        <v>1101</v>
      </c>
      <c r="BI143" t="s">
        <v>1144</v>
      </c>
      <c r="BJ143">
        <v>1</v>
      </c>
      <c r="BK143">
        <v>0</v>
      </c>
      <c r="BL143" t="s">
        <v>793</v>
      </c>
      <c r="BM143" t="s">
        <v>817</v>
      </c>
      <c r="BN143" t="s">
        <v>796</v>
      </c>
      <c r="BO143" t="s">
        <v>707</v>
      </c>
      <c r="BP143" t="s">
        <v>707</v>
      </c>
      <c r="BQ143" t="s">
        <v>796</v>
      </c>
      <c r="BR143" t="s">
        <v>795</v>
      </c>
      <c r="BS143" t="s">
        <v>795</v>
      </c>
      <c r="BT143" t="s">
        <v>796</v>
      </c>
      <c r="BU143" t="s">
        <v>796</v>
      </c>
      <c r="BV143" t="s">
        <v>796</v>
      </c>
      <c r="BW143" t="s">
        <v>1145</v>
      </c>
      <c r="BX143" t="s">
        <v>631</v>
      </c>
      <c r="BY143">
        <v>1</v>
      </c>
      <c r="BZ143">
        <v>1</v>
      </c>
      <c r="CA143" t="s">
        <v>833</v>
      </c>
      <c r="CB143" t="s">
        <v>693</v>
      </c>
      <c r="CC143" t="s">
        <v>796</v>
      </c>
      <c r="CD143" t="s">
        <v>793</v>
      </c>
      <c r="CE143" t="s">
        <v>793</v>
      </c>
      <c r="CF143" t="s">
        <v>703</v>
      </c>
      <c r="CG143" t="s">
        <v>806</v>
      </c>
      <c r="CH143" t="s">
        <v>795</v>
      </c>
      <c r="CI143" t="s">
        <v>792</v>
      </c>
      <c r="CJ143" t="s">
        <v>796</v>
      </c>
      <c r="CK143" t="s">
        <v>823</v>
      </c>
      <c r="CL143" t="s">
        <v>1178</v>
      </c>
      <c r="CM143" t="s">
        <v>83</v>
      </c>
      <c r="CN143">
        <v>1</v>
      </c>
      <c r="CO143">
        <v>0</v>
      </c>
      <c r="CP143" t="s">
        <v>1023</v>
      </c>
      <c r="CQ143" t="s">
        <v>810</v>
      </c>
      <c r="CR143" t="s">
        <v>792</v>
      </c>
      <c r="CS143" t="s">
        <v>792</v>
      </c>
      <c r="CT143" t="s">
        <v>793</v>
      </c>
      <c r="CU143" t="s">
        <v>703</v>
      </c>
      <c r="CV143" t="s">
        <v>795</v>
      </c>
      <c r="CW143" t="s">
        <v>794</v>
      </c>
      <c r="CX143" t="s">
        <v>707</v>
      </c>
      <c r="CY143" t="s">
        <v>792</v>
      </c>
      <c r="CZ143" t="s">
        <v>703</v>
      </c>
      <c r="DA143" t="s">
        <v>1447</v>
      </c>
      <c r="DB143" t="s">
        <v>549</v>
      </c>
      <c r="DC143">
        <v>1</v>
      </c>
      <c r="DD143">
        <v>0</v>
      </c>
      <c r="DE143" t="s">
        <v>798</v>
      </c>
      <c r="DF143" t="s">
        <v>803</v>
      </c>
      <c r="DG143" t="s">
        <v>815</v>
      </c>
      <c r="DH143" t="s">
        <v>793</v>
      </c>
      <c r="DI143" t="s">
        <v>800</v>
      </c>
      <c r="DJ143" t="s">
        <v>792</v>
      </c>
      <c r="DK143" t="s">
        <v>795</v>
      </c>
      <c r="DL143" t="s">
        <v>795</v>
      </c>
      <c r="DM143" t="s">
        <v>707</v>
      </c>
      <c r="DN143" t="s">
        <v>793</v>
      </c>
      <c r="DO143" t="s">
        <v>792</v>
      </c>
      <c r="DP143" t="s">
        <v>1476</v>
      </c>
      <c r="DQ143" t="s">
        <v>129</v>
      </c>
      <c r="DR143">
        <v>1</v>
      </c>
      <c r="DS143">
        <v>0</v>
      </c>
      <c r="DT143" t="s">
        <v>701</v>
      </c>
      <c r="DU143" t="s">
        <v>853</v>
      </c>
      <c r="DV143" t="s">
        <v>707</v>
      </c>
      <c r="DW143" t="s">
        <v>792</v>
      </c>
      <c r="DX143" t="s">
        <v>703</v>
      </c>
      <c r="DY143" t="s">
        <v>707</v>
      </c>
      <c r="DZ143" t="s">
        <v>795</v>
      </c>
      <c r="EA143" t="s">
        <v>794</v>
      </c>
      <c r="EB143" t="s">
        <v>707</v>
      </c>
      <c r="EC143" t="s">
        <v>817</v>
      </c>
      <c r="ED143" t="s">
        <v>707</v>
      </c>
      <c r="EE143" t="s">
        <v>1329</v>
      </c>
      <c r="EF143" t="s">
        <v>606</v>
      </c>
      <c r="EG143">
        <v>1</v>
      </c>
      <c r="EH143">
        <v>0</v>
      </c>
      <c r="EI143" t="s">
        <v>707</v>
      </c>
      <c r="EJ143" t="s">
        <v>796</v>
      </c>
      <c r="EK143" t="s">
        <v>796</v>
      </c>
      <c r="EL143" t="s">
        <v>796</v>
      </c>
      <c r="EM143" t="s">
        <v>796</v>
      </c>
      <c r="EN143" t="s">
        <v>707</v>
      </c>
      <c r="EO143" t="s">
        <v>795</v>
      </c>
      <c r="EP143" t="s">
        <v>795</v>
      </c>
      <c r="EQ143" t="s">
        <v>796</v>
      </c>
      <c r="ER143" t="s">
        <v>796</v>
      </c>
      <c r="ES143" t="s">
        <v>796</v>
      </c>
      <c r="ET143" t="s">
        <v>1533</v>
      </c>
      <c r="EU143" t="s">
        <v>331</v>
      </c>
      <c r="EV143">
        <v>1</v>
      </c>
      <c r="EW143">
        <v>1</v>
      </c>
      <c r="EX143" t="s">
        <v>809</v>
      </c>
      <c r="EY143" t="s">
        <v>799</v>
      </c>
      <c r="EZ143" t="s">
        <v>792</v>
      </c>
      <c r="FA143" t="s">
        <v>851</v>
      </c>
      <c r="FB143" t="s">
        <v>859</v>
      </c>
      <c r="FC143" t="s">
        <v>703</v>
      </c>
      <c r="FD143" t="s">
        <v>795</v>
      </c>
      <c r="FE143" t="s">
        <v>806</v>
      </c>
      <c r="FF143" t="s">
        <v>707</v>
      </c>
      <c r="FG143" t="s">
        <v>703</v>
      </c>
      <c r="FH143" t="s">
        <v>703</v>
      </c>
      <c r="FI143" t="s">
        <v>890</v>
      </c>
      <c r="FJ143" t="s">
        <v>1583</v>
      </c>
      <c r="FK143">
        <v>1</v>
      </c>
      <c r="FL143">
        <v>0</v>
      </c>
      <c r="FM143" t="s">
        <v>792</v>
      </c>
      <c r="FN143" t="s">
        <v>792</v>
      </c>
      <c r="FO143" t="s">
        <v>796</v>
      </c>
      <c r="FP143" t="s">
        <v>796</v>
      </c>
      <c r="FQ143" t="s">
        <v>796</v>
      </c>
      <c r="FR143" t="s">
        <v>796</v>
      </c>
      <c r="FS143" t="s">
        <v>795</v>
      </c>
      <c r="FT143" t="s">
        <v>795</v>
      </c>
      <c r="FU143" t="s">
        <v>796</v>
      </c>
      <c r="FV143" t="s">
        <v>796</v>
      </c>
      <c r="FW143" t="s">
        <v>796</v>
      </c>
      <c r="FX143" t="s">
        <v>1584</v>
      </c>
      <c r="FY143" t="s">
        <v>367</v>
      </c>
      <c r="FZ143">
        <v>1</v>
      </c>
      <c r="GA143">
        <v>0</v>
      </c>
      <c r="GB143" t="s">
        <v>697</v>
      </c>
      <c r="GC143" t="s">
        <v>805</v>
      </c>
      <c r="GD143" t="s">
        <v>707</v>
      </c>
      <c r="GE143" t="s">
        <v>796</v>
      </c>
      <c r="GF143" t="s">
        <v>707</v>
      </c>
      <c r="GG143" t="s">
        <v>796</v>
      </c>
      <c r="GH143" t="s">
        <v>795</v>
      </c>
      <c r="GI143" t="s">
        <v>795</v>
      </c>
      <c r="GJ143" t="s">
        <v>796</v>
      </c>
      <c r="GK143" t="s">
        <v>707</v>
      </c>
      <c r="GL143" t="s">
        <v>796</v>
      </c>
      <c r="GM143" t="s">
        <v>1606</v>
      </c>
      <c r="GN143" t="s">
        <v>178</v>
      </c>
      <c r="GO143">
        <v>1</v>
      </c>
      <c r="GP143">
        <v>1</v>
      </c>
      <c r="GQ143" t="s">
        <v>1000</v>
      </c>
      <c r="GR143" t="s">
        <v>791</v>
      </c>
      <c r="GS143" t="s">
        <v>815</v>
      </c>
      <c r="GT143" t="s">
        <v>800</v>
      </c>
      <c r="GU143" t="s">
        <v>1023</v>
      </c>
      <c r="GV143" t="s">
        <v>707</v>
      </c>
      <c r="GW143" t="s">
        <v>794</v>
      </c>
      <c r="GX143" t="s">
        <v>1139</v>
      </c>
      <c r="GY143" t="s">
        <v>792</v>
      </c>
      <c r="GZ143" t="s">
        <v>793</v>
      </c>
      <c r="HA143" t="s">
        <v>811</v>
      </c>
      <c r="HB143" t="s">
        <v>1626</v>
      </c>
      <c r="HC143" t="s">
        <v>389</v>
      </c>
      <c r="HD143">
        <v>1</v>
      </c>
      <c r="HE143">
        <v>0</v>
      </c>
      <c r="HF143" t="s">
        <v>701</v>
      </c>
      <c r="HG143" t="s">
        <v>697</v>
      </c>
      <c r="HH143" t="s">
        <v>796</v>
      </c>
      <c r="HI143" t="s">
        <v>796</v>
      </c>
      <c r="HJ143" t="s">
        <v>796</v>
      </c>
      <c r="HK143" t="s">
        <v>792</v>
      </c>
      <c r="HL143" t="s">
        <v>801</v>
      </c>
      <c r="HM143" t="s">
        <v>795</v>
      </c>
      <c r="HN143" t="s">
        <v>707</v>
      </c>
      <c r="HO143" t="s">
        <v>796</v>
      </c>
      <c r="HP143" t="s">
        <v>792</v>
      </c>
      <c r="HQ143" t="s">
        <v>1653</v>
      </c>
      <c r="HR143" t="s">
        <v>404</v>
      </c>
      <c r="HS143">
        <v>1</v>
      </c>
      <c r="HT143">
        <v>0</v>
      </c>
      <c r="HU143" t="s">
        <v>798</v>
      </c>
      <c r="HV143" t="s">
        <v>803</v>
      </c>
      <c r="HW143" t="s">
        <v>707</v>
      </c>
      <c r="HX143" t="s">
        <v>800</v>
      </c>
      <c r="HY143" t="s">
        <v>805</v>
      </c>
      <c r="HZ143" t="s">
        <v>707</v>
      </c>
      <c r="IA143" t="s">
        <v>795</v>
      </c>
      <c r="IB143" t="s">
        <v>795</v>
      </c>
      <c r="IC143" t="s">
        <v>792</v>
      </c>
      <c r="ID143" t="s">
        <v>707</v>
      </c>
      <c r="IE143" t="s">
        <v>811</v>
      </c>
      <c r="IF143" t="s">
        <v>1674</v>
      </c>
      <c r="IG143" t="s">
        <v>103</v>
      </c>
      <c r="IH143">
        <v>1</v>
      </c>
      <c r="II143">
        <v>0</v>
      </c>
      <c r="IJ143" t="s">
        <v>821</v>
      </c>
      <c r="IK143" t="s">
        <v>800</v>
      </c>
      <c r="IL143" t="s">
        <v>703</v>
      </c>
      <c r="IM143" t="s">
        <v>703</v>
      </c>
      <c r="IN143" t="s">
        <v>815</v>
      </c>
      <c r="IO143" t="s">
        <v>707</v>
      </c>
      <c r="IP143" t="s">
        <v>795</v>
      </c>
      <c r="IQ143" t="s">
        <v>806</v>
      </c>
      <c r="IR143" t="s">
        <v>796</v>
      </c>
      <c r="IS143" t="s">
        <v>707</v>
      </c>
      <c r="IT143" t="s">
        <v>796</v>
      </c>
      <c r="IU143" t="s">
        <v>1691</v>
      </c>
      <c r="IV143" t="s">
        <v>209</v>
      </c>
      <c r="IW143">
        <v>1</v>
      </c>
      <c r="IX143">
        <v>1</v>
      </c>
      <c r="IY143" t="s">
        <v>1096</v>
      </c>
      <c r="IZ143" t="s">
        <v>833</v>
      </c>
      <c r="JA143" t="s">
        <v>707</v>
      </c>
      <c r="JB143" t="s">
        <v>804</v>
      </c>
      <c r="JC143" t="s">
        <v>859</v>
      </c>
      <c r="JD143" t="s">
        <v>817</v>
      </c>
      <c r="JE143" t="s">
        <v>806</v>
      </c>
      <c r="JF143" t="s">
        <v>806</v>
      </c>
      <c r="JG143" t="s">
        <v>707</v>
      </c>
      <c r="JH143" t="s">
        <v>817</v>
      </c>
      <c r="JI143" t="s">
        <v>817</v>
      </c>
      <c r="JJ143" t="s">
        <v>1001</v>
      </c>
      <c r="JK143" t="s">
        <v>418</v>
      </c>
      <c r="JL143">
        <v>1</v>
      </c>
      <c r="JM143">
        <v>1</v>
      </c>
      <c r="JN143" t="s">
        <v>1002</v>
      </c>
      <c r="JO143" t="s">
        <v>798</v>
      </c>
      <c r="JP143" t="s">
        <v>793</v>
      </c>
      <c r="JQ143" t="s">
        <v>703</v>
      </c>
      <c r="JR143" t="s">
        <v>851</v>
      </c>
      <c r="JS143" t="s">
        <v>796</v>
      </c>
      <c r="JT143" t="s">
        <v>795</v>
      </c>
      <c r="JU143" t="s">
        <v>806</v>
      </c>
      <c r="JV143" t="s">
        <v>792</v>
      </c>
      <c r="JW143" t="s">
        <v>707</v>
      </c>
      <c r="JX143" t="s">
        <v>796</v>
      </c>
      <c r="JY143" t="s">
        <v>1725</v>
      </c>
      <c r="JZ143" t="s">
        <v>434</v>
      </c>
      <c r="KA143">
        <v>1</v>
      </c>
      <c r="KB143">
        <v>1</v>
      </c>
      <c r="KC143" t="s">
        <v>1181</v>
      </c>
      <c r="KD143" t="s">
        <v>1742</v>
      </c>
      <c r="KE143" t="s">
        <v>707</v>
      </c>
      <c r="KF143" t="s">
        <v>853</v>
      </c>
      <c r="KG143" t="s">
        <v>1023</v>
      </c>
      <c r="KH143" t="s">
        <v>817</v>
      </c>
      <c r="KI143" t="s">
        <v>1560</v>
      </c>
      <c r="KJ143" t="s">
        <v>1139</v>
      </c>
      <c r="KK143" t="s">
        <v>703</v>
      </c>
      <c r="KL143" t="s">
        <v>793</v>
      </c>
      <c r="KM143" t="s">
        <v>1191</v>
      </c>
      <c r="KN143" t="s">
        <v>1491</v>
      </c>
      <c r="KO143" t="s">
        <v>452</v>
      </c>
      <c r="KP143">
        <v>1</v>
      </c>
      <c r="KQ143">
        <v>1</v>
      </c>
      <c r="KR143" t="s">
        <v>1451</v>
      </c>
      <c r="KS143" t="s">
        <v>797</v>
      </c>
      <c r="KT143" t="s">
        <v>707</v>
      </c>
      <c r="KU143" t="s">
        <v>805</v>
      </c>
      <c r="KV143" t="s">
        <v>697</v>
      </c>
      <c r="KW143" t="s">
        <v>859</v>
      </c>
      <c r="KX143" t="s">
        <v>795</v>
      </c>
      <c r="KY143" t="s">
        <v>795</v>
      </c>
      <c r="KZ143" t="s">
        <v>792</v>
      </c>
      <c r="LA143" t="s">
        <v>792</v>
      </c>
      <c r="LB143" t="s">
        <v>1360</v>
      </c>
      <c r="LC143" t="s">
        <v>1758</v>
      </c>
      <c r="LD143" t="s">
        <v>241</v>
      </c>
      <c r="LE143">
        <v>1</v>
      </c>
      <c r="LF143">
        <v>1</v>
      </c>
      <c r="LG143" t="s">
        <v>1451</v>
      </c>
      <c r="LH143" t="s">
        <v>821</v>
      </c>
      <c r="LI143" t="s">
        <v>817</v>
      </c>
      <c r="LJ143" t="s">
        <v>859</v>
      </c>
      <c r="LK143" t="s">
        <v>701</v>
      </c>
      <c r="LL143" t="s">
        <v>703</v>
      </c>
      <c r="LM143" t="s">
        <v>794</v>
      </c>
      <c r="LN143" t="s">
        <v>795</v>
      </c>
      <c r="LO143" t="s">
        <v>707</v>
      </c>
      <c r="LP143" t="s">
        <v>703</v>
      </c>
      <c r="LQ143" t="s">
        <v>703</v>
      </c>
      <c r="LR143" t="s">
        <v>1283</v>
      </c>
      <c r="LS143" t="s">
        <v>266</v>
      </c>
      <c r="LT143">
        <v>1</v>
      </c>
      <c r="LU143">
        <v>0</v>
      </c>
      <c r="LV143" t="s">
        <v>697</v>
      </c>
      <c r="LW143" t="s">
        <v>815</v>
      </c>
      <c r="LX143" t="s">
        <v>707</v>
      </c>
      <c r="LY143" t="s">
        <v>792</v>
      </c>
      <c r="LZ143" t="s">
        <v>703</v>
      </c>
      <c r="MA143" t="s">
        <v>796</v>
      </c>
      <c r="MB143" t="s">
        <v>795</v>
      </c>
      <c r="MC143" t="s">
        <v>801</v>
      </c>
      <c r="MD143" t="s">
        <v>707</v>
      </c>
      <c r="ME143" t="s">
        <v>703</v>
      </c>
      <c r="MF143" t="s">
        <v>796</v>
      </c>
      <c r="MG143" t="s">
        <v>1361</v>
      </c>
      <c r="MH143" t="s">
        <v>622</v>
      </c>
      <c r="MI143">
        <v>1</v>
      </c>
      <c r="MJ143">
        <v>0</v>
      </c>
      <c r="MK143" t="s">
        <v>697</v>
      </c>
      <c r="ML143" t="s">
        <v>800</v>
      </c>
      <c r="MM143" t="s">
        <v>707</v>
      </c>
      <c r="MN143" t="s">
        <v>707</v>
      </c>
      <c r="MO143" t="s">
        <v>792</v>
      </c>
      <c r="MP143" t="s">
        <v>796</v>
      </c>
      <c r="MQ143" t="s">
        <v>806</v>
      </c>
      <c r="MR143" t="s">
        <v>795</v>
      </c>
      <c r="MS143" t="s">
        <v>796</v>
      </c>
      <c r="MT143" t="s">
        <v>796</v>
      </c>
      <c r="MU143" t="s">
        <v>796</v>
      </c>
      <c r="MV143" t="s">
        <v>1806</v>
      </c>
      <c r="MW143" t="s">
        <v>493</v>
      </c>
      <c r="MX143">
        <v>1</v>
      </c>
      <c r="MY143">
        <v>1</v>
      </c>
      <c r="MZ143" t="s">
        <v>798</v>
      </c>
      <c r="NA143" t="s">
        <v>1020</v>
      </c>
      <c r="NB143" t="s">
        <v>707</v>
      </c>
      <c r="NC143" t="s">
        <v>817</v>
      </c>
      <c r="ND143" t="s">
        <v>815</v>
      </c>
      <c r="NE143" t="s">
        <v>792</v>
      </c>
      <c r="NF143" t="s">
        <v>806</v>
      </c>
      <c r="NG143" t="s">
        <v>795</v>
      </c>
      <c r="NH143" t="s">
        <v>703</v>
      </c>
      <c r="NI143" t="s">
        <v>793</v>
      </c>
      <c r="NJ143" t="s">
        <v>1182</v>
      </c>
      <c r="NK143" t="s">
        <v>1823</v>
      </c>
      <c r="NL143" t="s">
        <v>275</v>
      </c>
      <c r="NM143">
        <v>1</v>
      </c>
      <c r="NN143">
        <v>1</v>
      </c>
      <c r="NO143" t="s">
        <v>890</v>
      </c>
      <c r="NP143" t="s">
        <v>797</v>
      </c>
      <c r="NQ143" t="s">
        <v>815</v>
      </c>
      <c r="NR143" t="s">
        <v>817</v>
      </c>
      <c r="NS143" t="s">
        <v>805</v>
      </c>
      <c r="NT143" t="s">
        <v>707</v>
      </c>
      <c r="NU143" t="s">
        <v>795</v>
      </c>
      <c r="NV143" t="s">
        <v>795</v>
      </c>
      <c r="NW143" t="s">
        <v>707</v>
      </c>
      <c r="NX143" t="s">
        <v>793</v>
      </c>
      <c r="NY143" t="s">
        <v>707</v>
      </c>
      <c r="NZ143" t="s">
        <v>1840</v>
      </c>
    </row>
    <row r="144" spans="1:390" x14ac:dyDescent="0.25">
      <c r="A144" t="s">
        <v>140</v>
      </c>
      <c r="B144">
        <v>1</v>
      </c>
      <c r="C144">
        <v>1</v>
      </c>
      <c r="D144" t="s">
        <v>798</v>
      </c>
      <c r="E144" t="s">
        <v>799</v>
      </c>
      <c r="F144" t="s">
        <v>792</v>
      </c>
      <c r="G144" t="s">
        <v>800</v>
      </c>
      <c r="H144" t="s">
        <v>697</v>
      </c>
      <c r="I144" t="s">
        <v>792</v>
      </c>
      <c r="J144" t="s">
        <v>801</v>
      </c>
      <c r="K144" t="s">
        <v>795</v>
      </c>
      <c r="L144" t="s">
        <v>792</v>
      </c>
      <c r="M144" t="s">
        <v>703</v>
      </c>
      <c r="N144" t="s">
        <v>707</v>
      </c>
      <c r="O144" t="s">
        <v>802</v>
      </c>
      <c r="P144" t="s">
        <v>342</v>
      </c>
      <c r="Q144">
        <v>1</v>
      </c>
      <c r="R144">
        <v>1</v>
      </c>
      <c r="S144" t="s">
        <v>1004</v>
      </c>
      <c r="T144" t="s">
        <v>1005</v>
      </c>
      <c r="U144" t="s">
        <v>817</v>
      </c>
      <c r="V144" t="s">
        <v>851</v>
      </c>
      <c r="W144" t="s">
        <v>697</v>
      </c>
      <c r="X144" t="s">
        <v>815</v>
      </c>
      <c r="Y144" t="s">
        <v>835</v>
      </c>
      <c r="Z144" t="s">
        <v>806</v>
      </c>
      <c r="AA144" t="s">
        <v>792</v>
      </c>
      <c r="AB144" t="s">
        <v>792</v>
      </c>
      <c r="AC144" t="s">
        <v>703</v>
      </c>
      <c r="AD144" t="s">
        <v>1006</v>
      </c>
      <c r="AE144" t="s">
        <v>1064</v>
      </c>
      <c r="AF144">
        <v>1</v>
      </c>
      <c r="AG144">
        <v>0</v>
      </c>
      <c r="AH144" t="s">
        <v>859</v>
      </c>
      <c r="AI144" t="s">
        <v>851</v>
      </c>
      <c r="AJ144" t="s">
        <v>796</v>
      </c>
      <c r="AK144" t="s">
        <v>707</v>
      </c>
      <c r="AL144" t="s">
        <v>707</v>
      </c>
      <c r="AM144" t="s">
        <v>796</v>
      </c>
      <c r="AN144" t="s">
        <v>795</v>
      </c>
      <c r="AO144" t="s">
        <v>795</v>
      </c>
      <c r="AP144" t="s">
        <v>796</v>
      </c>
      <c r="AQ144" t="s">
        <v>796</v>
      </c>
      <c r="AR144" t="s">
        <v>796</v>
      </c>
      <c r="AS144" t="s">
        <v>1065</v>
      </c>
      <c r="AT144" t="s">
        <v>488</v>
      </c>
      <c r="AU144">
        <v>1</v>
      </c>
      <c r="AV144">
        <v>0</v>
      </c>
      <c r="AW144" t="s">
        <v>1023</v>
      </c>
      <c r="AX144" t="s">
        <v>805</v>
      </c>
      <c r="AY144" t="s">
        <v>796</v>
      </c>
      <c r="AZ144" t="s">
        <v>707</v>
      </c>
      <c r="BA144" t="s">
        <v>707</v>
      </c>
      <c r="BB144" t="s">
        <v>796</v>
      </c>
      <c r="BC144" t="s">
        <v>795</v>
      </c>
      <c r="BD144" t="s">
        <v>806</v>
      </c>
      <c r="BE144" t="s">
        <v>796</v>
      </c>
      <c r="BF144" t="s">
        <v>707</v>
      </c>
      <c r="BG144" t="s">
        <v>796</v>
      </c>
      <c r="BH144" t="s">
        <v>1103</v>
      </c>
      <c r="BI144" t="s">
        <v>508</v>
      </c>
      <c r="BJ144">
        <v>1</v>
      </c>
      <c r="BK144">
        <v>1</v>
      </c>
      <c r="BL144" t="s">
        <v>797</v>
      </c>
      <c r="BM144" t="s">
        <v>890</v>
      </c>
      <c r="BN144" t="s">
        <v>703</v>
      </c>
      <c r="BO144" t="s">
        <v>792</v>
      </c>
      <c r="BP144" t="s">
        <v>817</v>
      </c>
      <c r="BQ144" t="s">
        <v>703</v>
      </c>
      <c r="BR144" t="s">
        <v>835</v>
      </c>
      <c r="BS144" t="s">
        <v>795</v>
      </c>
      <c r="BT144" t="s">
        <v>792</v>
      </c>
      <c r="BU144" t="s">
        <v>707</v>
      </c>
      <c r="BV144" t="s">
        <v>823</v>
      </c>
      <c r="BW144" t="s">
        <v>1136</v>
      </c>
      <c r="BX144" t="s">
        <v>524</v>
      </c>
      <c r="BY144">
        <v>1</v>
      </c>
      <c r="BZ144">
        <v>1</v>
      </c>
      <c r="CA144" t="s">
        <v>1179</v>
      </c>
      <c r="CB144" t="s">
        <v>809</v>
      </c>
      <c r="CC144" t="s">
        <v>796</v>
      </c>
      <c r="CD144" t="s">
        <v>792</v>
      </c>
      <c r="CE144" t="s">
        <v>792</v>
      </c>
      <c r="CF144" t="s">
        <v>707</v>
      </c>
      <c r="CG144" t="s">
        <v>794</v>
      </c>
      <c r="CH144" t="s">
        <v>806</v>
      </c>
      <c r="CI144" t="s">
        <v>796</v>
      </c>
      <c r="CJ144" t="s">
        <v>703</v>
      </c>
      <c r="CK144" t="s">
        <v>796</v>
      </c>
      <c r="CL144" t="s">
        <v>1180</v>
      </c>
      <c r="CM144" t="s">
        <v>74</v>
      </c>
      <c r="CN144">
        <v>1</v>
      </c>
      <c r="CO144">
        <v>1</v>
      </c>
      <c r="CP144" t="s">
        <v>1004</v>
      </c>
      <c r="CQ144" t="s">
        <v>798</v>
      </c>
      <c r="CR144" t="s">
        <v>796</v>
      </c>
      <c r="CS144" t="s">
        <v>815</v>
      </c>
      <c r="CT144" t="s">
        <v>815</v>
      </c>
      <c r="CU144" t="s">
        <v>859</v>
      </c>
      <c r="CV144" t="s">
        <v>794</v>
      </c>
      <c r="CW144" t="s">
        <v>795</v>
      </c>
      <c r="CX144" t="s">
        <v>703</v>
      </c>
      <c r="CY144" t="s">
        <v>703</v>
      </c>
      <c r="CZ144" t="s">
        <v>703</v>
      </c>
      <c r="DA144" t="s">
        <v>1308</v>
      </c>
      <c r="DB144" t="s">
        <v>104</v>
      </c>
      <c r="DC144">
        <v>1</v>
      </c>
      <c r="DD144">
        <v>0</v>
      </c>
      <c r="DE144" t="s">
        <v>793</v>
      </c>
      <c r="DF144" t="s">
        <v>792</v>
      </c>
      <c r="DG144" t="s">
        <v>792</v>
      </c>
      <c r="DH144" t="s">
        <v>796</v>
      </c>
      <c r="DI144" t="s">
        <v>792</v>
      </c>
      <c r="DJ144" t="s">
        <v>796</v>
      </c>
      <c r="DK144" t="s">
        <v>795</v>
      </c>
      <c r="DL144" t="s">
        <v>795</v>
      </c>
      <c r="DM144" t="s">
        <v>796</v>
      </c>
      <c r="DN144" t="s">
        <v>796</v>
      </c>
      <c r="DO144" t="s">
        <v>796</v>
      </c>
      <c r="DP144" t="s">
        <v>693</v>
      </c>
      <c r="DQ144" t="s">
        <v>123</v>
      </c>
      <c r="DR144">
        <v>1</v>
      </c>
      <c r="DS144">
        <v>1</v>
      </c>
      <c r="DT144" t="s">
        <v>890</v>
      </c>
      <c r="DU144" t="s">
        <v>799</v>
      </c>
      <c r="DV144" t="s">
        <v>793</v>
      </c>
      <c r="DW144" t="s">
        <v>800</v>
      </c>
      <c r="DX144" t="s">
        <v>701</v>
      </c>
      <c r="DY144" t="s">
        <v>796</v>
      </c>
      <c r="DZ144" t="s">
        <v>806</v>
      </c>
      <c r="EA144" t="s">
        <v>806</v>
      </c>
      <c r="EB144" t="s">
        <v>796</v>
      </c>
      <c r="EC144" t="s">
        <v>707</v>
      </c>
      <c r="ED144" t="s">
        <v>796</v>
      </c>
      <c r="EE144" t="s">
        <v>1506</v>
      </c>
      <c r="EF144" t="s">
        <v>501</v>
      </c>
      <c r="EG144">
        <v>1</v>
      </c>
      <c r="EH144">
        <v>0</v>
      </c>
      <c r="EI144" t="s">
        <v>1023</v>
      </c>
      <c r="EJ144" t="s">
        <v>851</v>
      </c>
      <c r="EK144" t="s">
        <v>796</v>
      </c>
      <c r="EL144" t="s">
        <v>703</v>
      </c>
      <c r="EM144" t="s">
        <v>703</v>
      </c>
      <c r="EN144" t="s">
        <v>707</v>
      </c>
      <c r="EO144" t="s">
        <v>801</v>
      </c>
      <c r="EP144" t="s">
        <v>806</v>
      </c>
      <c r="EQ144" t="s">
        <v>796</v>
      </c>
      <c r="ER144" t="s">
        <v>815</v>
      </c>
      <c r="ES144" t="s">
        <v>796</v>
      </c>
      <c r="ET144" t="s">
        <v>1278</v>
      </c>
      <c r="EU144" t="s">
        <v>325</v>
      </c>
      <c r="EV144">
        <v>1</v>
      </c>
      <c r="EW144">
        <v>1</v>
      </c>
      <c r="EX144" t="s">
        <v>890</v>
      </c>
      <c r="EY144" t="s">
        <v>826</v>
      </c>
      <c r="EZ144" t="s">
        <v>792</v>
      </c>
      <c r="FA144" t="s">
        <v>703</v>
      </c>
      <c r="FB144" t="s">
        <v>817</v>
      </c>
      <c r="FC144" t="s">
        <v>792</v>
      </c>
      <c r="FD144" t="s">
        <v>795</v>
      </c>
      <c r="FE144" t="s">
        <v>795</v>
      </c>
      <c r="FF144" t="s">
        <v>792</v>
      </c>
      <c r="FG144" t="s">
        <v>792</v>
      </c>
      <c r="FH144" t="s">
        <v>707</v>
      </c>
      <c r="FI144" t="s">
        <v>1558</v>
      </c>
      <c r="FJ144" t="s">
        <v>165</v>
      </c>
      <c r="FK144">
        <v>1</v>
      </c>
      <c r="FL144">
        <v>0</v>
      </c>
      <c r="FM144" t="s">
        <v>853</v>
      </c>
      <c r="FN144" t="s">
        <v>804</v>
      </c>
      <c r="FO144" t="s">
        <v>707</v>
      </c>
      <c r="FP144" t="s">
        <v>792</v>
      </c>
      <c r="FQ144" t="s">
        <v>703</v>
      </c>
      <c r="FR144" t="s">
        <v>796</v>
      </c>
      <c r="FS144" t="s">
        <v>795</v>
      </c>
      <c r="FT144" t="s">
        <v>795</v>
      </c>
      <c r="FU144" t="s">
        <v>796</v>
      </c>
      <c r="FV144" t="s">
        <v>817</v>
      </c>
      <c r="FW144" t="s">
        <v>796</v>
      </c>
      <c r="FX144" t="s">
        <v>1348</v>
      </c>
      <c r="FY144" t="s">
        <v>354</v>
      </c>
      <c r="FZ144">
        <v>1</v>
      </c>
      <c r="GA144">
        <v>1</v>
      </c>
      <c r="GB144" t="s">
        <v>1000</v>
      </c>
      <c r="GC144" t="s">
        <v>1002</v>
      </c>
      <c r="GD144" t="s">
        <v>703</v>
      </c>
      <c r="GE144" t="s">
        <v>817</v>
      </c>
      <c r="GF144" t="s">
        <v>804</v>
      </c>
      <c r="GG144" t="s">
        <v>821</v>
      </c>
      <c r="GH144" t="s">
        <v>806</v>
      </c>
      <c r="GI144" t="s">
        <v>795</v>
      </c>
      <c r="GJ144" t="s">
        <v>851</v>
      </c>
      <c r="GK144" t="s">
        <v>817</v>
      </c>
      <c r="GL144" t="s">
        <v>1559</v>
      </c>
      <c r="GM144" t="s">
        <v>1607</v>
      </c>
      <c r="GN144" t="s">
        <v>177</v>
      </c>
      <c r="GO144">
        <v>1</v>
      </c>
      <c r="GP144">
        <v>0</v>
      </c>
      <c r="GQ144" t="s">
        <v>810</v>
      </c>
      <c r="GR144" t="s">
        <v>804</v>
      </c>
      <c r="GS144" t="s">
        <v>796</v>
      </c>
      <c r="GT144" t="s">
        <v>796</v>
      </c>
      <c r="GU144" t="s">
        <v>796</v>
      </c>
      <c r="GV144" t="s">
        <v>707</v>
      </c>
      <c r="GW144" t="s">
        <v>794</v>
      </c>
      <c r="GX144" t="s">
        <v>795</v>
      </c>
      <c r="GY144" t="s">
        <v>796</v>
      </c>
      <c r="GZ144" t="s">
        <v>707</v>
      </c>
      <c r="HA144" t="s">
        <v>796</v>
      </c>
      <c r="HB144" t="s">
        <v>1335</v>
      </c>
      <c r="HC144" t="s">
        <v>388</v>
      </c>
      <c r="HD144">
        <v>1</v>
      </c>
      <c r="HE144">
        <v>0</v>
      </c>
      <c r="HF144" t="s">
        <v>798</v>
      </c>
      <c r="HG144" t="s">
        <v>798</v>
      </c>
      <c r="HH144" t="s">
        <v>707</v>
      </c>
      <c r="HI144" t="s">
        <v>792</v>
      </c>
      <c r="HJ144" t="s">
        <v>703</v>
      </c>
      <c r="HK144" t="s">
        <v>707</v>
      </c>
      <c r="HL144" t="s">
        <v>801</v>
      </c>
      <c r="HM144" t="s">
        <v>795</v>
      </c>
      <c r="HN144" t="s">
        <v>793</v>
      </c>
      <c r="HO144" t="s">
        <v>703</v>
      </c>
      <c r="HP144" t="s">
        <v>1010</v>
      </c>
      <c r="HQ144" t="s">
        <v>1451</v>
      </c>
      <c r="HR144" t="s">
        <v>403</v>
      </c>
      <c r="HS144">
        <v>1</v>
      </c>
      <c r="HT144">
        <v>1</v>
      </c>
      <c r="HU144" t="s">
        <v>791</v>
      </c>
      <c r="HV144" t="s">
        <v>1020</v>
      </c>
      <c r="HW144" t="s">
        <v>796</v>
      </c>
      <c r="HX144" t="s">
        <v>707</v>
      </c>
      <c r="HY144" t="s">
        <v>707</v>
      </c>
      <c r="HZ144" t="s">
        <v>793</v>
      </c>
      <c r="IA144" t="s">
        <v>795</v>
      </c>
      <c r="IB144" t="s">
        <v>806</v>
      </c>
      <c r="IC144" t="s">
        <v>792</v>
      </c>
      <c r="ID144" t="s">
        <v>817</v>
      </c>
      <c r="IE144" t="s">
        <v>792</v>
      </c>
      <c r="IF144" t="s">
        <v>1675</v>
      </c>
      <c r="IG144" t="s">
        <v>192</v>
      </c>
      <c r="IH144">
        <v>1</v>
      </c>
      <c r="II144">
        <v>1</v>
      </c>
      <c r="IJ144" t="s">
        <v>833</v>
      </c>
      <c r="IK144" t="s">
        <v>1005</v>
      </c>
      <c r="IL144" t="s">
        <v>793</v>
      </c>
      <c r="IM144" t="s">
        <v>800</v>
      </c>
      <c r="IN144" t="s">
        <v>701</v>
      </c>
      <c r="IO144" t="s">
        <v>707</v>
      </c>
      <c r="IP144" t="s">
        <v>795</v>
      </c>
      <c r="IQ144" t="s">
        <v>1139</v>
      </c>
      <c r="IR144" t="s">
        <v>707</v>
      </c>
      <c r="IS144" t="s">
        <v>703</v>
      </c>
      <c r="IT144" t="s">
        <v>707</v>
      </c>
      <c r="IU144" t="s">
        <v>1692</v>
      </c>
      <c r="IV144" t="s">
        <v>210</v>
      </c>
      <c r="IW144">
        <v>1</v>
      </c>
      <c r="IX144">
        <v>0</v>
      </c>
      <c r="IY144" t="s">
        <v>693</v>
      </c>
      <c r="IZ144" t="s">
        <v>701</v>
      </c>
      <c r="JA144" t="s">
        <v>817</v>
      </c>
      <c r="JB144" t="s">
        <v>817</v>
      </c>
      <c r="JC144" t="s">
        <v>800</v>
      </c>
      <c r="JD144" t="s">
        <v>703</v>
      </c>
      <c r="JE144" t="s">
        <v>806</v>
      </c>
      <c r="JF144" t="s">
        <v>794</v>
      </c>
      <c r="JG144" t="s">
        <v>707</v>
      </c>
      <c r="JH144" t="s">
        <v>796</v>
      </c>
      <c r="JI144" t="s">
        <v>703</v>
      </c>
      <c r="JJ144" t="s">
        <v>1305</v>
      </c>
      <c r="JK144" t="s">
        <v>423</v>
      </c>
      <c r="JL144">
        <v>1</v>
      </c>
      <c r="JM144">
        <v>1</v>
      </c>
      <c r="JN144" t="s">
        <v>1002</v>
      </c>
      <c r="JO144" t="s">
        <v>697</v>
      </c>
      <c r="JP144" t="s">
        <v>817</v>
      </c>
      <c r="JQ144" t="s">
        <v>859</v>
      </c>
      <c r="JR144" t="s">
        <v>701</v>
      </c>
      <c r="JS144" t="s">
        <v>792</v>
      </c>
      <c r="JT144" t="s">
        <v>794</v>
      </c>
      <c r="JU144" t="s">
        <v>806</v>
      </c>
      <c r="JV144" t="s">
        <v>796</v>
      </c>
      <c r="JW144" t="s">
        <v>703</v>
      </c>
      <c r="JX144" t="s">
        <v>796</v>
      </c>
      <c r="JY144" t="s">
        <v>1020</v>
      </c>
      <c r="JZ144" t="s">
        <v>1744</v>
      </c>
      <c r="KA144">
        <v>1</v>
      </c>
      <c r="KB144">
        <v>1</v>
      </c>
      <c r="KC144" t="s">
        <v>1000</v>
      </c>
      <c r="KD144" t="s">
        <v>853</v>
      </c>
      <c r="KE144" t="s">
        <v>796</v>
      </c>
      <c r="KF144" t="s">
        <v>817</v>
      </c>
      <c r="KG144" t="s">
        <v>817</v>
      </c>
      <c r="KH144" t="s">
        <v>805</v>
      </c>
      <c r="KI144" t="s">
        <v>794</v>
      </c>
      <c r="KJ144" t="s">
        <v>795</v>
      </c>
      <c r="KK144" t="s">
        <v>707</v>
      </c>
      <c r="KL144" t="s">
        <v>815</v>
      </c>
      <c r="KM144" t="s">
        <v>805</v>
      </c>
      <c r="KN144" t="s">
        <v>1362</v>
      </c>
      <c r="KO144" t="s">
        <v>453</v>
      </c>
      <c r="KP144">
        <v>1</v>
      </c>
      <c r="KQ144">
        <v>0</v>
      </c>
      <c r="KR144" t="s">
        <v>1020</v>
      </c>
      <c r="KS144" t="s">
        <v>821</v>
      </c>
      <c r="KT144" t="s">
        <v>817</v>
      </c>
      <c r="KU144" t="s">
        <v>851</v>
      </c>
      <c r="KV144" t="s">
        <v>697</v>
      </c>
      <c r="KW144" t="s">
        <v>796</v>
      </c>
      <c r="KX144" t="s">
        <v>806</v>
      </c>
      <c r="KY144" t="s">
        <v>806</v>
      </c>
      <c r="KZ144" t="s">
        <v>796</v>
      </c>
      <c r="LA144" t="s">
        <v>703</v>
      </c>
      <c r="LB144" t="s">
        <v>796</v>
      </c>
      <c r="LC144" t="s">
        <v>1006</v>
      </c>
      <c r="LD144" t="s">
        <v>245</v>
      </c>
      <c r="LE144">
        <v>1</v>
      </c>
      <c r="LF144">
        <v>1</v>
      </c>
      <c r="LG144" t="s">
        <v>890</v>
      </c>
      <c r="LH144" t="s">
        <v>697</v>
      </c>
      <c r="LI144" t="s">
        <v>792</v>
      </c>
      <c r="LJ144" t="s">
        <v>815</v>
      </c>
      <c r="LK144" t="s">
        <v>804</v>
      </c>
      <c r="LL144" t="s">
        <v>793</v>
      </c>
      <c r="LM144" t="s">
        <v>806</v>
      </c>
      <c r="LN144" t="s">
        <v>806</v>
      </c>
      <c r="LO144" t="s">
        <v>703</v>
      </c>
      <c r="LP144" t="s">
        <v>707</v>
      </c>
      <c r="LQ144" t="s">
        <v>1590</v>
      </c>
      <c r="LR144" t="s">
        <v>1247</v>
      </c>
      <c r="LS144" t="s">
        <v>263</v>
      </c>
      <c r="LT144">
        <v>1</v>
      </c>
      <c r="LU144">
        <v>0</v>
      </c>
      <c r="LV144" t="s">
        <v>799</v>
      </c>
      <c r="LW144" t="s">
        <v>810</v>
      </c>
      <c r="LX144" t="s">
        <v>796</v>
      </c>
      <c r="LY144" t="s">
        <v>793</v>
      </c>
      <c r="LZ144" t="s">
        <v>793</v>
      </c>
      <c r="MA144" t="s">
        <v>707</v>
      </c>
      <c r="MB144" t="s">
        <v>795</v>
      </c>
      <c r="MC144" t="s">
        <v>795</v>
      </c>
      <c r="MD144" t="s">
        <v>796</v>
      </c>
      <c r="ME144" t="s">
        <v>796</v>
      </c>
      <c r="MF144" t="s">
        <v>796</v>
      </c>
      <c r="MG144" t="s">
        <v>1692</v>
      </c>
      <c r="MH144" t="s">
        <v>465</v>
      </c>
      <c r="MI144">
        <v>1</v>
      </c>
      <c r="MJ144">
        <v>1</v>
      </c>
      <c r="MK144" t="s">
        <v>693</v>
      </c>
      <c r="ML144" t="s">
        <v>1023</v>
      </c>
      <c r="MM144" t="s">
        <v>796</v>
      </c>
      <c r="MN144" t="s">
        <v>815</v>
      </c>
      <c r="MO144" t="s">
        <v>815</v>
      </c>
      <c r="MP144" t="s">
        <v>817</v>
      </c>
      <c r="MQ144" t="s">
        <v>806</v>
      </c>
      <c r="MR144" t="s">
        <v>795</v>
      </c>
      <c r="MS144" t="s">
        <v>793</v>
      </c>
      <c r="MT144" t="s">
        <v>703</v>
      </c>
      <c r="MU144" t="s">
        <v>1590</v>
      </c>
      <c r="MV144" t="s">
        <v>1807</v>
      </c>
      <c r="MW144" t="s">
        <v>494</v>
      </c>
      <c r="MX144">
        <v>1</v>
      </c>
      <c r="MY144">
        <v>1</v>
      </c>
      <c r="MZ144" t="s">
        <v>1004</v>
      </c>
      <c r="NA144" t="s">
        <v>826</v>
      </c>
      <c r="NB144" t="s">
        <v>796</v>
      </c>
      <c r="NC144" t="s">
        <v>703</v>
      </c>
      <c r="ND144" t="s">
        <v>703</v>
      </c>
      <c r="NE144" t="s">
        <v>792</v>
      </c>
      <c r="NF144" t="s">
        <v>795</v>
      </c>
      <c r="NG144" t="s">
        <v>1139</v>
      </c>
      <c r="NH144" t="s">
        <v>796</v>
      </c>
      <c r="NI144" t="s">
        <v>707</v>
      </c>
      <c r="NJ144" t="s">
        <v>796</v>
      </c>
      <c r="NK144" t="s">
        <v>1506</v>
      </c>
      <c r="NL144" t="s">
        <v>273</v>
      </c>
      <c r="NM144">
        <v>1</v>
      </c>
      <c r="NN144">
        <v>1</v>
      </c>
      <c r="NO144" t="s">
        <v>1002</v>
      </c>
      <c r="NP144" t="s">
        <v>831</v>
      </c>
      <c r="NQ144" t="s">
        <v>707</v>
      </c>
      <c r="NR144" t="s">
        <v>703</v>
      </c>
      <c r="NS144" t="s">
        <v>793</v>
      </c>
      <c r="NT144" t="s">
        <v>707</v>
      </c>
      <c r="NU144" t="s">
        <v>806</v>
      </c>
      <c r="NV144" t="s">
        <v>795</v>
      </c>
      <c r="NW144" t="s">
        <v>815</v>
      </c>
      <c r="NX144" t="s">
        <v>707</v>
      </c>
      <c r="NY144" t="s">
        <v>1256</v>
      </c>
      <c r="NZ144" t="s">
        <v>1841</v>
      </c>
    </row>
    <row r="145" spans="1:390" x14ac:dyDescent="0.25">
      <c r="A145" t="s">
        <v>138</v>
      </c>
      <c r="B145">
        <v>1</v>
      </c>
      <c r="C145">
        <v>1</v>
      </c>
      <c r="D145" t="s">
        <v>797</v>
      </c>
      <c r="E145" t="s">
        <v>803</v>
      </c>
      <c r="F145" t="s">
        <v>703</v>
      </c>
      <c r="G145" t="s">
        <v>804</v>
      </c>
      <c r="H145" t="s">
        <v>805</v>
      </c>
      <c r="I145" t="s">
        <v>701</v>
      </c>
      <c r="J145" t="s">
        <v>795</v>
      </c>
      <c r="K145" t="s">
        <v>806</v>
      </c>
      <c r="L145" t="s">
        <v>793</v>
      </c>
      <c r="M145" t="s">
        <v>703</v>
      </c>
      <c r="N145" t="s">
        <v>807</v>
      </c>
      <c r="O145" t="s">
        <v>808</v>
      </c>
      <c r="P145" t="s">
        <v>340</v>
      </c>
      <c r="Q145">
        <v>1</v>
      </c>
      <c r="R145">
        <v>1</v>
      </c>
      <c r="S145" t="s">
        <v>1002</v>
      </c>
      <c r="T145" t="s">
        <v>809</v>
      </c>
      <c r="U145" t="s">
        <v>796</v>
      </c>
      <c r="V145" t="s">
        <v>703</v>
      </c>
      <c r="W145" t="s">
        <v>703</v>
      </c>
      <c r="X145" t="s">
        <v>793</v>
      </c>
      <c r="Y145" t="s">
        <v>795</v>
      </c>
      <c r="Z145" t="s">
        <v>795</v>
      </c>
      <c r="AA145" t="s">
        <v>793</v>
      </c>
      <c r="AB145" t="s">
        <v>707</v>
      </c>
      <c r="AC145" t="s">
        <v>707</v>
      </c>
      <c r="AD145" t="s">
        <v>1003</v>
      </c>
      <c r="AE145" t="s">
        <v>1060</v>
      </c>
      <c r="AF145">
        <v>1</v>
      </c>
      <c r="AG145">
        <v>0</v>
      </c>
      <c r="AH145" t="s">
        <v>809</v>
      </c>
      <c r="AI145" t="s">
        <v>804</v>
      </c>
      <c r="AJ145" t="s">
        <v>707</v>
      </c>
      <c r="AK145" t="s">
        <v>817</v>
      </c>
      <c r="AL145" t="s">
        <v>815</v>
      </c>
      <c r="AM145" t="s">
        <v>792</v>
      </c>
      <c r="AN145" t="s">
        <v>806</v>
      </c>
      <c r="AO145" t="s">
        <v>795</v>
      </c>
      <c r="AP145" t="s">
        <v>796</v>
      </c>
      <c r="AQ145" t="s">
        <v>796</v>
      </c>
      <c r="AR145" t="s">
        <v>796</v>
      </c>
      <c r="AS145" t="s">
        <v>1061</v>
      </c>
      <c r="AT145" t="s">
        <v>481</v>
      </c>
      <c r="AU145">
        <v>1</v>
      </c>
      <c r="AV145">
        <v>0</v>
      </c>
      <c r="AW145" t="s">
        <v>693</v>
      </c>
      <c r="AX145" t="s">
        <v>1005</v>
      </c>
      <c r="AY145" t="s">
        <v>796</v>
      </c>
      <c r="AZ145" t="s">
        <v>703</v>
      </c>
      <c r="BA145" t="s">
        <v>703</v>
      </c>
      <c r="BB145" t="s">
        <v>703</v>
      </c>
      <c r="BC145" t="s">
        <v>795</v>
      </c>
      <c r="BD145" t="s">
        <v>795</v>
      </c>
      <c r="BE145" t="s">
        <v>792</v>
      </c>
      <c r="BF145" t="s">
        <v>792</v>
      </c>
      <c r="BG145" t="s">
        <v>823</v>
      </c>
      <c r="BH145" t="s">
        <v>1062</v>
      </c>
      <c r="BI145" t="s">
        <v>513</v>
      </c>
      <c r="BJ145">
        <v>1</v>
      </c>
      <c r="BK145">
        <v>0</v>
      </c>
      <c r="BL145" t="s">
        <v>1005</v>
      </c>
      <c r="BM145" t="s">
        <v>805</v>
      </c>
      <c r="BN145" t="s">
        <v>796</v>
      </c>
      <c r="BO145" t="s">
        <v>707</v>
      </c>
      <c r="BP145" t="s">
        <v>707</v>
      </c>
      <c r="BQ145" t="s">
        <v>817</v>
      </c>
      <c r="BR145" t="s">
        <v>1139</v>
      </c>
      <c r="BS145" t="s">
        <v>795</v>
      </c>
      <c r="BT145" t="s">
        <v>796</v>
      </c>
      <c r="BU145" t="s">
        <v>707</v>
      </c>
      <c r="BV145" t="s">
        <v>796</v>
      </c>
      <c r="BW145" t="s">
        <v>1140</v>
      </c>
      <c r="BX145" t="s">
        <v>630</v>
      </c>
      <c r="BY145">
        <v>1</v>
      </c>
      <c r="BZ145">
        <v>0</v>
      </c>
      <c r="CA145" t="s">
        <v>804</v>
      </c>
      <c r="CB145" t="s">
        <v>817</v>
      </c>
      <c r="CC145" t="s">
        <v>707</v>
      </c>
      <c r="CD145" t="s">
        <v>707</v>
      </c>
      <c r="CE145" t="s">
        <v>792</v>
      </c>
      <c r="CF145" t="s">
        <v>796</v>
      </c>
      <c r="CG145" t="s">
        <v>795</v>
      </c>
      <c r="CH145" t="s">
        <v>795</v>
      </c>
      <c r="CI145" t="s">
        <v>796</v>
      </c>
      <c r="CJ145" t="s">
        <v>792</v>
      </c>
      <c r="CK145" t="s">
        <v>796</v>
      </c>
      <c r="CL145" t="s">
        <v>1184</v>
      </c>
      <c r="CM145" t="s">
        <v>76</v>
      </c>
      <c r="CN145">
        <v>1</v>
      </c>
      <c r="CO145">
        <v>1</v>
      </c>
      <c r="CP145" t="s">
        <v>693</v>
      </c>
      <c r="CQ145" t="s">
        <v>1062</v>
      </c>
      <c r="CR145" t="s">
        <v>796</v>
      </c>
      <c r="CS145" t="s">
        <v>817</v>
      </c>
      <c r="CT145" t="s">
        <v>817</v>
      </c>
      <c r="CU145" t="s">
        <v>792</v>
      </c>
      <c r="CV145" t="s">
        <v>794</v>
      </c>
      <c r="CW145" t="s">
        <v>806</v>
      </c>
      <c r="CX145" t="s">
        <v>792</v>
      </c>
      <c r="CY145" t="s">
        <v>792</v>
      </c>
      <c r="CZ145" t="s">
        <v>707</v>
      </c>
      <c r="DA145" t="s">
        <v>1020</v>
      </c>
      <c r="DB145" t="s">
        <v>530</v>
      </c>
      <c r="DC145">
        <v>1</v>
      </c>
      <c r="DD145">
        <v>1</v>
      </c>
      <c r="DE145" t="s">
        <v>1020</v>
      </c>
      <c r="DF145" t="s">
        <v>804</v>
      </c>
      <c r="DG145" t="s">
        <v>707</v>
      </c>
      <c r="DH145" t="s">
        <v>815</v>
      </c>
      <c r="DI145" t="s">
        <v>851</v>
      </c>
      <c r="DJ145" t="s">
        <v>817</v>
      </c>
      <c r="DK145" t="s">
        <v>801</v>
      </c>
      <c r="DL145" t="s">
        <v>795</v>
      </c>
      <c r="DM145" t="s">
        <v>707</v>
      </c>
      <c r="DN145" t="s">
        <v>796</v>
      </c>
      <c r="DO145" t="s">
        <v>817</v>
      </c>
      <c r="DP145" t="s">
        <v>1361</v>
      </c>
      <c r="DQ145" t="s">
        <v>394</v>
      </c>
      <c r="DR145">
        <v>1</v>
      </c>
      <c r="DS145">
        <v>1</v>
      </c>
      <c r="DT145" t="s">
        <v>797</v>
      </c>
      <c r="DU145" t="s">
        <v>853</v>
      </c>
      <c r="DV145" t="s">
        <v>793</v>
      </c>
      <c r="DW145" t="s">
        <v>817</v>
      </c>
      <c r="DX145" t="s">
        <v>859</v>
      </c>
      <c r="DY145" t="s">
        <v>703</v>
      </c>
      <c r="DZ145" t="s">
        <v>795</v>
      </c>
      <c r="EA145" t="s">
        <v>835</v>
      </c>
      <c r="EB145" t="s">
        <v>792</v>
      </c>
      <c r="EC145" t="s">
        <v>793</v>
      </c>
      <c r="ED145" t="s">
        <v>823</v>
      </c>
      <c r="EE145" t="s">
        <v>1507</v>
      </c>
      <c r="EF145" t="s">
        <v>309</v>
      </c>
      <c r="EG145">
        <v>1</v>
      </c>
      <c r="EH145">
        <v>1</v>
      </c>
      <c r="EI145" t="s">
        <v>1179</v>
      </c>
      <c r="EJ145" t="s">
        <v>826</v>
      </c>
      <c r="EK145" t="s">
        <v>796</v>
      </c>
      <c r="EL145" t="s">
        <v>804</v>
      </c>
      <c r="EM145" t="s">
        <v>804</v>
      </c>
      <c r="EN145" t="s">
        <v>792</v>
      </c>
      <c r="EO145" t="s">
        <v>794</v>
      </c>
      <c r="EP145" t="s">
        <v>794</v>
      </c>
      <c r="EQ145" t="s">
        <v>792</v>
      </c>
      <c r="ER145" t="s">
        <v>707</v>
      </c>
      <c r="ES145" t="s">
        <v>707</v>
      </c>
      <c r="ET145" t="s">
        <v>1534</v>
      </c>
      <c r="EU145" t="s">
        <v>324</v>
      </c>
      <c r="EV145">
        <v>1</v>
      </c>
      <c r="EW145">
        <v>1</v>
      </c>
      <c r="EX145" t="s">
        <v>1179</v>
      </c>
      <c r="EY145" t="s">
        <v>853</v>
      </c>
      <c r="EZ145" t="s">
        <v>796</v>
      </c>
      <c r="FA145" t="s">
        <v>703</v>
      </c>
      <c r="FB145" t="s">
        <v>703</v>
      </c>
      <c r="FC145" t="s">
        <v>792</v>
      </c>
      <c r="FD145" t="s">
        <v>801</v>
      </c>
      <c r="FE145" t="s">
        <v>806</v>
      </c>
      <c r="FF145" t="s">
        <v>707</v>
      </c>
      <c r="FG145" t="s">
        <v>792</v>
      </c>
      <c r="FH145" t="s">
        <v>792</v>
      </c>
      <c r="FI145" t="s">
        <v>1315</v>
      </c>
      <c r="FJ145" t="s">
        <v>160</v>
      </c>
      <c r="FK145">
        <v>1</v>
      </c>
      <c r="FL145">
        <v>1</v>
      </c>
      <c r="FM145" t="s">
        <v>797</v>
      </c>
      <c r="FN145" t="s">
        <v>821</v>
      </c>
      <c r="FO145" t="s">
        <v>793</v>
      </c>
      <c r="FP145" t="s">
        <v>817</v>
      </c>
      <c r="FQ145" t="s">
        <v>859</v>
      </c>
      <c r="FR145" t="s">
        <v>703</v>
      </c>
      <c r="FS145" t="s">
        <v>806</v>
      </c>
      <c r="FT145" t="s">
        <v>795</v>
      </c>
      <c r="FU145" t="s">
        <v>792</v>
      </c>
      <c r="FV145" t="s">
        <v>792</v>
      </c>
      <c r="FW145" t="s">
        <v>823</v>
      </c>
      <c r="FX145" t="s">
        <v>1585</v>
      </c>
      <c r="FY145" t="s">
        <v>361</v>
      </c>
      <c r="FZ145">
        <v>1</v>
      </c>
      <c r="GA145">
        <v>1</v>
      </c>
      <c r="GB145" t="s">
        <v>809</v>
      </c>
      <c r="GC145" t="s">
        <v>1023</v>
      </c>
      <c r="GD145" t="s">
        <v>703</v>
      </c>
      <c r="GE145" t="s">
        <v>815</v>
      </c>
      <c r="GF145" t="s">
        <v>859</v>
      </c>
      <c r="GG145" t="s">
        <v>796</v>
      </c>
      <c r="GH145" t="s">
        <v>795</v>
      </c>
      <c r="GI145" t="s">
        <v>806</v>
      </c>
      <c r="GJ145" t="s">
        <v>707</v>
      </c>
      <c r="GK145" t="s">
        <v>792</v>
      </c>
      <c r="GL145" t="s">
        <v>796</v>
      </c>
      <c r="GM145" t="s">
        <v>1608</v>
      </c>
      <c r="GN145" t="s">
        <v>124</v>
      </c>
      <c r="GO145">
        <v>1</v>
      </c>
      <c r="GP145">
        <v>0</v>
      </c>
      <c r="GQ145" t="s">
        <v>805</v>
      </c>
      <c r="GR145" t="s">
        <v>851</v>
      </c>
      <c r="GS145" t="s">
        <v>707</v>
      </c>
      <c r="GT145" t="s">
        <v>817</v>
      </c>
      <c r="GU145" t="s">
        <v>815</v>
      </c>
      <c r="GV145" t="s">
        <v>796</v>
      </c>
      <c r="GW145" t="s">
        <v>795</v>
      </c>
      <c r="GX145" t="s">
        <v>806</v>
      </c>
      <c r="GY145" t="s">
        <v>707</v>
      </c>
      <c r="GZ145" t="s">
        <v>707</v>
      </c>
      <c r="HA145" t="s">
        <v>796</v>
      </c>
      <c r="HB145" t="s">
        <v>1328</v>
      </c>
      <c r="HC145" t="s">
        <v>391</v>
      </c>
      <c r="HD145">
        <v>1</v>
      </c>
      <c r="HE145">
        <v>1</v>
      </c>
      <c r="HF145" t="s">
        <v>693</v>
      </c>
      <c r="HG145" t="s">
        <v>1005</v>
      </c>
      <c r="HH145" t="s">
        <v>796</v>
      </c>
      <c r="HI145" t="s">
        <v>851</v>
      </c>
      <c r="HJ145" t="s">
        <v>851</v>
      </c>
      <c r="HK145" t="s">
        <v>815</v>
      </c>
      <c r="HL145" t="s">
        <v>795</v>
      </c>
      <c r="HM145" t="s">
        <v>806</v>
      </c>
      <c r="HN145" t="s">
        <v>792</v>
      </c>
      <c r="HO145" t="s">
        <v>793</v>
      </c>
      <c r="HP145" t="s">
        <v>703</v>
      </c>
      <c r="HQ145" t="s">
        <v>1306</v>
      </c>
      <c r="HR145" t="s">
        <v>614</v>
      </c>
      <c r="HS145">
        <v>1</v>
      </c>
      <c r="HT145">
        <v>0</v>
      </c>
      <c r="HU145" t="s">
        <v>798</v>
      </c>
      <c r="HV145" t="s">
        <v>851</v>
      </c>
      <c r="HW145" t="s">
        <v>792</v>
      </c>
      <c r="HX145" t="s">
        <v>703</v>
      </c>
      <c r="HY145" t="s">
        <v>817</v>
      </c>
      <c r="HZ145" t="s">
        <v>815</v>
      </c>
      <c r="IA145" t="s">
        <v>801</v>
      </c>
      <c r="IB145" t="s">
        <v>801</v>
      </c>
      <c r="IC145" t="s">
        <v>707</v>
      </c>
      <c r="ID145" t="s">
        <v>792</v>
      </c>
      <c r="IE145" t="s">
        <v>815</v>
      </c>
      <c r="IF145" t="s">
        <v>1676</v>
      </c>
      <c r="IG145" t="s">
        <v>196</v>
      </c>
      <c r="IH145">
        <v>1</v>
      </c>
      <c r="II145">
        <v>0</v>
      </c>
      <c r="IJ145" t="s">
        <v>1104</v>
      </c>
      <c r="IK145" t="s">
        <v>853</v>
      </c>
      <c r="IL145" t="s">
        <v>707</v>
      </c>
      <c r="IM145" t="s">
        <v>817</v>
      </c>
      <c r="IN145" t="s">
        <v>815</v>
      </c>
      <c r="IO145" t="s">
        <v>703</v>
      </c>
      <c r="IP145" t="s">
        <v>794</v>
      </c>
      <c r="IQ145" t="s">
        <v>795</v>
      </c>
      <c r="IR145" t="s">
        <v>707</v>
      </c>
      <c r="IS145" t="s">
        <v>792</v>
      </c>
      <c r="IT145" t="s">
        <v>703</v>
      </c>
      <c r="IU145" t="s">
        <v>1692</v>
      </c>
      <c r="IV145" t="s">
        <v>590</v>
      </c>
      <c r="IW145">
        <v>1</v>
      </c>
      <c r="IX145">
        <v>0</v>
      </c>
      <c r="IY145" t="s">
        <v>1062</v>
      </c>
      <c r="IZ145" t="s">
        <v>804</v>
      </c>
      <c r="JA145" t="s">
        <v>796</v>
      </c>
      <c r="JB145" t="s">
        <v>817</v>
      </c>
      <c r="JC145" t="s">
        <v>817</v>
      </c>
      <c r="JD145" t="s">
        <v>817</v>
      </c>
      <c r="JE145" t="s">
        <v>795</v>
      </c>
      <c r="JF145" t="s">
        <v>795</v>
      </c>
      <c r="JG145" t="s">
        <v>796</v>
      </c>
      <c r="JH145" t="s">
        <v>792</v>
      </c>
      <c r="JI145" t="s">
        <v>796</v>
      </c>
      <c r="JJ145" t="s">
        <v>1141</v>
      </c>
      <c r="JK145" t="s">
        <v>1726</v>
      </c>
      <c r="JL145">
        <v>1</v>
      </c>
      <c r="JM145">
        <v>0</v>
      </c>
      <c r="JN145" t="s">
        <v>853</v>
      </c>
      <c r="JO145" t="s">
        <v>804</v>
      </c>
      <c r="JP145" t="s">
        <v>707</v>
      </c>
      <c r="JQ145" t="s">
        <v>703</v>
      </c>
      <c r="JR145" t="s">
        <v>793</v>
      </c>
      <c r="JS145" t="s">
        <v>707</v>
      </c>
      <c r="JT145" t="s">
        <v>806</v>
      </c>
      <c r="JU145" t="s">
        <v>795</v>
      </c>
      <c r="JV145" t="s">
        <v>707</v>
      </c>
      <c r="JW145" t="s">
        <v>703</v>
      </c>
      <c r="JX145" t="s">
        <v>707</v>
      </c>
      <c r="JY145" t="s">
        <v>1727</v>
      </c>
      <c r="JZ145" t="s">
        <v>359</v>
      </c>
      <c r="KA145">
        <v>1</v>
      </c>
      <c r="KB145">
        <v>0</v>
      </c>
      <c r="KC145" t="s">
        <v>1005</v>
      </c>
      <c r="KD145" t="s">
        <v>815</v>
      </c>
      <c r="KE145" t="s">
        <v>707</v>
      </c>
      <c r="KF145" t="s">
        <v>792</v>
      </c>
      <c r="KG145" t="s">
        <v>703</v>
      </c>
      <c r="KH145" t="s">
        <v>707</v>
      </c>
      <c r="KI145" t="s">
        <v>801</v>
      </c>
      <c r="KJ145" t="s">
        <v>795</v>
      </c>
      <c r="KK145" t="s">
        <v>796</v>
      </c>
      <c r="KL145" t="s">
        <v>796</v>
      </c>
      <c r="KM145" t="s">
        <v>796</v>
      </c>
      <c r="KN145" t="s">
        <v>1262</v>
      </c>
      <c r="KO145" t="s">
        <v>620</v>
      </c>
      <c r="KP145">
        <v>1</v>
      </c>
      <c r="KQ145">
        <v>0</v>
      </c>
      <c r="KR145" t="s">
        <v>1009</v>
      </c>
      <c r="KS145" t="s">
        <v>800</v>
      </c>
      <c r="KT145" t="s">
        <v>707</v>
      </c>
      <c r="KU145" t="s">
        <v>793</v>
      </c>
      <c r="KV145" t="s">
        <v>817</v>
      </c>
      <c r="KW145" t="s">
        <v>707</v>
      </c>
      <c r="KX145" t="s">
        <v>806</v>
      </c>
      <c r="KY145" t="s">
        <v>795</v>
      </c>
      <c r="KZ145" t="s">
        <v>796</v>
      </c>
      <c r="LA145" t="s">
        <v>707</v>
      </c>
      <c r="LB145" t="s">
        <v>796</v>
      </c>
      <c r="LC145" t="s">
        <v>1283</v>
      </c>
      <c r="LD145" t="s">
        <v>243</v>
      </c>
      <c r="LE145">
        <v>1</v>
      </c>
      <c r="LF145">
        <v>1</v>
      </c>
      <c r="LG145" t="s">
        <v>1096</v>
      </c>
      <c r="LH145" t="s">
        <v>1009</v>
      </c>
      <c r="LI145" t="s">
        <v>707</v>
      </c>
      <c r="LJ145" t="s">
        <v>703</v>
      </c>
      <c r="LK145" t="s">
        <v>793</v>
      </c>
      <c r="LL145" t="s">
        <v>793</v>
      </c>
      <c r="LM145" t="s">
        <v>794</v>
      </c>
      <c r="LN145" t="s">
        <v>795</v>
      </c>
      <c r="LO145" t="s">
        <v>707</v>
      </c>
      <c r="LP145" t="s">
        <v>703</v>
      </c>
      <c r="LQ145" t="s">
        <v>793</v>
      </c>
      <c r="LR145" t="s">
        <v>1774</v>
      </c>
      <c r="LS145" t="s">
        <v>597</v>
      </c>
      <c r="LT145">
        <v>1</v>
      </c>
      <c r="LU145">
        <v>1</v>
      </c>
      <c r="LV145" t="s">
        <v>797</v>
      </c>
      <c r="LW145" t="s">
        <v>697</v>
      </c>
      <c r="LX145" t="s">
        <v>796</v>
      </c>
      <c r="LY145" t="s">
        <v>793</v>
      </c>
      <c r="LZ145" t="s">
        <v>793</v>
      </c>
      <c r="MA145" t="s">
        <v>859</v>
      </c>
      <c r="MB145" t="s">
        <v>795</v>
      </c>
      <c r="MC145" t="s">
        <v>795</v>
      </c>
      <c r="MD145" t="s">
        <v>796</v>
      </c>
      <c r="ME145" t="s">
        <v>707</v>
      </c>
      <c r="MF145" t="s">
        <v>796</v>
      </c>
      <c r="MG145" t="s">
        <v>1793</v>
      </c>
      <c r="MH145" t="s">
        <v>470</v>
      </c>
      <c r="MI145">
        <v>1</v>
      </c>
      <c r="MJ145">
        <v>0</v>
      </c>
      <c r="MK145" t="s">
        <v>1020</v>
      </c>
      <c r="ML145" t="s">
        <v>804</v>
      </c>
      <c r="MM145" t="s">
        <v>792</v>
      </c>
      <c r="MN145" t="s">
        <v>817</v>
      </c>
      <c r="MO145" t="s">
        <v>851</v>
      </c>
      <c r="MP145" t="s">
        <v>792</v>
      </c>
      <c r="MQ145" t="s">
        <v>806</v>
      </c>
      <c r="MR145" t="s">
        <v>795</v>
      </c>
      <c r="MS145" t="s">
        <v>707</v>
      </c>
      <c r="MT145" t="s">
        <v>793</v>
      </c>
      <c r="MU145" t="s">
        <v>792</v>
      </c>
      <c r="MV145" t="s">
        <v>853</v>
      </c>
      <c r="MW145" t="s">
        <v>299</v>
      </c>
      <c r="MX145">
        <v>1</v>
      </c>
      <c r="MY145">
        <v>0</v>
      </c>
      <c r="MZ145" t="s">
        <v>1005</v>
      </c>
      <c r="NA145" t="s">
        <v>697</v>
      </c>
      <c r="NB145" t="s">
        <v>707</v>
      </c>
      <c r="NC145" t="s">
        <v>707</v>
      </c>
      <c r="ND145" t="s">
        <v>792</v>
      </c>
      <c r="NE145" t="s">
        <v>703</v>
      </c>
      <c r="NF145" t="s">
        <v>795</v>
      </c>
      <c r="NG145" t="s">
        <v>795</v>
      </c>
      <c r="NH145" t="s">
        <v>792</v>
      </c>
      <c r="NI145" t="s">
        <v>792</v>
      </c>
      <c r="NJ145" t="s">
        <v>823</v>
      </c>
      <c r="NK145" t="s">
        <v>1020</v>
      </c>
      <c r="NL145" t="s">
        <v>600</v>
      </c>
      <c r="NM145">
        <v>1</v>
      </c>
      <c r="NN145">
        <v>1</v>
      </c>
      <c r="NO145" t="s">
        <v>826</v>
      </c>
      <c r="NP145" t="s">
        <v>793</v>
      </c>
      <c r="NQ145" t="s">
        <v>792</v>
      </c>
      <c r="NR145" t="s">
        <v>851</v>
      </c>
      <c r="NS145" t="s">
        <v>859</v>
      </c>
      <c r="NT145" t="s">
        <v>796</v>
      </c>
      <c r="NU145" t="s">
        <v>806</v>
      </c>
      <c r="NV145" t="s">
        <v>795</v>
      </c>
      <c r="NW145" t="s">
        <v>796</v>
      </c>
      <c r="NX145" t="s">
        <v>792</v>
      </c>
      <c r="NY145" t="s">
        <v>796</v>
      </c>
      <c r="NZ145" t="s">
        <v>1262</v>
      </c>
    </row>
    <row r="146" spans="1:390" x14ac:dyDescent="0.25">
      <c r="A146" t="s">
        <v>151</v>
      </c>
      <c r="B146">
        <v>1</v>
      </c>
      <c r="C146">
        <v>0</v>
      </c>
      <c r="D146" t="s">
        <v>815</v>
      </c>
      <c r="E146" t="s">
        <v>817</v>
      </c>
      <c r="F146" t="s">
        <v>796</v>
      </c>
      <c r="G146" t="s">
        <v>796</v>
      </c>
      <c r="H146" t="s">
        <v>796</v>
      </c>
      <c r="I146" t="s">
        <v>796</v>
      </c>
      <c r="J146" t="s">
        <v>795</v>
      </c>
      <c r="K146" t="s">
        <v>795</v>
      </c>
      <c r="L146" t="s">
        <v>796</v>
      </c>
      <c r="M146" t="s">
        <v>707</v>
      </c>
      <c r="N146" t="s">
        <v>796</v>
      </c>
      <c r="O146" t="s">
        <v>818</v>
      </c>
      <c r="P146" t="s">
        <v>540</v>
      </c>
      <c r="Q146">
        <v>1</v>
      </c>
      <c r="R146">
        <v>0</v>
      </c>
      <c r="S146" t="s">
        <v>859</v>
      </c>
      <c r="T146" t="s">
        <v>792</v>
      </c>
      <c r="U146" t="s">
        <v>796</v>
      </c>
      <c r="V146" t="s">
        <v>796</v>
      </c>
      <c r="W146" t="s">
        <v>796</v>
      </c>
      <c r="X146" t="s">
        <v>792</v>
      </c>
      <c r="Y146" t="s">
        <v>806</v>
      </c>
      <c r="Z146" t="s">
        <v>806</v>
      </c>
      <c r="AA146" t="s">
        <v>796</v>
      </c>
      <c r="AB146" t="s">
        <v>796</v>
      </c>
      <c r="AC146" t="s">
        <v>796</v>
      </c>
      <c r="AD146" t="s">
        <v>1016</v>
      </c>
      <c r="AE146" t="s">
        <v>226</v>
      </c>
      <c r="AF146">
        <v>1</v>
      </c>
      <c r="AG146">
        <v>1</v>
      </c>
      <c r="AH146" t="s">
        <v>1004</v>
      </c>
      <c r="AI146" t="s">
        <v>1023</v>
      </c>
      <c r="AJ146" t="s">
        <v>793</v>
      </c>
      <c r="AK146" t="s">
        <v>703</v>
      </c>
      <c r="AL146" t="s">
        <v>851</v>
      </c>
      <c r="AM146" t="s">
        <v>796</v>
      </c>
      <c r="AN146" t="s">
        <v>806</v>
      </c>
      <c r="AO146" t="s">
        <v>794</v>
      </c>
      <c r="AP146" t="s">
        <v>792</v>
      </c>
      <c r="AQ146" t="s">
        <v>817</v>
      </c>
      <c r="AR146" t="s">
        <v>796</v>
      </c>
      <c r="AS146" t="s">
        <v>1059</v>
      </c>
      <c r="AT146" t="s">
        <v>480</v>
      </c>
      <c r="AU146">
        <v>1</v>
      </c>
      <c r="AV146">
        <v>1</v>
      </c>
      <c r="AW146" t="s">
        <v>890</v>
      </c>
      <c r="AX146" t="s">
        <v>798</v>
      </c>
      <c r="AY146" t="s">
        <v>707</v>
      </c>
      <c r="AZ146" t="s">
        <v>707</v>
      </c>
      <c r="BA146" t="s">
        <v>792</v>
      </c>
      <c r="BB146" t="s">
        <v>703</v>
      </c>
      <c r="BC146" t="s">
        <v>806</v>
      </c>
      <c r="BD146" t="s">
        <v>795</v>
      </c>
      <c r="BE146" t="s">
        <v>703</v>
      </c>
      <c r="BF146" t="s">
        <v>703</v>
      </c>
      <c r="BG146" t="s">
        <v>707</v>
      </c>
      <c r="BH146" t="s">
        <v>1102</v>
      </c>
      <c r="BI146" t="s">
        <v>509</v>
      </c>
      <c r="BJ146">
        <v>1</v>
      </c>
      <c r="BK146">
        <v>1</v>
      </c>
      <c r="BL146" t="s">
        <v>890</v>
      </c>
      <c r="BM146" t="s">
        <v>809</v>
      </c>
      <c r="BN146" t="s">
        <v>804</v>
      </c>
      <c r="BO146" t="s">
        <v>815</v>
      </c>
      <c r="BP146" t="s">
        <v>701</v>
      </c>
      <c r="BQ146" t="s">
        <v>703</v>
      </c>
      <c r="BR146" t="s">
        <v>806</v>
      </c>
      <c r="BS146" t="s">
        <v>795</v>
      </c>
      <c r="BT146" t="s">
        <v>792</v>
      </c>
      <c r="BU146" t="s">
        <v>707</v>
      </c>
      <c r="BV146" t="s">
        <v>823</v>
      </c>
      <c r="BW146" t="s">
        <v>1137</v>
      </c>
      <c r="BX146" t="s">
        <v>1186</v>
      </c>
      <c r="BY146">
        <v>1</v>
      </c>
      <c r="BZ146">
        <v>0</v>
      </c>
      <c r="CA146" t="s">
        <v>853</v>
      </c>
      <c r="CB146" t="s">
        <v>793</v>
      </c>
      <c r="CC146" t="s">
        <v>796</v>
      </c>
      <c r="CD146" t="s">
        <v>707</v>
      </c>
      <c r="CE146" t="s">
        <v>707</v>
      </c>
      <c r="CF146" t="s">
        <v>793</v>
      </c>
      <c r="CG146" t="s">
        <v>794</v>
      </c>
      <c r="CH146" t="s">
        <v>795</v>
      </c>
      <c r="CI146" t="s">
        <v>796</v>
      </c>
      <c r="CJ146" t="s">
        <v>707</v>
      </c>
      <c r="CK146" t="s">
        <v>796</v>
      </c>
      <c r="CL146" t="s">
        <v>1184</v>
      </c>
      <c r="CM146" t="s">
        <v>59</v>
      </c>
      <c r="CN146">
        <v>1</v>
      </c>
      <c r="CO146">
        <v>1</v>
      </c>
      <c r="CP146" t="s">
        <v>998</v>
      </c>
      <c r="CQ146" t="s">
        <v>805</v>
      </c>
      <c r="CR146" t="s">
        <v>707</v>
      </c>
      <c r="CS146" t="s">
        <v>793</v>
      </c>
      <c r="CT146" t="s">
        <v>817</v>
      </c>
      <c r="CU146" t="s">
        <v>815</v>
      </c>
      <c r="CV146" t="s">
        <v>795</v>
      </c>
      <c r="CW146" t="s">
        <v>1139</v>
      </c>
      <c r="CX146" t="s">
        <v>792</v>
      </c>
      <c r="CY146" t="s">
        <v>792</v>
      </c>
      <c r="CZ146" t="s">
        <v>703</v>
      </c>
      <c r="DA146" t="s">
        <v>1294</v>
      </c>
      <c r="DB146" t="s">
        <v>95</v>
      </c>
      <c r="DC146">
        <v>1</v>
      </c>
      <c r="DD146">
        <v>1</v>
      </c>
      <c r="DE146" t="s">
        <v>799</v>
      </c>
      <c r="DF146" t="s">
        <v>1062</v>
      </c>
      <c r="DG146" t="s">
        <v>792</v>
      </c>
      <c r="DH146" t="s">
        <v>703</v>
      </c>
      <c r="DI146" t="s">
        <v>817</v>
      </c>
      <c r="DJ146" t="s">
        <v>796</v>
      </c>
      <c r="DK146" t="s">
        <v>806</v>
      </c>
      <c r="DL146" t="s">
        <v>795</v>
      </c>
      <c r="DM146" t="s">
        <v>792</v>
      </c>
      <c r="DN146" t="s">
        <v>792</v>
      </c>
      <c r="DO146" t="s">
        <v>796</v>
      </c>
      <c r="DP146" t="s">
        <v>1477</v>
      </c>
      <c r="DQ146" t="s">
        <v>121</v>
      </c>
      <c r="DR146">
        <v>1</v>
      </c>
      <c r="DS146">
        <v>1</v>
      </c>
      <c r="DT146" t="s">
        <v>890</v>
      </c>
      <c r="DU146" t="s">
        <v>821</v>
      </c>
      <c r="DV146" t="s">
        <v>796</v>
      </c>
      <c r="DW146" t="s">
        <v>792</v>
      </c>
      <c r="DX146" t="s">
        <v>792</v>
      </c>
      <c r="DY146" t="s">
        <v>804</v>
      </c>
      <c r="DZ146" t="s">
        <v>794</v>
      </c>
      <c r="EA146" t="s">
        <v>795</v>
      </c>
      <c r="EB146" t="s">
        <v>792</v>
      </c>
      <c r="EC146" t="s">
        <v>792</v>
      </c>
      <c r="ED146" t="s">
        <v>793</v>
      </c>
      <c r="EE146" t="s">
        <v>1508</v>
      </c>
      <c r="EF146" t="s">
        <v>310</v>
      </c>
      <c r="EG146">
        <v>1</v>
      </c>
      <c r="EH146">
        <v>1</v>
      </c>
      <c r="EI146" t="s">
        <v>831</v>
      </c>
      <c r="EJ146" t="s">
        <v>798</v>
      </c>
      <c r="EK146" t="s">
        <v>707</v>
      </c>
      <c r="EL146" t="s">
        <v>792</v>
      </c>
      <c r="EM146" t="s">
        <v>703</v>
      </c>
      <c r="EN146" t="s">
        <v>851</v>
      </c>
      <c r="EO146" t="s">
        <v>795</v>
      </c>
      <c r="EP146" t="s">
        <v>806</v>
      </c>
      <c r="EQ146" t="s">
        <v>815</v>
      </c>
      <c r="ER146" t="s">
        <v>793</v>
      </c>
      <c r="ES146" t="s">
        <v>1333</v>
      </c>
      <c r="ET146" t="s">
        <v>1297</v>
      </c>
      <c r="EU146" t="s">
        <v>327</v>
      </c>
      <c r="EV146">
        <v>1</v>
      </c>
      <c r="EW146">
        <v>0</v>
      </c>
      <c r="EX146" t="s">
        <v>1104</v>
      </c>
      <c r="EY146" t="s">
        <v>859</v>
      </c>
      <c r="EZ146" t="s">
        <v>815</v>
      </c>
      <c r="FA146" t="s">
        <v>804</v>
      </c>
      <c r="FB146" t="s">
        <v>701</v>
      </c>
      <c r="FC146" t="s">
        <v>707</v>
      </c>
      <c r="FD146" t="s">
        <v>794</v>
      </c>
      <c r="FE146" t="s">
        <v>795</v>
      </c>
      <c r="FF146" t="s">
        <v>703</v>
      </c>
      <c r="FG146" t="s">
        <v>707</v>
      </c>
      <c r="FH146" t="s">
        <v>1010</v>
      </c>
      <c r="FI146" t="s">
        <v>1105</v>
      </c>
      <c r="FJ146" t="s">
        <v>1586</v>
      </c>
      <c r="FK146">
        <v>1</v>
      </c>
      <c r="FL146">
        <v>1</v>
      </c>
      <c r="FM146" t="s">
        <v>1451</v>
      </c>
      <c r="FN146" t="s">
        <v>826</v>
      </c>
      <c r="FO146" t="s">
        <v>796</v>
      </c>
      <c r="FP146" t="s">
        <v>817</v>
      </c>
      <c r="FQ146" t="s">
        <v>817</v>
      </c>
      <c r="FR146" t="s">
        <v>707</v>
      </c>
      <c r="FS146" t="s">
        <v>806</v>
      </c>
      <c r="FT146" t="s">
        <v>795</v>
      </c>
      <c r="FU146" t="s">
        <v>817</v>
      </c>
      <c r="FV146" t="s">
        <v>703</v>
      </c>
      <c r="FW146" t="s">
        <v>1256</v>
      </c>
      <c r="FX146" t="s">
        <v>1336</v>
      </c>
      <c r="FY146" t="s">
        <v>437</v>
      </c>
      <c r="FZ146">
        <v>1</v>
      </c>
      <c r="GA146">
        <v>1</v>
      </c>
      <c r="GB146" t="s">
        <v>1002</v>
      </c>
      <c r="GC146" t="s">
        <v>803</v>
      </c>
      <c r="GD146" t="s">
        <v>796</v>
      </c>
      <c r="GE146" t="s">
        <v>817</v>
      </c>
      <c r="GF146" t="s">
        <v>817</v>
      </c>
      <c r="GG146" t="s">
        <v>796</v>
      </c>
      <c r="GH146" t="s">
        <v>806</v>
      </c>
      <c r="GI146" t="s">
        <v>795</v>
      </c>
      <c r="GJ146" t="s">
        <v>707</v>
      </c>
      <c r="GK146" t="s">
        <v>707</v>
      </c>
      <c r="GL146" t="s">
        <v>796</v>
      </c>
      <c r="GM146" t="s">
        <v>1609</v>
      </c>
      <c r="GN146" t="s">
        <v>174</v>
      </c>
      <c r="GO146">
        <v>1</v>
      </c>
      <c r="GP146">
        <v>1</v>
      </c>
      <c r="GQ146" t="s">
        <v>1491</v>
      </c>
      <c r="GR146" t="s">
        <v>798</v>
      </c>
      <c r="GS146" t="s">
        <v>796</v>
      </c>
      <c r="GT146" t="s">
        <v>804</v>
      </c>
      <c r="GU146" t="s">
        <v>804</v>
      </c>
      <c r="GV146" t="s">
        <v>815</v>
      </c>
      <c r="GW146" t="s">
        <v>795</v>
      </c>
      <c r="GX146" t="s">
        <v>795</v>
      </c>
      <c r="GY146" t="s">
        <v>792</v>
      </c>
      <c r="GZ146" t="s">
        <v>792</v>
      </c>
      <c r="HA146" t="s">
        <v>703</v>
      </c>
      <c r="HB146" t="s">
        <v>1627</v>
      </c>
      <c r="HC146" t="s">
        <v>147</v>
      </c>
      <c r="HD146">
        <v>1</v>
      </c>
      <c r="HE146">
        <v>1</v>
      </c>
      <c r="HF146" t="s">
        <v>826</v>
      </c>
      <c r="HG146" t="s">
        <v>697</v>
      </c>
      <c r="HH146" t="s">
        <v>793</v>
      </c>
      <c r="HI146" t="s">
        <v>793</v>
      </c>
      <c r="HJ146" t="s">
        <v>804</v>
      </c>
      <c r="HK146" t="s">
        <v>792</v>
      </c>
      <c r="HL146" t="s">
        <v>795</v>
      </c>
      <c r="HM146" t="s">
        <v>795</v>
      </c>
      <c r="HN146" t="s">
        <v>792</v>
      </c>
      <c r="HO146" t="s">
        <v>792</v>
      </c>
      <c r="HP146" t="s">
        <v>707</v>
      </c>
      <c r="HQ146" t="s">
        <v>1654</v>
      </c>
      <c r="HR146" t="s">
        <v>1677</v>
      </c>
      <c r="HS146">
        <v>1</v>
      </c>
      <c r="HT146">
        <v>1</v>
      </c>
      <c r="HU146" t="s">
        <v>1104</v>
      </c>
      <c r="HV146" t="s">
        <v>853</v>
      </c>
      <c r="HW146" t="s">
        <v>707</v>
      </c>
      <c r="HX146" t="s">
        <v>817</v>
      </c>
      <c r="HY146" t="s">
        <v>815</v>
      </c>
      <c r="HZ146" t="s">
        <v>796</v>
      </c>
      <c r="IA146" t="s">
        <v>806</v>
      </c>
      <c r="IB146" t="s">
        <v>795</v>
      </c>
      <c r="IC146" t="s">
        <v>796</v>
      </c>
      <c r="ID146" t="s">
        <v>703</v>
      </c>
      <c r="IE146" t="s">
        <v>796</v>
      </c>
      <c r="IF146" t="s">
        <v>1254</v>
      </c>
      <c r="IG146" t="s">
        <v>283</v>
      </c>
      <c r="IH146">
        <v>1</v>
      </c>
      <c r="II146">
        <v>0</v>
      </c>
      <c r="IJ146" t="s">
        <v>798</v>
      </c>
      <c r="IK146" t="s">
        <v>805</v>
      </c>
      <c r="IL146" t="s">
        <v>796</v>
      </c>
      <c r="IM146" t="s">
        <v>792</v>
      </c>
      <c r="IN146" t="s">
        <v>792</v>
      </c>
      <c r="IO146" t="s">
        <v>815</v>
      </c>
      <c r="IP146" t="s">
        <v>795</v>
      </c>
      <c r="IQ146" t="s">
        <v>795</v>
      </c>
      <c r="IR146" t="s">
        <v>707</v>
      </c>
      <c r="IS146" t="s">
        <v>707</v>
      </c>
      <c r="IT146" t="s">
        <v>815</v>
      </c>
      <c r="IU146" t="s">
        <v>1693</v>
      </c>
      <c r="IV146" t="s">
        <v>215</v>
      </c>
      <c r="IW146">
        <v>1</v>
      </c>
      <c r="IX146">
        <v>0</v>
      </c>
      <c r="IY146" t="s">
        <v>800</v>
      </c>
      <c r="IZ146" t="s">
        <v>793</v>
      </c>
      <c r="JA146" t="s">
        <v>707</v>
      </c>
      <c r="JB146" t="s">
        <v>703</v>
      </c>
      <c r="JC146" t="s">
        <v>793</v>
      </c>
      <c r="JD146" t="s">
        <v>796</v>
      </c>
      <c r="JE146" t="s">
        <v>795</v>
      </c>
      <c r="JF146" t="s">
        <v>795</v>
      </c>
      <c r="JG146" t="s">
        <v>796</v>
      </c>
      <c r="JH146" t="s">
        <v>792</v>
      </c>
      <c r="JI146" t="s">
        <v>796</v>
      </c>
      <c r="JJ146" t="s">
        <v>810</v>
      </c>
      <c r="JK146" t="s">
        <v>379</v>
      </c>
      <c r="JL146">
        <v>1</v>
      </c>
      <c r="JM146">
        <v>0</v>
      </c>
      <c r="JN146" t="s">
        <v>800</v>
      </c>
      <c r="JO146" t="s">
        <v>793</v>
      </c>
      <c r="JP146" t="s">
        <v>707</v>
      </c>
      <c r="JQ146" t="s">
        <v>707</v>
      </c>
      <c r="JR146" t="s">
        <v>792</v>
      </c>
      <c r="JS146" t="s">
        <v>796</v>
      </c>
      <c r="JT146" t="s">
        <v>806</v>
      </c>
      <c r="JU146" t="s">
        <v>806</v>
      </c>
      <c r="JV146" t="s">
        <v>796</v>
      </c>
      <c r="JW146" t="s">
        <v>792</v>
      </c>
      <c r="JX146" t="s">
        <v>796</v>
      </c>
      <c r="JY146" t="s">
        <v>1346</v>
      </c>
      <c r="JZ146" t="s">
        <v>231</v>
      </c>
      <c r="KA146">
        <v>1</v>
      </c>
      <c r="KB146">
        <v>0</v>
      </c>
      <c r="KC146" t="s">
        <v>805</v>
      </c>
      <c r="KD146" t="s">
        <v>817</v>
      </c>
      <c r="KE146" t="s">
        <v>796</v>
      </c>
      <c r="KF146" t="s">
        <v>792</v>
      </c>
      <c r="KG146" t="s">
        <v>792</v>
      </c>
      <c r="KH146" t="s">
        <v>707</v>
      </c>
      <c r="KI146" t="s">
        <v>806</v>
      </c>
      <c r="KJ146" t="s">
        <v>795</v>
      </c>
      <c r="KK146" t="s">
        <v>796</v>
      </c>
      <c r="KL146" t="s">
        <v>707</v>
      </c>
      <c r="KM146" t="s">
        <v>796</v>
      </c>
      <c r="KN146" t="s">
        <v>1536</v>
      </c>
      <c r="KO146" t="s">
        <v>456</v>
      </c>
      <c r="KP146">
        <v>1</v>
      </c>
      <c r="KQ146">
        <v>1</v>
      </c>
      <c r="KR146" t="s">
        <v>1451</v>
      </c>
      <c r="KS146" t="s">
        <v>1023</v>
      </c>
      <c r="KT146" t="s">
        <v>792</v>
      </c>
      <c r="KU146" t="s">
        <v>703</v>
      </c>
      <c r="KV146" t="s">
        <v>817</v>
      </c>
      <c r="KW146" t="s">
        <v>707</v>
      </c>
      <c r="KX146" t="s">
        <v>801</v>
      </c>
      <c r="KY146" t="s">
        <v>795</v>
      </c>
      <c r="KZ146" t="s">
        <v>792</v>
      </c>
      <c r="LA146" t="s">
        <v>793</v>
      </c>
      <c r="LB146" t="s">
        <v>811</v>
      </c>
      <c r="LC146" t="s">
        <v>1059</v>
      </c>
      <c r="LD146" t="s">
        <v>244</v>
      </c>
      <c r="LE146">
        <v>1</v>
      </c>
      <c r="LF146">
        <v>1</v>
      </c>
      <c r="LG146" t="s">
        <v>1179</v>
      </c>
      <c r="LH146" t="s">
        <v>1023</v>
      </c>
      <c r="LI146" t="s">
        <v>792</v>
      </c>
      <c r="LJ146" t="s">
        <v>792</v>
      </c>
      <c r="LK146" t="s">
        <v>793</v>
      </c>
      <c r="LL146" t="s">
        <v>817</v>
      </c>
      <c r="LM146" t="s">
        <v>795</v>
      </c>
      <c r="LN146" t="s">
        <v>794</v>
      </c>
      <c r="LO146" t="s">
        <v>793</v>
      </c>
      <c r="LP146" t="s">
        <v>707</v>
      </c>
      <c r="LQ146" t="s">
        <v>1590</v>
      </c>
      <c r="LR146" t="s">
        <v>810</v>
      </c>
      <c r="LS146" t="s">
        <v>257</v>
      </c>
      <c r="LT146">
        <v>1</v>
      </c>
      <c r="LU146">
        <v>1</v>
      </c>
      <c r="LV146" t="s">
        <v>797</v>
      </c>
      <c r="LW146" t="s">
        <v>800</v>
      </c>
      <c r="LX146" t="s">
        <v>707</v>
      </c>
      <c r="LY146" t="s">
        <v>793</v>
      </c>
      <c r="LZ146" t="s">
        <v>817</v>
      </c>
      <c r="MA146" t="s">
        <v>792</v>
      </c>
      <c r="MB146" t="s">
        <v>794</v>
      </c>
      <c r="MC146" t="s">
        <v>806</v>
      </c>
      <c r="MD146" t="s">
        <v>796</v>
      </c>
      <c r="ME146" t="s">
        <v>707</v>
      </c>
      <c r="MF146" t="s">
        <v>796</v>
      </c>
      <c r="MG146" t="s">
        <v>1003</v>
      </c>
      <c r="MH146" t="s">
        <v>474</v>
      </c>
      <c r="MI146">
        <v>1</v>
      </c>
      <c r="MJ146">
        <v>1</v>
      </c>
      <c r="MK146" t="s">
        <v>799</v>
      </c>
      <c r="ML146" t="s">
        <v>804</v>
      </c>
      <c r="MM146" t="s">
        <v>703</v>
      </c>
      <c r="MN146" t="s">
        <v>851</v>
      </c>
      <c r="MO146" t="s">
        <v>800</v>
      </c>
      <c r="MP146" t="s">
        <v>796</v>
      </c>
      <c r="MQ146" t="s">
        <v>795</v>
      </c>
      <c r="MR146" t="s">
        <v>795</v>
      </c>
      <c r="MS146" t="s">
        <v>707</v>
      </c>
      <c r="MT146" t="s">
        <v>793</v>
      </c>
      <c r="MU146" t="s">
        <v>796</v>
      </c>
      <c r="MV146" t="s">
        <v>1310</v>
      </c>
      <c r="MW146" t="s">
        <v>405</v>
      </c>
      <c r="MX146">
        <v>1</v>
      </c>
      <c r="MY146">
        <v>0</v>
      </c>
      <c r="MZ146" t="s">
        <v>1104</v>
      </c>
      <c r="NA146" t="s">
        <v>701</v>
      </c>
      <c r="NB146" t="s">
        <v>707</v>
      </c>
      <c r="NC146" t="s">
        <v>815</v>
      </c>
      <c r="ND146" t="s">
        <v>851</v>
      </c>
      <c r="NE146" t="s">
        <v>703</v>
      </c>
      <c r="NF146" t="s">
        <v>795</v>
      </c>
      <c r="NG146" t="s">
        <v>795</v>
      </c>
      <c r="NH146" t="s">
        <v>707</v>
      </c>
      <c r="NI146" t="s">
        <v>793</v>
      </c>
      <c r="NJ146" t="s">
        <v>703</v>
      </c>
      <c r="NK146" t="s">
        <v>1328</v>
      </c>
      <c r="NL146" t="s">
        <v>277</v>
      </c>
      <c r="NM146">
        <v>1</v>
      </c>
      <c r="NN146">
        <v>0</v>
      </c>
      <c r="NO146" t="s">
        <v>803</v>
      </c>
      <c r="NP146" t="s">
        <v>793</v>
      </c>
      <c r="NQ146" t="s">
        <v>796</v>
      </c>
      <c r="NR146" t="s">
        <v>793</v>
      </c>
      <c r="NS146" t="s">
        <v>793</v>
      </c>
      <c r="NT146" t="s">
        <v>703</v>
      </c>
      <c r="NU146" t="s">
        <v>794</v>
      </c>
      <c r="NV146" t="s">
        <v>795</v>
      </c>
      <c r="NW146" t="s">
        <v>707</v>
      </c>
      <c r="NX146" t="s">
        <v>792</v>
      </c>
      <c r="NY146" t="s">
        <v>703</v>
      </c>
      <c r="NZ146" t="s">
        <v>701</v>
      </c>
    </row>
    <row r="147" spans="1:390" x14ac:dyDescent="0.25">
      <c r="A147" t="s">
        <v>556</v>
      </c>
      <c r="B147">
        <v>1</v>
      </c>
      <c r="C147">
        <v>0</v>
      </c>
      <c r="D147" t="s">
        <v>815</v>
      </c>
      <c r="E147" t="s">
        <v>792</v>
      </c>
      <c r="F147" t="s">
        <v>796</v>
      </c>
      <c r="G147" t="s">
        <v>796</v>
      </c>
      <c r="H147" t="s">
        <v>796</v>
      </c>
      <c r="I147" t="s">
        <v>796</v>
      </c>
      <c r="J147" t="s">
        <v>795</v>
      </c>
      <c r="K147" t="s">
        <v>806</v>
      </c>
      <c r="L147" t="s">
        <v>796</v>
      </c>
      <c r="M147" t="s">
        <v>796</v>
      </c>
      <c r="N147" t="s">
        <v>796</v>
      </c>
      <c r="O147" t="s">
        <v>822</v>
      </c>
      <c r="P147" t="s">
        <v>319</v>
      </c>
      <c r="Q147">
        <v>1</v>
      </c>
      <c r="R147">
        <v>0</v>
      </c>
      <c r="S147" t="s">
        <v>793</v>
      </c>
      <c r="T147" t="s">
        <v>792</v>
      </c>
      <c r="U147" t="s">
        <v>796</v>
      </c>
      <c r="V147" t="s">
        <v>796</v>
      </c>
      <c r="W147" t="s">
        <v>796</v>
      </c>
      <c r="X147" t="s">
        <v>796</v>
      </c>
      <c r="Y147" t="s">
        <v>795</v>
      </c>
      <c r="Z147" t="s">
        <v>795</v>
      </c>
      <c r="AA147" t="s">
        <v>796</v>
      </c>
      <c r="AB147" t="s">
        <v>796</v>
      </c>
      <c r="AC147" t="s">
        <v>796</v>
      </c>
      <c r="AD147" t="s">
        <v>1015</v>
      </c>
      <c r="AE147" t="s">
        <v>225</v>
      </c>
      <c r="AF147">
        <v>1</v>
      </c>
      <c r="AG147">
        <v>1</v>
      </c>
      <c r="AH147" t="s">
        <v>791</v>
      </c>
      <c r="AI147" t="s">
        <v>803</v>
      </c>
      <c r="AJ147" t="s">
        <v>707</v>
      </c>
      <c r="AK147" t="s">
        <v>793</v>
      </c>
      <c r="AL147" t="s">
        <v>817</v>
      </c>
      <c r="AM147" t="s">
        <v>703</v>
      </c>
      <c r="AN147" t="s">
        <v>806</v>
      </c>
      <c r="AO147" t="s">
        <v>795</v>
      </c>
      <c r="AP147" t="s">
        <v>793</v>
      </c>
      <c r="AQ147" t="s">
        <v>817</v>
      </c>
      <c r="AR147" t="s">
        <v>1056</v>
      </c>
      <c r="AS147" t="s">
        <v>1057</v>
      </c>
      <c r="AT147" t="s">
        <v>486</v>
      </c>
      <c r="AU147">
        <v>1</v>
      </c>
      <c r="AV147">
        <v>0</v>
      </c>
      <c r="AW147" t="s">
        <v>1020</v>
      </c>
      <c r="AX147" t="s">
        <v>815</v>
      </c>
      <c r="AY147" t="s">
        <v>703</v>
      </c>
      <c r="AZ147" t="s">
        <v>793</v>
      </c>
      <c r="BA147" t="s">
        <v>851</v>
      </c>
      <c r="BB147" t="s">
        <v>707</v>
      </c>
      <c r="BC147" t="s">
        <v>795</v>
      </c>
      <c r="BD147" t="s">
        <v>806</v>
      </c>
      <c r="BE147" t="s">
        <v>796</v>
      </c>
      <c r="BF147" t="s">
        <v>792</v>
      </c>
      <c r="BG147" t="s">
        <v>796</v>
      </c>
      <c r="BH147" t="s">
        <v>1106</v>
      </c>
      <c r="BI147" t="s">
        <v>629</v>
      </c>
      <c r="BJ147">
        <v>1</v>
      </c>
      <c r="BK147">
        <v>0</v>
      </c>
      <c r="BL147" t="s">
        <v>805</v>
      </c>
      <c r="BM147" t="s">
        <v>815</v>
      </c>
      <c r="BN147" t="s">
        <v>703</v>
      </c>
      <c r="BO147" t="s">
        <v>703</v>
      </c>
      <c r="BP147" t="s">
        <v>815</v>
      </c>
      <c r="BQ147" t="s">
        <v>792</v>
      </c>
      <c r="BR147" t="s">
        <v>795</v>
      </c>
      <c r="BS147" t="s">
        <v>795</v>
      </c>
      <c r="BT147" t="s">
        <v>792</v>
      </c>
      <c r="BU147" t="s">
        <v>707</v>
      </c>
      <c r="BV147" t="s">
        <v>707</v>
      </c>
      <c r="BW147" t="s">
        <v>1143</v>
      </c>
      <c r="BX147" t="s">
        <v>531</v>
      </c>
      <c r="BY147">
        <v>1</v>
      </c>
      <c r="BZ147">
        <v>0</v>
      </c>
      <c r="CA147" t="s">
        <v>817</v>
      </c>
      <c r="CB147" t="s">
        <v>796</v>
      </c>
      <c r="CC147" t="s">
        <v>796</v>
      </c>
      <c r="CD147" t="s">
        <v>707</v>
      </c>
      <c r="CE147" t="s">
        <v>707</v>
      </c>
      <c r="CF147" t="s">
        <v>796</v>
      </c>
      <c r="CG147" t="s">
        <v>806</v>
      </c>
      <c r="CH147" t="s">
        <v>806</v>
      </c>
      <c r="CI147" t="s">
        <v>796</v>
      </c>
      <c r="CJ147" t="s">
        <v>707</v>
      </c>
      <c r="CK147" t="s">
        <v>796</v>
      </c>
      <c r="CL147" t="s">
        <v>1106</v>
      </c>
      <c r="CM147" t="s">
        <v>547</v>
      </c>
      <c r="CN147">
        <v>1</v>
      </c>
      <c r="CO147">
        <v>0</v>
      </c>
      <c r="CP147" t="s">
        <v>803</v>
      </c>
      <c r="CQ147" t="s">
        <v>859</v>
      </c>
      <c r="CR147" t="s">
        <v>796</v>
      </c>
      <c r="CS147" t="s">
        <v>792</v>
      </c>
      <c r="CT147" t="s">
        <v>792</v>
      </c>
      <c r="CU147" t="s">
        <v>707</v>
      </c>
      <c r="CV147" t="s">
        <v>806</v>
      </c>
      <c r="CW147" t="s">
        <v>794</v>
      </c>
      <c r="CX147" t="s">
        <v>707</v>
      </c>
      <c r="CY147" t="s">
        <v>707</v>
      </c>
      <c r="CZ147" t="s">
        <v>707</v>
      </c>
      <c r="DA147" t="s">
        <v>1102</v>
      </c>
      <c r="DB147" t="s">
        <v>125</v>
      </c>
      <c r="DC147">
        <v>1</v>
      </c>
      <c r="DD147">
        <v>1</v>
      </c>
      <c r="DE147" t="s">
        <v>1104</v>
      </c>
      <c r="DF147" t="s">
        <v>1005</v>
      </c>
      <c r="DG147" t="s">
        <v>707</v>
      </c>
      <c r="DH147" t="s">
        <v>792</v>
      </c>
      <c r="DI147" t="s">
        <v>703</v>
      </c>
      <c r="DJ147" t="s">
        <v>703</v>
      </c>
      <c r="DK147" t="s">
        <v>795</v>
      </c>
      <c r="DL147" t="s">
        <v>806</v>
      </c>
      <c r="DM147" t="s">
        <v>792</v>
      </c>
      <c r="DN147" t="s">
        <v>707</v>
      </c>
      <c r="DO147" t="s">
        <v>823</v>
      </c>
      <c r="DP147" t="s">
        <v>822</v>
      </c>
      <c r="DQ147" t="s">
        <v>126</v>
      </c>
      <c r="DR147">
        <v>1</v>
      </c>
      <c r="DS147">
        <v>1</v>
      </c>
      <c r="DT147" t="s">
        <v>693</v>
      </c>
      <c r="DU147" t="s">
        <v>810</v>
      </c>
      <c r="DV147" t="s">
        <v>792</v>
      </c>
      <c r="DW147" t="s">
        <v>804</v>
      </c>
      <c r="DX147" t="s">
        <v>800</v>
      </c>
      <c r="DY147" t="s">
        <v>792</v>
      </c>
      <c r="DZ147" t="s">
        <v>795</v>
      </c>
      <c r="EA147" t="s">
        <v>806</v>
      </c>
      <c r="EB147" t="s">
        <v>707</v>
      </c>
      <c r="EC147" t="s">
        <v>793</v>
      </c>
      <c r="ED147" t="s">
        <v>792</v>
      </c>
      <c r="EE147" t="s">
        <v>1183</v>
      </c>
      <c r="EF147" t="s">
        <v>343</v>
      </c>
      <c r="EG147">
        <v>1</v>
      </c>
      <c r="EH147">
        <v>1</v>
      </c>
      <c r="EI147" t="s">
        <v>890</v>
      </c>
      <c r="EJ147" t="s">
        <v>803</v>
      </c>
      <c r="EK147" t="s">
        <v>703</v>
      </c>
      <c r="EL147" t="s">
        <v>815</v>
      </c>
      <c r="EM147" t="s">
        <v>859</v>
      </c>
      <c r="EN147" t="s">
        <v>796</v>
      </c>
      <c r="EO147" t="s">
        <v>795</v>
      </c>
      <c r="EP147" t="s">
        <v>795</v>
      </c>
      <c r="EQ147" t="s">
        <v>792</v>
      </c>
      <c r="ER147" t="s">
        <v>703</v>
      </c>
      <c r="ES147" t="s">
        <v>796</v>
      </c>
      <c r="ET147" t="s">
        <v>1448</v>
      </c>
      <c r="EU147" t="s">
        <v>333</v>
      </c>
      <c r="EV147">
        <v>1</v>
      </c>
      <c r="EW147">
        <v>0</v>
      </c>
      <c r="EX147" t="s">
        <v>1009</v>
      </c>
      <c r="EY147" t="s">
        <v>859</v>
      </c>
      <c r="EZ147" t="s">
        <v>796</v>
      </c>
      <c r="FA147" t="s">
        <v>792</v>
      </c>
      <c r="FB147" t="s">
        <v>792</v>
      </c>
      <c r="FC147" t="s">
        <v>703</v>
      </c>
      <c r="FD147" t="s">
        <v>806</v>
      </c>
      <c r="FE147" t="s">
        <v>795</v>
      </c>
      <c r="FF147" t="s">
        <v>793</v>
      </c>
      <c r="FG147" t="s">
        <v>792</v>
      </c>
      <c r="FH147" t="s">
        <v>1056</v>
      </c>
      <c r="FI147" t="s">
        <v>1299</v>
      </c>
      <c r="FJ147" t="s">
        <v>158</v>
      </c>
      <c r="FK147">
        <v>1</v>
      </c>
      <c r="FL147">
        <v>1</v>
      </c>
      <c r="FM147" t="s">
        <v>1020</v>
      </c>
      <c r="FN147" t="s">
        <v>1023</v>
      </c>
      <c r="FO147" t="s">
        <v>707</v>
      </c>
      <c r="FP147" t="s">
        <v>817</v>
      </c>
      <c r="FQ147" t="s">
        <v>815</v>
      </c>
      <c r="FR147" t="s">
        <v>796</v>
      </c>
      <c r="FS147" t="s">
        <v>806</v>
      </c>
      <c r="FT147" t="s">
        <v>795</v>
      </c>
      <c r="FU147" t="s">
        <v>793</v>
      </c>
      <c r="FV147" t="s">
        <v>817</v>
      </c>
      <c r="FW147" t="s">
        <v>796</v>
      </c>
      <c r="FX147" t="s">
        <v>1587</v>
      </c>
      <c r="FY147" t="s">
        <v>435</v>
      </c>
      <c r="FZ147">
        <v>1</v>
      </c>
      <c r="GA147">
        <v>1</v>
      </c>
      <c r="GB147" t="s">
        <v>1002</v>
      </c>
      <c r="GC147" t="s">
        <v>701</v>
      </c>
      <c r="GD147" t="s">
        <v>707</v>
      </c>
      <c r="GE147" t="s">
        <v>817</v>
      </c>
      <c r="GF147" t="s">
        <v>815</v>
      </c>
      <c r="GG147" t="s">
        <v>707</v>
      </c>
      <c r="GH147" t="s">
        <v>794</v>
      </c>
      <c r="GI147" t="s">
        <v>795</v>
      </c>
      <c r="GJ147" t="s">
        <v>796</v>
      </c>
      <c r="GK147" t="s">
        <v>707</v>
      </c>
      <c r="GL147" t="s">
        <v>796</v>
      </c>
      <c r="GM147" t="s">
        <v>1314</v>
      </c>
      <c r="GN147" t="s">
        <v>175</v>
      </c>
      <c r="GO147">
        <v>1</v>
      </c>
      <c r="GP147">
        <v>1</v>
      </c>
      <c r="GQ147" t="s">
        <v>1482</v>
      </c>
      <c r="GR147" t="s">
        <v>803</v>
      </c>
      <c r="GS147" t="s">
        <v>796</v>
      </c>
      <c r="GT147" t="s">
        <v>851</v>
      </c>
      <c r="GU147" t="s">
        <v>851</v>
      </c>
      <c r="GV147" t="s">
        <v>851</v>
      </c>
      <c r="GW147" t="s">
        <v>801</v>
      </c>
      <c r="GX147" t="s">
        <v>795</v>
      </c>
      <c r="GY147" t="s">
        <v>703</v>
      </c>
      <c r="GZ147" t="s">
        <v>703</v>
      </c>
      <c r="HA147" t="s">
        <v>1628</v>
      </c>
      <c r="HB147" t="s">
        <v>1629</v>
      </c>
      <c r="HC147" t="s">
        <v>397</v>
      </c>
      <c r="HD147">
        <v>1</v>
      </c>
      <c r="HE147">
        <v>0</v>
      </c>
      <c r="HF147" t="s">
        <v>817</v>
      </c>
      <c r="HG147" t="s">
        <v>796</v>
      </c>
      <c r="HH147" t="s">
        <v>796</v>
      </c>
      <c r="HI147" t="s">
        <v>796</v>
      </c>
      <c r="HJ147" t="s">
        <v>796</v>
      </c>
      <c r="HK147" t="s">
        <v>703</v>
      </c>
      <c r="HL147" t="s">
        <v>795</v>
      </c>
      <c r="HM147" t="s">
        <v>806</v>
      </c>
      <c r="HN147" t="s">
        <v>796</v>
      </c>
      <c r="HO147" t="s">
        <v>796</v>
      </c>
      <c r="HP147" t="s">
        <v>796</v>
      </c>
      <c r="HQ147" t="s">
        <v>1313</v>
      </c>
      <c r="HR147" t="s">
        <v>408</v>
      </c>
      <c r="HS147">
        <v>1</v>
      </c>
      <c r="HT147">
        <v>1</v>
      </c>
      <c r="HU147" t="s">
        <v>693</v>
      </c>
      <c r="HV147" t="s">
        <v>697</v>
      </c>
      <c r="HW147" t="s">
        <v>793</v>
      </c>
      <c r="HX147" t="s">
        <v>703</v>
      </c>
      <c r="HY147" t="s">
        <v>851</v>
      </c>
      <c r="HZ147" t="s">
        <v>707</v>
      </c>
      <c r="IA147" t="s">
        <v>795</v>
      </c>
      <c r="IB147" t="s">
        <v>806</v>
      </c>
      <c r="IC147" t="s">
        <v>707</v>
      </c>
      <c r="ID147" t="s">
        <v>793</v>
      </c>
      <c r="IE147" t="s">
        <v>707</v>
      </c>
      <c r="IF147" t="s">
        <v>1339</v>
      </c>
      <c r="IG147" t="s">
        <v>198</v>
      </c>
      <c r="IH147">
        <v>1</v>
      </c>
      <c r="II147">
        <v>1</v>
      </c>
      <c r="IJ147" t="s">
        <v>1002</v>
      </c>
      <c r="IK147" t="s">
        <v>853</v>
      </c>
      <c r="IL147" t="s">
        <v>703</v>
      </c>
      <c r="IM147" t="s">
        <v>817</v>
      </c>
      <c r="IN147" t="s">
        <v>804</v>
      </c>
      <c r="IO147" t="s">
        <v>793</v>
      </c>
      <c r="IP147" t="s">
        <v>806</v>
      </c>
      <c r="IQ147" t="s">
        <v>794</v>
      </c>
      <c r="IR147" t="s">
        <v>792</v>
      </c>
      <c r="IS147" t="s">
        <v>793</v>
      </c>
      <c r="IT147" t="s">
        <v>792</v>
      </c>
      <c r="IU147" t="s">
        <v>1298</v>
      </c>
      <c r="IV147" t="s">
        <v>211</v>
      </c>
      <c r="IW147">
        <v>1</v>
      </c>
      <c r="IX147">
        <v>1</v>
      </c>
      <c r="IY147" t="s">
        <v>791</v>
      </c>
      <c r="IZ147" t="s">
        <v>810</v>
      </c>
      <c r="JA147" t="s">
        <v>792</v>
      </c>
      <c r="JB147" t="s">
        <v>793</v>
      </c>
      <c r="JC147" t="s">
        <v>815</v>
      </c>
      <c r="JD147" t="s">
        <v>703</v>
      </c>
      <c r="JE147" t="s">
        <v>795</v>
      </c>
      <c r="JF147" t="s">
        <v>795</v>
      </c>
      <c r="JG147" t="s">
        <v>703</v>
      </c>
      <c r="JH147" t="s">
        <v>703</v>
      </c>
      <c r="JI147" t="s">
        <v>707</v>
      </c>
      <c r="JJ147" t="s">
        <v>1105</v>
      </c>
      <c r="JK147" t="s">
        <v>419</v>
      </c>
      <c r="JL147">
        <v>1</v>
      </c>
      <c r="JM147">
        <v>1</v>
      </c>
      <c r="JN147" t="s">
        <v>1451</v>
      </c>
      <c r="JO147" t="s">
        <v>1062</v>
      </c>
      <c r="JP147" t="s">
        <v>792</v>
      </c>
      <c r="JQ147" t="s">
        <v>792</v>
      </c>
      <c r="JR147" t="s">
        <v>793</v>
      </c>
      <c r="JS147" t="s">
        <v>817</v>
      </c>
      <c r="JT147" t="s">
        <v>806</v>
      </c>
      <c r="JU147" t="s">
        <v>806</v>
      </c>
      <c r="JV147" t="s">
        <v>792</v>
      </c>
      <c r="JW147" t="s">
        <v>703</v>
      </c>
      <c r="JX147" t="s">
        <v>1007</v>
      </c>
      <c r="JY147" t="s">
        <v>1348</v>
      </c>
      <c r="JZ147" t="s">
        <v>1745</v>
      </c>
      <c r="KA147">
        <v>1</v>
      </c>
      <c r="KB147">
        <v>0</v>
      </c>
      <c r="KC147" t="s">
        <v>809</v>
      </c>
      <c r="KD147" t="s">
        <v>804</v>
      </c>
      <c r="KE147" t="s">
        <v>707</v>
      </c>
      <c r="KF147" t="s">
        <v>792</v>
      </c>
      <c r="KG147" t="s">
        <v>703</v>
      </c>
      <c r="KH147" t="s">
        <v>703</v>
      </c>
      <c r="KI147" t="s">
        <v>806</v>
      </c>
      <c r="KJ147" t="s">
        <v>795</v>
      </c>
      <c r="KK147" t="s">
        <v>792</v>
      </c>
      <c r="KL147" t="s">
        <v>792</v>
      </c>
      <c r="KM147" t="s">
        <v>823</v>
      </c>
      <c r="KN147" t="s">
        <v>859</v>
      </c>
      <c r="KO147" t="s">
        <v>619</v>
      </c>
      <c r="KP147">
        <v>1</v>
      </c>
      <c r="KQ147">
        <v>0</v>
      </c>
      <c r="KR147" t="s">
        <v>853</v>
      </c>
      <c r="KS147" t="s">
        <v>793</v>
      </c>
      <c r="KT147" t="s">
        <v>796</v>
      </c>
      <c r="KU147" t="s">
        <v>707</v>
      </c>
      <c r="KV147" t="s">
        <v>707</v>
      </c>
      <c r="KW147" t="s">
        <v>793</v>
      </c>
      <c r="KX147" t="s">
        <v>795</v>
      </c>
      <c r="KY147" t="s">
        <v>795</v>
      </c>
      <c r="KZ147" t="s">
        <v>796</v>
      </c>
      <c r="LA147" t="s">
        <v>707</v>
      </c>
      <c r="LB147" t="s">
        <v>796</v>
      </c>
      <c r="LC147" t="s">
        <v>1350</v>
      </c>
      <c r="LD147" t="s">
        <v>1775</v>
      </c>
      <c r="LE147">
        <v>1</v>
      </c>
      <c r="LF147">
        <v>0</v>
      </c>
      <c r="LG147" t="s">
        <v>821</v>
      </c>
      <c r="LH147" t="s">
        <v>851</v>
      </c>
      <c r="LI147" t="s">
        <v>796</v>
      </c>
      <c r="LJ147" t="s">
        <v>707</v>
      </c>
      <c r="LK147" t="s">
        <v>707</v>
      </c>
      <c r="LL147" t="s">
        <v>707</v>
      </c>
      <c r="LM147" t="s">
        <v>795</v>
      </c>
      <c r="LN147" t="s">
        <v>795</v>
      </c>
      <c r="LO147" t="s">
        <v>707</v>
      </c>
      <c r="LP147" t="s">
        <v>792</v>
      </c>
      <c r="LQ147" t="s">
        <v>707</v>
      </c>
      <c r="LR147" t="s">
        <v>1332</v>
      </c>
      <c r="LS147" t="s">
        <v>265</v>
      </c>
      <c r="LT147">
        <v>1</v>
      </c>
      <c r="LU147">
        <v>0</v>
      </c>
      <c r="LV147" t="s">
        <v>1023</v>
      </c>
      <c r="LW147" t="s">
        <v>796</v>
      </c>
      <c r="LX147" t="s">
        <v>796</v>
      </c>
      <c r="LY147" t="s">
        <v>792</v>
      </c>
      <c r="LZ147" t="s">
        <v>792</v>
      </c>
      <c r="MA147" t="s">
        <v>851</v>
      </c>
      <c r="MB147" t="s">
        <v>794</v>
      </c>
      <c r="MC147" t="s">
        <v>795</v>
      </c>
      <c r="MD147" t="s">
        <v>707</v>
      </c>
      <c r="ME147" t="s">
        <v>703</v>
      </c>
      <c r="MF147" t="s">
        <v>851</v>
      </c>
      <c r="MG147" t="s">
        <v>1351</v>
      </c>
      <c r="MH147" t="s">
        <v>467</v>
      </c>
      <c r="MI147">
        <v>1</v>
      </c>
      <c r="MJ147">
        <v>1</v>
      </c>
      <c r="MK147" t="s">
        <v>798</v>
      </c>
      <c r="ML147" t="s">
        <v>1005</v>
      </c>
      <c r="MM147" t="s">
        <v>796</v>
      </c>
      <c r="MN147" t="s">
        <v>792</v>
      </c>
      <c r="MO147" t="s">
        <v>792</v>
      </c>
      <c r="MP147" t="s">
        <v>703</v>
      </c>
      <c r="MQ147" t="s">
        <v>795</v>
      </c>
      <c r="MR147" t="s">
        <v>795</v>
      </c>
      <c r="MS147" t="s">
        <v>793</v>
      </c>
      <c r="MT147" t="s">
        <v>817</v>
      </c>
      <c r="MU147" t="s">
        <v>1056</v>
      </c>
      <c r="MV147" t="s">
        <v>1349</v>
      </c>
      <c r="MW147" t="s">
        <v>497</v>
      </c>
      <c r="MX147">
        <v>1</v>
      </c>
      <c r="MY147">
        <v>0</v>
      </c>
      <c r="MZ147" t="s">
        <v>859</v>
      </c>
      <c r="NA147" t="s">
        <v>793</v>
      </c>
      <c r="NB147" t="s">
        <v>707</v>
      </c>
      <c r="NC147" t="s">
        <v>792</v>
      </c>
      <c r="ND147" t="s">
        <v>703</v>
      </c>
      <c r="NE147" t="s">
        <v>796</v>
      </c>
      <c r="NF147" t="s">
        <v>806</v>
      </c>
      <c r="NG147" t="s">
        <v>795</v>
      </c>
      <c r="NH147" t="s">
        <v>792</v>
      </c>
      <c r="NI147" t="s">
        <v>796</v>
      </c>
      <c r="NJ147" t="s">
        <v>796</v>
      </c>
      <c r="NK147" t="s">
        <v>1824</v>
      </c>
      <c r="NL147" t="s">
        <v>279</v>
      </c>
      <c r="NM147">
        <v>1</v>
      </c>
      <c r="NN147">
        <v>0</v>
      </c>
      <c r="NO147" t="s">
        <v>826</v>
      </c>
      <c r="NP147" t="s">
        <v>815</v>
      </c>
      <c r="NQ147" t="s">
        <v>792</v>
      </c>
      <c r="NR147" t="s">
        <v>792</v>
      </c>
      <c r="NS147" t="s">
        <v>793</v>
      </c>
      <c r="NT147" t="s">
        <v>792</v>
      </c>
      <c r="NU147" t="s">
        <v>806</v>
      </c>
      <c r="NV147" t="s">
        <v>795</v>
      </c>
      <c r="NW147" t="s">
        <v>707</v>
      </c>
      <c r="NX147" t="s">
        <v>707</v>
      </c>
      <c r="NY147" t="s">
        <v>792</v>
      </c>
      <c r="NZ147" t="s">
        <v>1774</v>
      </c>
    </row>
    <row r="148" spans="1:390" x14ac:dyDescent="0.25">
      <c r="A148" t="s">
        <v>149</v>
      </c>
      <c r="B148">
        <v>1</v>
      </c>
      <c r="C148">
        <v>0</v>
      </c>
      <c r="D148" t="s">
        <v>809</v>
      </c>
      <c r="E148" t="s">
        <v>810</v>
      </c>
      <c r="F148" t="s">
        <v>796</v>
      </c>
      <c r="G148" t="s">
        <v>793</v>
      </c>
      <c r="H148" t="s">
        <v>793</v>
      </c>
      <c r="I148" t="s">
        <v>707</v>
      </c>
      <c r="J148" t="s">
        <v>794</v>
      </c>
      <c r="K148" t="s">
        <v>795</v>
      </c>
      <c r="L148" t="s">
        <v>792</v>
      </c>
      <c r="M148" t="s">
        <v>707</v>
      </c>
      <c r="N148" t="s">
        <v>811</v>
      </c>
      <c r="O148" t="s">
        <v>812</v>
      </c>
      <c r="P148" t="s">
        <v>351</v>
      </c>
      <c r="Q148">
        <v>1</v>
      </c>
      <c r="R148">
        <v>0</v>
      </c>
      <c r="S148" t="s">
        <v>810</v>
      </c>
      <c r="T148" t="s">
        <v>817</v>
      </c>
      <c r="U148" t="s">
        <v>796</v>
      </c>
      <c r="V148" t="s">
        <v>796</v>
      </c>
      <c r="W148" t="s">
        <v>796</v>
      </c>
      <c r="X148" t="s">
        <v>792</v>
      </c>
      <c r="Y148" t="s">
        <v>795</v>
      </c>
      <c r="Z148" t="s">
        <v>806</v>
      </c>
      <c r="AA148" t="s">
        <v>796</v>
      </c>
      <c r="AB148" t="s">
        <v>796</v>
      </c>
      <c r="AC148" t="s">
        <v>796</v>
      </c>
      <c r="AD148" t="s">
        <v>1008</v>
      </c>
      <c r="AE148" t="s">
        <v>592</v>
      </c>
      <c r="AF148">
        <v>1</v>
      </c>
      <c r="AG148">
        <v>0</v>
      </c>
      <c r="AH148" t="s">
        <v>859</v>
      </c>
      <c r="AI148" t="s">
        <v>793</v>
      </c>
      <c r="AJ148" t="s">
        <v>707</v>
      </c>
      <c r="AK148" t="s">
        <v>796</v>
      </c>
      <c r="AL148" t="s">
        <v>707</v>
      </c>
      <c r="AM148" t="s">
        <v>796</v>
      </c>
      <c r="AN148" t="s">
        <v>795</v>
      </c>
      <c r="AO148" t="s">
        <v>795</v>
      </c>
      <c r="AP148" t="s">
        <v>707</v>
      </c>
      <c r="AQ148" t="s">
        <v>707</v>
      </c>
      <c r="AR148" t="s">
        <v>796</v>
      </c>
      <c r="AS148" t="s">
        <v>1067</v>
      </c>
      <c r="AT148" t="s">
        <v>482</v>
      </c>
      <c r="AU148">
        <v>1</v>
      </c>
      <c r="AV148">
        <v>1</v>
      </c>
      <c r="AW148" t="s">
        <v>1104</v>
      </c>
      <c r="AX148" t="s">
        <v>859</v>
      </c>
      <c r="AY148" t="s">
        <v>796</v>
      </c>
      <c r="AZ148" t="s">
        <v>793</v>
      </c>
      <c r="BA148" t="s">
        <v>793</v>
      </c>
      <c r="BB148" t="s">
        <v>707</v>
      </c>
      <c r="BC148" t="s">
        <v>806</v>
      </c>
      <c r="BD148" t="s">
        <v>795</v>
      </c>
      <c r="BE148" t="s">
        <v>707</v>
      </c>
      <c r="BF148" t="s">
        <v>796</v>
      </c>
      <c r="BG148" t="s">
        <v>707</v>
      </c>
      <c r="BH148" t="s">
        <v>1105</v>
      </c>
      <c r="BI148" t="s">
        <v>517</v>
      </c>
      <c r="BJ148">
        <v>1</v>
      </c>
      <c r="BK148">
        <v>0</v>
      </c>
      <c r="BL148" t="s">
        <v>1104</v>
      </c>
      <c r="BM148" t="s">
        <v>1009</v>
      </c>
      <c r="BN148" t="s">
        <v>707</v>
      </c>
      <c r="BO148" t="s">
        <v>703</v>
      </c>
      <c r="BP148" t="s">
        <v>793</v>
      </c>
      <c r="BQ148" t="s">
        <v>703</v>
      </c>
      <c r="BR148" t="s">
        <v>795</v>
      </c>
      <c r="BS148" t="s">
        <v>806</v>
      </c>
      <c r="BT148" t="s">
        <v>792</v>
      </c>
      <c r="BU148" t="s">
        <v>792</v>
      </c>
      <c r="BV148" t="s">
        <v>823</v>
      </c>
      <c r="BW148" t="s">
        <v>1138</v>
      </c>
      <c r="BX148" t="s">
        <v>176</v>
      </c>
      <c r="BY148">
        <v>1</v>
      </c>
      <c r="BZ148">
        <v>1</v>
      </c>
      <c r="CA148" t="s">
        <v>1096</v>
      </c>
      <c r="CB148" t="s">
        <v>803</v>
      </c>
      <c r="CC148" t="s">
        <v>796</v>
      </c>
      <c r="CD148" t="s">
        <v>792</v>
      </c>
      <c r="CE148" t="s">
        <v>792</v>
      </c>
      <c r="CF148" t="s">
        <v>815</v>
      </c>
      <c r="CG148" t="s">
        <v>794</v>
      </c>
      <c r="CH148" t="s">
        <v>806</v>
      </c>
      <c r="CI148" t="s">
        <v>707</v>
      </c>
      <c r="CJ148" t="s">
        <v>792</v>
      </c>
      <c r="CK148" t="s">
        <v>815</v>
      </c>
      <c r="CL148" t="s">
        <v>821</v>
      </c>
      <c r="CM148" t="s">
        <v>195</v>
      </c>
      <c r="CN148">
        <v>1</v>
      </c>
      <c r="CO148">
        <v>0</v>
      </c>
      <c r="CP148" t="s">
        <v>853</v>
      </c>
      <c r="CQ148" t="s">
        <v>859</v>
      </c>
      <c r="CR148" t="s">
        <v>707</v>
      </c>
      <c r="CS148" t="s">
        <v>793</v>
      </c>
      <c r="CT148" t="s">
        <v>817</v>
      </c>
      <c r="CU148" t="s">
        <v>792</v>
      </c>
      <c r="CV148" t="s">
        <v>795</v>
      </c>
      <c r="CW148" t="s">
        <v>795</v>
      </c>
      <c r="CX148" t="s">
        <v>707</v>
      </c>
      <c r="CY148" t="s">
        <v>707</v>
      </c>
      <c r="CZ148" t="s">
        <v>792</v>
      </c>
      <c r="DA148" t="s">
        <v>1328</v>
      </c>
      <c r="DB148" t="s">
        <v>155</v>
      </c>
      <c r="DC148">
        <v>1</v>
      </c>
      <c r="DD148">
        <v>0</v>
      </c>
      <c r="DE148" t="s">
        <v>798</v>
      </c>
      <c r="DF148" t="s">
        <v>1023</v>
      </c>
      <c r="DG148" t="s">
        <v>796</v>
      </c>
      <c r="DH148" t="s">
        <v>793</v>
      </c>
      <c r="DI148" t="s">
        <v>793</v>
      </c>
      <c r="DJ148" t="s">
        <v>703</v>
      </c>
      <c r="DK148" t="s">
        <v>794</v>
      </c>
      <c r="DL148" t="s">
        <v>794</v>
      </c>
      <c r="DM148" t="s">
        <v>703</v>
      </c>
      <c r="DN148" t="s">
        <v>703</v>
      </c>
      <c r="DO148" t="s">
        <v>707</v>
      </c>
      <c r="DP148" t="s">
        <v>822</v>
      </c>
      <c r="DQ148" t="s">
        <v>122</v>
      </c>
      <c r="DR148">
        <v>1</v>
      </c>
      <c r="DS148">
        <v>1</v>
      </c>
      <c r="DT148" t="s">
        <v>1002</v>
      </c>
      <c r="DU148" t="s">
        <v>859</v>
      </c>
      <c r="DV148" t="s">
        <v>796</v>
      </c>
      <c r="DW148" t="s">
        <v>815</v>
      </c>
      <c r="DX148" t="s">
        <v>815</v>
      </c>
      <c r="DY148" t="s">
        <v>851</v>
      </c>
      <c r="DZ148" t="s">
        <v>794</v>
      </c>
      <c r="EA148" t="s">
        <v>795</v>
      </c>
      <c r="EB148" t="s">
        <v>707</v>
      </c>
      <c r="EC148" t="s">
        <v>792</v>
      </c>
      <c r="ED148" t="s">
        <v>851</v>
      </c>
      <c r="EE148" t="s">
        <v>1289</v>
      </c>
      <c r="EF148" t="s">
        <v>313</v>
      </c>
      <c r="EG148">
        <v>1</v>
      </c>
      <c r="EH148">
        <v>0</v>
      </c>
      <c r="EI148" t="s">
        <v>1096</v>
      </c>
      <c r="EJ148" t="s">
        <v>826</v>
      </c>
      <c r="EK148" t="s">
        <v>796</v>
      </c>
      <c r="EL148" t="s">
        <v>792</v>
      </c>
      <c r="EM148" t="s">
        <v>792</v>
      </c>
      <c r="EN148" t="s">
        <v>815</v>
      </c>
      <c r="EO148" t="s">
        <v>795</v>
      </c>
      <c r="EP148" t="s">
        <v>806</v>
      </c>
      <c r="EQ148" t="s">
        <v>703</v>
      </c>
      <c r="ER148" t="s">
        <v>707</v>
      </c>
      <c r="ES148" t="s">
        <v>792</v>
      </c>
      <c r="ET148" t="s">
        <v>1535</v>
      </c>
      <c r="EU148" t="s">
        <v>608</v>
      </c>
      <c r="EV148">
        <v>1</v>
      </c>
      <c r="EW148">
        <v>0</v>
      </c>
      <c r="EX148" t="s">
        <v>791</v>
      </c>
      <c r="EY148" t="s">
        <v>697</v>
      </c>
      <c r="EZ148" t="s">
        <v>796</v>
      </c>
      <c r="FA148" t="s">
        <v>851</v>
      </c>
      <c r="FB148" t="s">
        <v>851</v>
      </c>
      <c r="FC148" t="s">
        <v>707</v>
      </c>
      <c r="FD148" t="s">
        <v>795</v>
      </c>
      <c r="FE148" t="s">
        <v>795</v>
      </c>
      <c r="FF148" t="s">
        <v>792</v>
      </c>
      <c r="FG148" t="s">
        <v>703</v>
      </c>
      <c r="FH148" t="s">
        <v>811</v>
      </c>
      <c r="FI148" t="s">
        <v>1326</v>
      </c>
      <c r="FJ148" t="s">
        <v>472</v>
      </c>
      <c r="FK148">
        <v>1</v>
      </c>
      <c r="FL148">
        <v>0</v>
      </c>
      <c r="FM148" t="s">
        <v>799</v>
      </c>
      <c r="FN148" t="s">
        <v>859</v>
      </c>
      <c r="FO148" t="s">
        <v>707</v>
      </c>
      <c r="FP148" t="s">
        <v>804</v>
      </c>
      <c r="FQ148" t="s">
        <v>859</v>
      </c>
      <c r="FR148" t="s">
        <v>796</v>
      </c>
      <c r="FS148" t="s">
        <v>806</v>
      </c>
      <c r="FT148" t="s">
        <v>795</v>
      </c>
      <c r="FU148" t="s">
        <v>707</v>
      </c>
      <c r="FV148" t="s">
        <v>703</v>
      </c>
      <c r="FW148" t="s">
        <v>796</v>
      </c>
      <c r="FX148" t="s">
        <v>1105</v>
      </c>
      <c r="FY148" t="s">
        <v>296</v>
      </c>
      <c r="FZ148">
        <v>1</v>
      </c>
      <c r="GA148">
        <v>0</v>
      </c>
      <c r="GB148" t="s">
        <v>826</v>
      </c>
      <c r="GC148" t="s">
        <v>851</v>
      </c>
      <c r="GD148" t="s">
        <v>792</v>
      </c>
      <c r="GE148" t="s">
        <v>707</v>
      </c>
      <c r="GF148" t="s">
        <v>703</v>
      </c>
      <c r="GG148" t="s">
        <v>703</v>
      </c>
      <c r="GH148" t="s">
        <v>806</v>
      </c>
      <c r="GI148" t="s">
        <v>795</v>
      </c>
      <c r="GJ148" t="s">
        <v>707</v>
      </c>
      <c r="GK148" t="s">
        <v>703</v>
      </c>
      <c r="GL148" t="s">
        <v>703</v>
      </c>
      <c r="GM148" t="s">
        <v>1059</v>
      </c>
      <c r="GN148" t="s">
        <v>58</v>
      </c>
      <c r="GO148">
        <v>1</v>
      </c>
      <c r="GP148">
        <v>1</v>
      </c>
      <c r="GQ148" t="s">
        <v>1000</v>
      </c>
      <c r="GR148" t="s">
        <v>1009</v>
      </c>
      <c r="GS148" t="s">
        <v>796</v>
      </c>
      <c r="GT148" t="s">
        <v>792</v>
      </c>
      <c r="GU148" t="s">
        <v>792</v>
      </c>
      <c r="GV148" t="s">
        <v>804</v>
      </c>
      <c r="GW148" t="s">
        <v>801</v>
      </c>
      <c r="GX148" t="s">
        <v>795</v>
      </c>
      <c r="GY148" t="s">
        <v>703</v>
      </c>
      <c r="GZ148" t="s">
        <v>793</v>
      </c>
      <c r="HA148" t="s">
        <v>1513</v>
      </c>
      <c r="HB148" t="s">
        <v>1508</v>
      </c>
      <c r="HC148" t="s">
        <v>390</v>
      </c>
      <c r="HD148">
        <v>1</v>
      </c>
      <c r="HE148">
        <v>1</v>
      </c>
      <c r="HF148" t="s">
        <v>693</v>
      </c>
      <c r="HG148" t="s">
        <v>1009</v>
      </c>
      <c r="HH148" t="s">
        <v>796</v>
      </c>
      <c r="HI148" t="s">
        <v>707</v>
      </c>
      <c r="HJ148" t="s">
        <v>707</v>
      </c>
      <c r="HK148" t="s">
        <v>703</v>
      </c>
      <c r="HL148" t="s">
        <v>806</v>
      </c>
      <c r="HM148" t="s">
        <v>795</v>
      </c>
      <c r="HN148" t="s">
        <v>703</v>
      </c>
      <c r="HO148" t="s">
        <v>792</v>
      </c>
      <c r="HP148" t="s">
        <v>707</v>
      </c>
      <c r="HQ148" t="s">
        <v>1331</v>
      </c>
      <c r="HR148" t="s">
        <v>402</v>
      </c>
      <c r="HS148">
        <v>1</v>
      </c>
      <c r="HT148">
        <v>1</v>
      </c>
      <c r="HU148" t="s">
        <v>797</v>
      </c>
      <c r="HV148" t="s">
        <v>1005</v>
      </c>
      <c r="HW148" t="s">
        <v>707</v>
      </c>
      <c r="HX148" t="s">
        <v>792</v>
      </c>
      <c r="HY148" t="s">
        <v>703</v>
      </c>
      <c r="HZ148" t="s">
        <v>792</v>
      </c>
      <c r="IA148" t="s">
        <v>795</v>
      </c>
      <c r="IB148" t="s">
        <v>1139</v>
      </c>
      <c r="IC148" t="s">
        <v>793</v>
      </c>
      <c r="ID148" t="s">
        <v>792</v>
      </c>
      <c r="IE148" t="s">
        <v>811</v>
      </c>
      <c r="IF148" t="s">
        <v>1266</v>
      </c>
      <c r="IG148" t="s">
        <v>193</v>
      </c>
      <c r="IH148">
        <v>1</v>
      </c>
      <c r="II148">
        <v>1</v>
      </c>
      <c r="IJ148" t="s">
        <v>693</v>
      </c>
      <c r="IK148" t="s">
        <v>1023</v>
      </c>
      <c r="IL148" t="s">
        <v>703</v>
      </c>
      <c r="IM148" t="s">
        <v>703</v>
      </c>
      <c r="IN148" t="s">
        <v>815</v>
      </c>
      <c r="IO148" t="s">
        <v>815</v>
      </c>
      <c r="IP148" t="s">
        <v>795</v>
      </c>
      <c r="IQ148" t="s">
        <v>795</v>
      </c>
      <c r="IR148" t="s">
        <v>703</v>
      </c>
      <c r="IS148" t="s">
        <v>793</v>
      </c>
      <c r="IT148" t="s">
        <v>792</v>
      </c>
      <c r="IU148" t="s">
        <v>1336</v>
      </c>
      <c r="IV148" t="s">
        <v>146</v>
      </c>
      <c r="IW148">
        <v>1</v>
      </c>
      <c r="IX148">
        <v>1</v>
      </c>
      <c r="IY148" t="s">
        <v>693</v>
      </c>
      <c r="IZ148" t="s">
        <v>805</v>
      </c>
      <c r="JA148" t="s">
        <v>796</v>
      </c>
      <c r="JB148" t="s">
        <v>703</v>
      </c>
      <c r="JC148" t="s">
        <v>703</v>
      </c>
      <c r="JD148" t="s">
        <v>703</v>
      </c>
      <c r="JE148" t="s">
        <v>795</v>
      </c>
      <c r="JF148" t="s">
        <v>795</v>
      </c>
      <c r="JG148" t="s">
        <v>792</v>
      </c>
      <c r="JH148" t="s">
        <v>703</v>
      </c>
      <c r="JI148" t="s">
        <v>823</v>
      </c>
      <c r="JJ148" t="s">
        <v>1704</v>
      </c>
      <c r="JK148" t="s">
        <v>420</v>
      </c>
      <c r="JL148">
        <v>1</v>
      </c>
      <c r="JM148">
        <v>1</v>
      </c>
      <c r="JN148" t="s">
        <v>1002</v>
      </c>
      <c r="JO148" t="s">
        <v>803</v>
      </c>
      <c r="JP148" t="s">
        <v>796</v>
      </c>
      <c r="JQ148" t="s">
        <v>817</v>
      </c>
      <c r="JR148" t="s">
        <v>817</v>
      </c>
      <c r="JS148" t="s">
        <v>703</v>
      </c>
      <c r="JT148" t="s">
        <v>806</v>
      </c>
      <c r="JU148" t="s">
        <v>795</v>
      </c>
      <c r="JV148" t="s">
        <v>792</v>
      </c>
      <c r="JW148" t="s">
        <v>703</v>
      </c>
      <c r="JX148" t="s">
        <v>823</v>
      </c>
      <c r="JY148" t="s">
        <v>821</v>
      </c>
      <c r="JZ148" t="s">
        <v>113</v>
      </c>
      <c r="KA148">
        <v>1</v>
      </c>
      <c r="KB148">
        <v>1</v>
      </c>
      <c r="KC148" t="s">
        <v>1104</v>
      </c>
      <c r="KD148" t="s">
        <v>800</v>
      </c>
      <c r="KE148" t="s">
        <v>796</v>
      </c>
      <c r="KF148" t="s">
        <v>707</v>
      </c>
      <c r="KG148" t="s">
        <v>707</v>
      </c>
      <c r="KH148" t="s">
        <v>793</v>
      </c>
      <c r="KI148" t="s">
        <v>806</v>
      </c>
      <c r="KJ148" t="s">
        <v>806</v>
      </c>
      <c r="KK148" t="s">
        <v>792</v>
      </c>
      <c r="KL148" t="s">
        <v>793</v>
      </c>
      <c r="KM148" t="s">
        <v>792</v>
      </c>
      <c r="KN148" t="s">
        <v>1694</v>
      </c>
      <c r="KO148" t="s">
        <v>459</v>
      </c>
      <c r="KP148">
        <v>1</v>
      </c>
      <c r="KQ148">
        <v>1</v>
      </c>
      <c r="KR148" t="s">
        <v>797</v>
      </c>
      <c r="KS148" t="s">
        <v>707</v>
      </c>
      <c r="KT148" t="s">
        <v>792</v>
      </c>
      <c r="KU148" t="s">
        <v>817</v>
      </c>
      <c r="KV148" t="s">
        <v>851</v>
      </c>
      <c r="KW148" t="s">
        <v>703</v>
      </c>
      <c r="KX148" t="s">
        <v>794</v>
      </c>
      <c r="KY148" t="s">
        <v>806</v>
      </c>
      <c r="KZ148" t="s">
        <v>796</v>
      </c>
      <c r="LA148" t="s">
        <v>703</v>
      </c>
      <c r="LB148" t="s">
        <v>796</v>
      </c>
      <c r="LC148" t="s">
        <v>1365</v>
      </c>
      <c r="LD148" t="s">
        <v>454</v>
      </c>
      <c r="LE148">
        <v>1</v>
      </c>
      <c r="LF148">
        <v>1</v>
      </c>
      <c r="LG148" t="s">
        <v>1451</v>
      </c>
      <c r="LH148" t="s">
        <v>701</v>
      </c>
      <c r="LI148" t="s">
        <v>707</v>
      </c>
      <c r="LJ148" t="s">
        <v>815</v>
      </c>
      <c r="LK148" t="s">
        <v>851</v>
      </c>
      <c r="LL148" t="s">
        <v>796</v>
      </c>
      <c r="LM148" t="s">
        <v>795</v>
      </c>
      <c r="LN148" t="s">
        <v>806</v>
      </c>
      <c r="LO148" t="s">
        <v>796</v>
      </c>
      <c r="LP148" t="s">
        <v>703</v>
      </c>
      <c r="LQ148" t="s">
        <v>796</v>
      </c>
      <c r="LR148" t="s">
        <v>1365</v>
      </c>
      <c r="LS148" t="s">
        <v>596</v>
      </c>
      <c r="LT148">
        <v>1</v>
      </c>
      <c r="LU148">
        <v>1</v>
      </c>
      <c r="LV148" t="s">
        <v>826</v>
      </c>
      <c r="LW148" t="s">
        <v>1009</v>
      </c>
      <c r="LX148" t="s">
        <v>796</v>
      </c>
      <c r="LY148" t="s">
        <v>851</v>
      </c>
      <c r="LZ148" t="s">
        <v>851</v>
      </c>
      <c r="MA148" t="s">
        <v>796</v>
      </c>
      <c r="MB148" t="s">
        <v>795</v>
      </c>
      <c r="MC148" t="s">
        <v>794</v>
      </c>
      <c r="MD148" t="s">
        <v>793</v>
      </c>
      <c r="ME148" t="s">
        <v>793</v>
      </c>
      <c r="MF148" t="s">
        <v>796</v>
      </c>
      <c r="MG148" t="s">
        <v>1340</v>
      </c>
      <c r="MH148" t="s">
        <v>469</v>
      </c>
      <c r="MI148">
        <v>1</v>
      </c>
      <c r="MJ148">
        <v>1</v>
      </c>
      <c r="MK148" t="s">
        <v>791</v>
      </c>
      <c r="ML148" t="s">
        <v>701</v>
      </c>
      <c r="MM148" t="s">
        <v>792</v>
      </c>
      <c r="MN148" t="s">
        <v>703</v>
      </c>
      <c r="MO148" t="s">
        <v>817</v>
      </c>
      <c r="MP148" t="s">
        <v>707</v>
      </c>
      <c r="MQ148" t="s">
        <v>794</v>
      </c>
      <c r="MR148" t="s">
        <v>795</v>
      </c>
      <c r="MS148" t="s">
        <v>796</v>
      </c>
      <c r="MT148" t="s">
        <v>817</v>
      </c>
      <c r="MU148" t="s">
        <v>796</v>
      </c>
      <c r="MV148" t="s">
        <v>1774</v>
      </c>
      <c r="MW148" t="s">
        <v>166</v>
      </c>
      <c r="MX148">
        <v>1</v>
      </c>
      <c r="MY148">
        <v>0</v>
      </c>
      <c r="MZ148" t="s">
        <v>853</v>
      </c>
      <c r="NA148" t="s">
        <v>815</v>
      </c>
      <c r="NB148" t="s">
        <v>792</v>
      </c>
      <c r="NC148" t="s">
        <v>703</v>
      </c>
      <c r="ND148" t="s">
        <v>817</v>
      </c>
      <c r="NE148" t="s">
        <v>792</v>
      </c>
      <c r="NF148" t="s">
        <v>795</v>
      </c>
      <c r="NG148" t="s">
        <v>795</v>
      </c>
      <c r="NH148" t="s">
        <v>796</v>
      </c>
      <c r="NI148" t="s">
        <v>707</v>
      </c>
      <c r="NJ148" t="s">
        <v>796</v>
      </c>
      <c r="NK148" t="s">
        <v>1824</v>
      </c>
      <c r="NL148" t="s">
        <v>274</v>
      </c>
      <c r="NM148">
        <v>1</v>
      </c>
      <c r="NN148">
        <v>1</v>
      </c>
      <c r="NO148" t="s">
        <v>1179</v>
      </c>
      <c r="NP148" t="s">
        <v>800</v>
      </c>
      <c r="NQ148" t="s">
        <v>707</v>
      </c>
      <c r="NR148" t="s">
        <v>793</v>
      </c>
      <c r="NS148" t="s">
        <v>817</v>
      </c>
      <c r="NT148" t="s">
        <v>804</v>
      </c>
      <c r="NU148" t="s">
        <v>806</v>
      </c>
      <c r="NV148" t="s">
        <v>795</v>
      </c>
      <c r="NW148" t="s">
        <v>792</v>
      </c>
      <c r="NX148" t="s">
        <v>792</v>
      </c>
      <c r="NY148" t="s">
        <v>793</v>
      </c>
      <c r="NZ148" t="s">
        <v>1267</v>
      </c>
    </row>
    <row r="149" spans="1:390" x14ac:dyDescent="0.25">
      <c r="A149" t="s">
        <v>820</v>
      </c>
      <c r="B149">
        <v>1</v>
      </c>
      <c r="C149">
        <v>0</v>
      </c>
      <c r="D149" t="s">
        <v>697</v>
      </c>
      <c r="E149" t="s">
        <v>793</v>
      </c>
      <c r="F149" t="s">
        <v>796</v>
      </c>
      <c r="G149" t="s">
        <v>703</v>
      </c>
      <c r="H149" t="s">
        <v>703</v>
      </c>
      <c r="I149" t="s">
        <v>703</v>
      </c>
      <c r="J149" t="s">
        <v>795</v>
      </c>
      <c r="K149" t="s">
        <v>806</v>
      </c>
      <c r="L149" t="s">
        <v>707</v>
      </c>
      <c r="M149" t="s">
        <v>707</v>
      </c>
      <c r="N149" t="s">
        <v>703</v>
      </c>
      <c r="O149" t="s">
        <v>821</v>
      </c>
      <c r="P149" t="s">
        <v>345</v>
      </c>
      <c r="Q149">
        <v>1</v>
      </c>
      <c r="R149">
        <v>0</v>
      </c>
      <c r="S149" t="s">
        <v>998</v>
      </c>
      <c r="T149" t="s">
        <v>792</v>
      </c>
      <c r="U149" t="s">
        <v>707</v>
      </c>
      <c r="V149" t="s">
        <v>707</v>
      </c>
      <c r="W149" t="s">
        <v>792</v>
      </c>
      <c r="X149" t="s">
        <v>703</v>
      </c>
      <c r="Y149" t="s">
        <v>806</v>
      </c>
      <c r="Z149" t="s">
        <v>795</v>
      </c>
      <c r="AA149" t="s">
        <v>707</v>
      </c>
      <c r="AB149" t="s">
        <v>703</v>
      </c>
      <c r="AC149" t="s">
        <v>703</v>
      </c>
      <c r="AD149" t="s">
        <v>1013</v>
      </c>
      <c r="AE149" t="s">
        <v>593</v>
      </c>
      <c r="AF149">
        <v>1</v>
      </c>
      <c r="AG149">
        <v>0</v>
      </c>
      <c r="AH149" t="s">
        <v>1062</v>
      </c>
      <c r="AI149" t="s">
        <v>851</v>
      </c>
      <c r="AJ149" t="s">
        <v>707</v>
      </c>
      <c r="AK149" t="s">
        <v>792</v>
      </c>
      <c r="AL149" t="s">
        <v>703</v>
      </c>
      <c r="AM149" t="s">
        <v>817</v>
      </c>
      <c r="AN149" t="s">
        <v>795</v>
      </c>
      <c r="AO149" t="s">
        <v>795</v>
      </c>
      <c r="AP149" t="s">
        <v>707</v>
      </c>
      <c r="AQ149" t="s">
        <v>792</v>
      </c>
      <c r="AR149" t="s">
        <v>817</v>
      </c>
      <c r="AS149" t="s">
        <v>1063</v>
      </c>
      <c r="AT149" t="s">
        <v>77</v>
      </c>
      <c r="AU149">
        <v>1</v>
      </c>
      <c r="AV149">
        <v>0</v>
      </c>
      <c r="AW149" t="s">
        <v>809</v>
      </c>
      <c r="AX149" t="s">
        <v>703</v>
      </c>
      <c r="AY149" t="s">
        <v>796</v>
      </c>
      <c r="AZ149" t="s">
        <v>817</v>
      </c>
      <c r="BA149" t="s">
        <v>817</v>
      </c>
      <c r="BB149" t="s">
        <v>817</v>
      </c>
      <c r="BC149" t="s">
        <v>806</v>
      </c>
      <c r="BD149" t="s">
        <v>806</v>
      </c>
      <c r="BE149" t="s">
        <v>796</v>
      </c>
      <c r="BF149" t="s">
        <v>707</v>
      </c>
      <c r="BG149" t="s">
        <v>796</v>
      </c>
      <c r="BH149" t="s">
        <v>1107</v>
      </c>
      <c r="BI149" t="s">
        <v>511</v>
      </c>
      <c r="BJ149">
        <v>1</v>
      </c>
      <c r="BK149">
        <v>0</v>
      </c>
      <c r="BL149" t="s">
        <v>1062</v>
      </c>
      <c r="BM149" t="s">
        <v>800</v>
      </c>
      <c r="BN149" t="s">
        <v>796</v>
      </c>
      <c r="BO149" t="s">
        <v>817</v>
      </c>
      <c r="BP149" t="s">
        <v>817</v>
      </c>
      <c r="BQ149" t="s">
        <v>792</v>
      </c>
      <c r="BR149" t="s">
        <v>806</v>
      </c>
      <c r="BS149" t="s">
        <v>795</v>
      </c>
      <c r="BT149" t="s">
        <v>796</v>
      </c>
      <c r="BU149" t="s">
        <v>707</v>
      </c>
      <c r="BV149" t="s">
        <v>796</v>
      </c>
      <c r="BW149" t="s">
        <v>1141</v>
      </c>
      <c r="BX149" t="s">
        <v>527</v>
      </c>
      <c r="BY149">
        <v>1</v>
      </c>
      <c r="BZ149">
        <v>1</v>
      </c>
      <c r="CA149" t="s">
        <v>1181</v>
      </c>
      <c r="CB149" t="s">
        <v>697</v>
      </c>
      <c r="CC149" t="s">
        <v>793</v>
      </c>
      <c r="CD149" t="s">
        <v>800</v>
      </c>
      <c r="CE149" t="s">
        <v>701</v>
      </c>
      <c r="CF149" t="s">
        <v>792</v>
      </c>
      <c r="CG149" t="s">
        <v>795</v>
      </c>
      <c r="CH149" t="s">
        <v>794</v>
      </c>
      <c r="CI149" t="s">
        <v>703</v>
      </c>
      <c r="CJ149" t="s">
        <v>703</v>
      </c>
      <c r="CK149" t="s">
        <v>1182</v>
      </c>
      <c r="CL149" t="s">
        <v>1183</v>
      </c>
      <c r="CM149" t="s">
        <v>75</v>
      </c>
      <c r="CN149">
        <v>1</v>
      </c>
      <c r="CO149">
        <v>1</v>
      </c>
      <c r="CP149" t="s">
        <v>1002</v>
      </c>
      <c r="CQ149" t="s">
        <v>821</v>
      </c>
      <c r="CR149" t="s">
        <v>793</v>
      </c>
      <c r="CS149" t="s">
        <v>817</v>
      </c>
      <c r="CT149" t="s">
        <v>859</v>
      </c>
      <c r="CU149" t="s">
        <v>817</v>
      </c>
      <c r="CV149" t="s">
        <v>806</v>
      </c>
      <c r="CW149" t="s">
        <v>795</v>
      </c>
      <c r="CX149" t="s">
        <v>703</v>
      </c>
      <c r="CY149" t="s">
        <v>793</v>
      </c>
      <c r="CZ149" t="s">
        <v>1191</v>
      </c>
      <c r="DA149" t="s">
        <v>1448</v>
      </c>
      <c r="DB149" t="s">
        <v>1478</v>
      </c>
      <c r="DC149">
        <v>1</v>
      </c>
      <c r="DD149">
        <v>0</v>
      </c>
      <c r="DE149" t="s">
        <v>826</v>
      </c>
      <c r="DF149" t="s">
        <v>810</v>
      </c>
      <c r="DG149" t="s">
        <v>707</v>
      </c>
      <c r="DH149" t="s">
        <v>703</v>
      </c>
      <c r="DI149" t="s">
        <v>793</v>
      </c>
      <c r="DJ149" t="s">
        <v>792</v>
      </c>
      <c r="DK149" t="s">
        <v>795</v>
      </c>
      <c r="DL149" t="s">
        <v>795</v>
      </c>
      <c r="DM149" t="s">
        <v>792</v>
      </c>
      <c r="DN149" t="s">
        <v>796</v>
      </c>
      <c r="DO149" t="s">
        <v>707</v>
      </c>
      <c r="DP149" t="s">
        <v>1371</v>
      </c>
      <c r="DQ149" t="s">
        <v>131</v>
      </c>
      <c r="DR149">
        <v>1</v>
      </c>
      <c r="DS149">
        <v>0</v>
      </c>
      <c r="DT149" t="s">
        <v>810</v>
      </c>
      <c r="DU149" t="s">
        <v>793</v>
      </c>
      <c r="DV149" t="s">
        <v>796</v>
      </c>
      <c r="DW149" t="s">
        <v>792</v>
      </c>
      <c r="DX149" t="s">
        <v>792</v>
      </c>
      <c r="DY149" t="s">
        <v>703</v>
      </c>
      <c r="DZ149" t="s">
        <v>795</v>
      </c>
      <c r="EA149" t="s">
        <v>806</v>
      </c>
      <c r="EB149" t="s">
        <v>792</v>
      </c>
      <c r="EC149" t="s">
        <v>707</v>
      </c>
      <c r="ED149" t="s">
        <v>823</v>
      </c>
      <c r="EE149" t="s">
        <v>1067</v>
      </c>
      <c r="EF149" t="s">
        <v>349</v>
      </c>
      <c r="EG149">
        <v>1</v>
      </c>
      <c r="EH149">
        <v>1</v>
      </c>
      <c r="EI149" t="s">
        <v>1009</v>
      </c>
      <c r="EJ149" t="s">
        <v>815</v>
      </c>
      <c r="EK149" t="s">
        <v>792</v>
      </c>
      <c r="EL149" t="s">
        <v>793</v>
      </c>
      <c r="EM149" t="s">
        <v>815</v>
      </c>
      <c r="EN149" t="s">
        <v>703</v>
      </c>
      <c r="EO149" t="s">
        <v>795</v>
      </c>
      <c r="EP149" t="s">
        <v>806</v>
      </c>
      <c r="EQ149" t="s">
        <v>707</v>
      </c>
      <c r="ER149" t="s">
        <v>703</v>
      </c>
      <c r="ES149" t="s">
        <v>703</v>
      </c>
      <c r="ET149" t="s">
        <v>1536</v>
      </c>
      <c r="EU149" t="s">
        <v>326</v>
      </c>
      <c r="EV149">
        <v>1</v>
      </c>
      <c r="EW149">
        <v>1</v>
      </c>
      <c r="EX149" t="s">
        <v>1104</v>
      </c>
      <c r="EY149" t="s">
        <v>805</v>
      </c>
      <c r="EZ149" t="s">
        <v>796</v>
      </c>
      <c r="FA149" t="s">
        <v>851</v>
      </c>
      <c r="FB149" t="s">
        <v>851</v>
      </c>
      <c r="FC149" t="s">
        <v>703</v>
      </c>
      <c r="FD149" t="s">
        <v>806</v>
      </c>
      <c r="FE149" t="s">
        <v>795</v>
      </c>
      <c r="FF149" t="s">
        <v>815</v>
      </c>
      <c r="FG149" t="s">
        <v>817</v>
      </c>
      <c r="FH149" t="s">
        <v>811</v>
      </c>
      <c r="FI149" t="s">
        <v>1559</v>
      </c>
      <c r="FJ149" t="s">
        <v>557</v>
      </c>
      <c r="FK149">
        <v>1</v>
      </c>
      <c r="FL149">
        <v>1</v>
      </c>
      <c r="FM149" t="s">
        <v>1004</v>
      </c>
      <c r="FN149" t="s">
        <v>815</v>
      </c>
      <c r="FO149" t="s">
        <v>796</v>
      </c>
      <c r="FP149" t="s">
        <v>707</v>
      </c>
      <c r="FQ149" t="s">
        <v>707</v>
      </c>
      <c r="FR149" t="s">
        <v>851</v>
      </c>
      <c r="FS149" t="s">
        <v>806</v>
      </c>
      <c r="FT149" t="s">
        <v>795</v>
      </c>
      <c r="FU149" t="s">
        <v>796</v>
      </c>
      <c r="FV149" t="s">
        <v>796</v>
      </c>
      <c r="FW149" t="s">
        <v>796</v>
      </c>
      <c r="FX149" t="s">
        <v>1271</v>
      </c>
      <c r="FY149" t="s">
        <v>369</v>
      </c>
      <c r="FZ149">
        <v>1</v>
      </c>
      <c r="GA149">
        <v>0</v>
      </c>
      <c r="GB149" t="s">
        <v>701</v>
      </c>
      <c r="GC149" t="s">
        <v>793</v>
      </c>
      <c r="GD149" t="s">
        <v>796</v>
      </c>
      <c r="GE149" t="s">
        <v>707</v>
      </c>
      <c r="GF149" t="s">
        <v>707</v>
      </c>
      <c r="GG149" t="s">
        <v>796</v>
      </c>
      <c r="GH149" t="s">
        <v>806</v>
      </c>
      <c r="GI149" t="s">
        <v>795</v>
      </c>
      <c r="GJ149" t="s">
        <v>796</v>
      </c>
      <c r="GK149" t="s">
        <v>792</v>
      </c>
      <c r="GL149" t="s">
        <v>796</v>
      </c>
      <c r="GM149" t="s">
        <v>1347</v>
      </c>
      <c r="GN149" t="s">
        <v>182</v>
      </c>
      <c r="GO149">
        <v>1</v>
      </c>
      <c r="GP149">
        <v>0</v>
      </c>
      <c r="GQ149" t="s">
        <v>805</v>
      </c>
      <c r="GR149" t="s">
        <v>792</v>
      </c>
      <c r="GS149" t="s">
        <v>707</v>
      </c>
      <c r="GT149" t="s">
        <v>793</v>
      </c>
      <c r="GU149" t="s">
        <v>817</v>
      </c>
      <c r="GV149" t="s">
        <v>792</v>
      </c>
      <c r="GW149" t="s">
        <v>795</v>
      </c>
      <c r="GX149" t="s">
        <v>806</v>
      </c>
      <c r="GY149" t="s">
        <v>796</v>
      </c>
      <c r="GZ149" t="s">
        <v>707</v>
      </c>
      <c r="HA149" t="s">
        <v>796</v>
      </c>
      <c r="HB149" t="s">
        <v>1372</v>
      </c>
      <c r="HC149" t="s">
        <v>395</v>
      </c>
      <c r="HD149">
        <v>1</v>
      </c>
      <c r="HE149">
        <v>0</v>
      </c>
      <c r="HF149" t="s">
        <v>799</v>
      </c>
      <c r="HG149" t="s">
        <v>817</v>
      </c>
      <c r="HH149" t="s">
        <v>703</v>
      </c>
      <c r="HI149" t="s">
        <v>792</v>
      </c>
      <c r="HJ149" t="s">
        <v>817</v>
      </c>
      <c r="HK149" t="s">
        <v>792</v>
      </c>
      <c r="HL149" t="s">
        <v>806</v>
      </c>
      <c r="HM149" t="s">
        <v>806</v>
      </c>
      <c r="HN149" t="s">
        <v>796</v>
      </c>
      <c r="HO149" t="s">
        <v>707</v>
      </c>
      <c r="HP149" t="s">
        <v>796</v>
      </c>
      <c r="HQ149" t="s">
        <v>1183</v>
      </c>
      <c r="HR149" t="s">
        <v>411</v>
      </c>
      <c r="HS149">
        <v>1</v>
      </c>
      <c r="HT149">
        <v>0</v>
      </c>
      <c r="HU149" t="s">
        <v>1104</v>
      </c>
      <c r="HV149" t="s">
        <v>703</v>
      </c>
      <c r="HW149" t="s">
        <v>707</v>
      </c>
      <c r="HX149" t="s">
        <v>815</v>
      </c>
      <c r="HY149" t="s">
        <v>851</v>
      </c>
      <c r="HZ149" t="s">
        <v>707</v>
      </c>
      <c r="IA149" t="s">
        <v>806</v>
      </c>
      <c r="IB149" t="s">
        <v>806</v>
      </c>
      <c r="IC149" t="s">
        <v>796</v>
      </c>
      <c r="ID149" t="s">
        <v>703</v>
      </c>
      <c r="IE149" t="s">
        <v>796</v>
      </c>
      <c r="IF149" t="s">
        <v>1479</v>
      </c>
      <c r="IG149" t="s">
        <v>589</v>
      </c>
      <c r="IH149">
        <v>1</v>
      </c>
      <c r="II149">
        <v>0</v>
      </c>
      <c r="IJ149" t="s">
        <v>1020</v>
      </c>
      <c r="IK149" t="s">
        <v>815</v>
      </c>
      <c r="IL149" t="s">
        <v>707</v>
      </c>
      <c r="IM149" t="s">
        <v>792</v>
      </c>
      <c r="IN149" t="s">
        <v>703</v>
      </c>
      <c r="IO149" t="s">
        <v>796</v>
      </c>
      <c r="IP149" t="s">
        <v>794</v>
      </c>
      <c r="IQ149" t="s">
        <v>795</v>
      </c>
      <c r="IR149" t="s">
        <v>707</v>
      </c>
      <c r="IS149" t="s">
        <v>793</v>
      </c>
      <c r="IT149" t="s">
        <v>796</v>
      </c>
      <c r="IU149" t="s">
        <v>1694</v>
      </c>
      <c r="IV149" t="s">
        <v>364</v>
      </c>
      <c r="IW149">
        <v>1</v>
      </c>
      <c r="IX149">
        <v>0</v>
      </c>
      <c r="IY149" t="s">
        <v>1005</v>
      </c>
      <c r="IZ149" t="s">
        <v>817</v>
      </c>
      <c r="JA149" t="s">
        <v>796</v>
      </c>
      <c r="JB149" t="s">
        <v>792</v>
      </c>
      <c r="JC149" t="s">
        <v>792</v>
      </c>
      <c r="JD149" t="s">
        <v>707</v>
      </c>
      <c r="JE149" t="s">
        <v>795</v>
      </c>
      <c r="JF149" t="s">
        <v>795</v>
      </c>
      <c r="JG149" t="s">
        <v>796</v>
      </c>
      <c r="JH149" t="s">
        <v>703</v>
      </c>
      <c r="JI149" t="s">
        <v>796</v>
      </c>
      <c r="JJ149" t="s">
        <v>1705</v>
      </c>
      <c r="JK149" t="s">
        <v>424</v>
      </c>
      <c r="JL149">
        <v>1</v>
      </c>
      <c r="JM149">
        <v>1</v>
      </c>
      <c r="JN149" t="s">
        <v>1004</v>
      </c>
      <c r="JO149" t="s">
        <v>793</v>
      </c>
      <c r="JP149" t="s">
        <v>707</v>
      </c>
      <c r="JQ149" t="s">
        <v>703</v>
      </c>
      <c r="JR149" t="s">
        <v>793</v>
      </c>
      <c r="JS149" t="s">
        <v>804</v>
      </c>
      <c r="JT149" t="s">
        <v>795</v>
      </c>
      <c r="JU149" t="s">
        <v>795</v>
      </c>
      <c r="JV149" t="s">
        <v>792</v>
      </c>
      <c r="JW149" t="s">
        <v>793</v>
      </c>
      <c r="JX149" t="s">
        <v>793</v>
      </c>
      <c r="JY149" t="s">
        <v>793</v>
      </c>
      <c r="JZ149" t="s">
        <v>617</v>
      </c>
      <c r="KA149">
        <v>1</v>
      </c>
      <c r="KB149">
        <v>0</v>
      </c>
      <c r="KC149" t="s">
        <v>821</v>
      </c>
      <c r="KD149" t="s">
        <v>793</v>
      </c>
      <c r="KE149" t="s">
        <v>707</v>
      </c>
      <c r="KF149" t="s">
        <v>796</v>
      </c>
      <c r="KG149" t="s">
        <v>707</v>
      </c>
      <c r="KH149" t="s">
        <v>703</v>
      </c>
      <c r="KI149" t="s">
        <v>795</v>
      </c>
      <c r="KJ149" t="s">
        <v>795</v>
      </c>
      <c r="KK149" t="s">
        <v>796</v>
      </c>
      <c r="KL149" t="s">
        <v>707</v>
      </c>
      <c r="KM149" t="s">
        <v>796</v>
      </c>
      <c r="KN149" t="s">
        <v>1153</v>
      </c>
      <c r="KO149" t="s">
        <v>621</v>
      </c>
      <c r="KP149">
        <v>1</v>
      </c>
      <c r="KQ149">
        <v>1</v>
      </c>
      <c r="KR149" t="s">
        <v>1023</v>
      </c>
      <c r="KS149" t="s">
        <v>817</v>
      </c>
      <c r="KT149" t="s">
        <v>796</v>
      </c>
      <c r="KU149" t="s">
        <v>793</v>
      </c>
      <c r="KV149" t="s">
        <v>793</v>
      </c>
      <c r="KW149" t="s">
        <v>796</v>
      </c>
      <c r="KX149" t="s">
        <v>795</v>
      </c>
      <c r="KY149" t="s">
        <v>795</v>
      </c>
      <c r="KZ149" t="s">
        <v>796</v>
      </c>
      <c r="LA149" t="s">
        <v>792</v>
      </c>
      <c r="LB149" t="s">
        <v>796</v>
      </c>
      <c r="LC149" t="s">
        <v>1235</v>
      </c>
      <c r="LD149" t="s">
        <v>248</v>
      </c>
      <c r="LE149">
        <v>1</v>
      </c>
      <c r="LF149">
        <v>0</v>
      </c>
      <c r="LG149" t="s">
        <v>701</v>
      </c>
      <c r="LH149" t="s">
        <v>703</v>
      </c>
      <c r="LI149" t="s">
        <v>792</v>
      </c>
      <c r="LJ149" t="s">
        <v>707</v>
      </c>
      <c r="LK149" t="s">
        <v>703</v>
      </c>
      <c r="LL149" t="s">
        <v>792</v>
      </c>
      <c r="LM149" t="s">
        <v>795</v>
      </c>
      <c r="LN149" t="s">
        <v>795</v>
      </c>
      <c r="LO149" t="s">
        <v>796</v>
      </c>
      <c r="LP149" t="s">
        <v>707</v>
      </c>
      <c r="LQ149" t="s">
        <v>796</v>
      </c>
      <c r="LR149" t="s">
        <v>1353</v>
      </c>
      <c r="LS149" t="s">
        <v>260</v>
      </c>
      <c r="LT149">
        <v>1</v>
      </c>
      <c r="LU149">
        <v>0</v>
      </c>
      <c r="LV149" t="s">
        <v>810</v>
      </c>
      <c r="LW149" t="s">
        <v>793</v>
      </c>
      <c r="LX149" t="s">
        <v>707</v>
      </c>
      <c r="LY149" t="s">
        <v>707</v>
      </c>
      <c r="LZ149" t="s">
        <v>792</v>
      </c>
      <c r="MA149" t="s">
        <v>796</v>
      </c>
      <c r="MB149" t="s">
        <v>806</v>
      </c>
      <c r="MC149" t="s">
        <v>806</v>
      </c>
      <c r="MD149" t="s">
        <v>796</v>
      </c>
      <c r="ME149" t="s">
        <v>707</v>
      </c>
      <c r="MF149" t="s">
        <v>796</v>
      </c>
      <c r="MG149" t="s">
        <v>1311</v>
      </c>
      <c r="MH149" t="s">
        <v>624</v>
      </c>
      <c r="MI149">
        <v>1</v>
      </c>
      <c r="MJ149">
        <v>0</v>
      </c>
      <c r="MK149" t="s">
        <v>701</v>
      </c>
      <c r="ML149" t="s">
        <v>792</v>
      </c>
      <c r="MM149" t="s">
        <v>796</v>
      </c>
      <c r="MN149" t="s">
        <v>707</v>
      </c>
      <c r="MO149" t="s">
        <v>707</v>
      </c>
      <c r="MP149" t="s">
        <v>707</v>
      </c>
      <c r="MQ149" t="s">
        <v>806</v>
      </c>
      <c r="MR149" t="s">
        <v>806</v>
      </c>
      <c r="MS149" t="s">
        <v>707</v>
      </c>
      <c r="MT149" t="s">
        <v>707</v>
      </c>
      <c r="MU149" t="s">
        <v>707</v>
      </c>
      <c r="MV149" t="s">
        <v>1358</v>
      </c>
      <c r="MW149" t="s">
        <v>625</v>
      </c>
      <c r="MX149">
        <v>1</v>
      </c>
      <c r="MY149">
        <v>1</v>
      </c>
      <c r="MZ149" t="s">
        <v>1451</v>
      </c>
      <c r="NA149" t="s">
        <v>859</v>
      </c>
      <c r="NB149" t="s">
        <v>703</v>
      </c>
      <c r="NC149" t="s">
        <v>703</v>
      </c>
      <c r="ND149" t="s">
        <v>815</v>
      </c>
      <c r="NE149" t="s">
        <v>851</v>
      </c>
      <c r="NF149" t="s">
        <v>794</v>
      </c>
      <c r="NG149" t="s">
        <v>806</v>
      </c>
      <c r="NH149" t="s">
        <v>792</v>
      </c>
      <c r="NI149" t="s">
        <v>792</v>
      </c>
      <c r="NJ149" t="s">
        <v>807</v>
      </c>
      <c r="NK149" t="s">
        <v>1183</v>
      </c>
      <c r="NL149" t="s">
        <v>276</v>
      </c>
      <c r="NM149">
        <v>1</v>
      </c>
      <c r="NN149">
        <v>1</v>
      </c>
      <c r="NO149" t="s">
        <v>693</v>
      </c>
      <c r="NP149" t="s">
        <v>804</v>
      </c>
      <c r="NQ149" t="s">
        <v>796</v>
      </c>
      <c r="NR149" t="s">
        <v>851</v>
      </c>
      <c r="NS149" t="s">
        <v>851</v>
      </c>
      <c r="NT149" t="s">
        <v>707</v>
      </c>
      <c r="NU149" t="s">
        <v>806</v>
      </c>
      <c r="NV149" t="s">
        <v>795</v>
      </c>
      <c r="NW149" t="s">
        <v>796</v>
      </c>
      <c r="NX149" t="s">
        <v>703</v>
      </c>
      <c r="NY149" t="s">
        <v>796</v>
      </c>
      <c r="NZ149" t="s">
        <v>1299</v>
      </c>
    </row>
    <row r="150" spans="1:390" x14ac:dyDescent="0.25">
      <c r="A150" t="s">
        <v>114</v>
      </c>
      <c r="B150">
        <v>1</v>
      </c>
      <c r="C150">
        <v>0</v>
      </c>
      <c r="D150" t="s">
        <v>799</v>
      </c>
      <c r="E150" t="s">
        <v>793</v>
      </c>
      <c r="F150" t="s">
        <v>796</v>
      </c>
      <c r="G150" t="s">
        <v>793</v>
      </c>
      <c r="H150" t="s">
        <v>793</v>
      </c>
      <c r="I150" t="s">
        <v>792</v>
      </c>
      <c r="J150" t="s">
        <v>801</v>
      </c>
      <c r="K150" t="s">
        <v>795</v>
      </c>
      <c r="L150" t="s">
        <v>796</v>
      </c>
      <c r="M150" t="s">
        <v>796</v>
      </c>
      <c r="N150" t="s">
        <v>796</v>
      </c>
      <c r="O150" t="s">
        <v>819</v>
      </c>
      <c r="P150" t="s">
        <v>341</v>
      </c>
      <c r="Q150">
        <v>1</v>
      </c>
      <c r="R150">
        <v>1</v>
      </c>
      <c r="S150" t="s">
        <v>1004</v>
      </c>
      <c r="T150" t="s">
        <v>805</v>
      </c>
      <c r="U150" t="s">
        <v>796</v>
      </c>
      <c r="V150" t="s">
        <v>707</v>
      </c>
      <c r="W150" t="s">
        <v>707</v>
      </c>
      <c r="X150" t="s">
        <v>792</v>
      </c>
      <c r="Y150" t="s">
        <v>795</v>
      </c>
      <c r="Z150" t="s">
        <v>795</v>
      </c>
      <c r="AA150" t="s">
        <v>707</v>
      </c>
      <c r="AB150" t="s">
        <v>793</v>
      </c>
      <c r="AC150" t="s">
        <v>792</v>
      </c>
      <c r="AD150" t="s">
        <v>1007</v>
      </c>
      <c r="AE150" t="s">
        <v>109</v>
      </c>
      <c r="AF150">
        <v>1</v>
      </c>
      <c r="AG150">
        <v>1</v>
      </c>
      <c r="AH150" t="s">
        <v>791</v>
      </c>
      <c r="AI150" t="s">
        <v>821</v>
      </c>
      <c r="AJ150" t="s">
        <v>792</v>
      </c>
      <c r="AK150" t="s">
        <v>707</v>
      </c>
      <c r="AL150" t="s">
        <v>703</v>
      </c>
      <c r="AM150" t="s">
        <v>707</v>
      </c>
      <c r="AN150" t="s">
        <v>795</v>
      </c>
      <c r="AO150" t="s">
        <v>806</v>
      </c>
      <c r="AP150" t="s">
        <v>793</v>
      </c>
      <c r="AQ150" t="s">
        <v>707</v>
      </c>
      <c r="AR150" t="s">
        <v>1010</v>
      </c>
      <c r="AS150" t="s">
        <v>1058</v>
      </c>
      <c r="AT150" t="s">
        <v>487</v>
      </c>
      <c r="AU150">
        <v>1</v>
      </c>
      <c r="AV150">
        <v>1</v>
      </c>
      <c r="AW150" t="s">
        <v>826</v>
      </c>
      <c r="AX150" t="s">
        <v>796</v>
      </c>
      <c r="AY150" t="s">
        <v>796</v>
      </c>
      <c r="AZ150" t="s">
        <v>707</v>
      </c>
      <c r="BA150" t="s">
        <v>707</v>
      </c>
      <c r="BB150" t="s">
        <v>707</v>
      </c>
      <c r="BC150" t="s">
        <v>794</v>
      </c>
      <c r="BD150" t="s">
        <v>795</v>
      </c>
      <c r="BE150" t="s">
        <v>792</v>
      </c>
      <c r="BF150" t="s">
        <v>707</v>
      </c>
      <c r="BG150" t="s">
        <v>811</v>
      </c>
      <c r="BH150" t="s">
        <v>1109</v>
      </c>
      <c r="BI150" t="s">
        <v>519</v>
      </c>
      <c r="BJ150">
        <v>1</v>
      </c>
      <c r="BK150">
        <v>1</v>
      </c>
      <c r="BL150" t="s">
        <v>826</v>
      </c>
      <c r="BM150" t="s">
        <v>703</v>
      </c>
      <c r="BN150" t="s">
        <v>792</v>
      </c>
      <c r="BO150" t="s">
        <v>792</v>
      </c>
      <c r="BP150" t="s">
        <v>793</v>
      </c>
      <c r="BQ150" t="s">
        <v>796</v>
      </c>
      <c r="BR150" t="s">
        <v>806</v>
      </c>
      <c r="BS150" t="s">
        <v>795</v>
      </c>
      <c r="BT150" t="s">
        <v>796</v>
      </c>
      <c r="BU150" t="s">
        <v>707</v>
      </c>
      <c r="BV150" t="s">
        <v>796</v>
      </c>
      <c r="BW150" t="s">
        <v>1146</v>
      </c>
      <c r="BX150" t="s">
        <v>532</v>
      </c>
      <c r="BY150">
        <v>1</v>
      </c>
      <c r="BZ150">
        <v>0</v>
      </c>
      <c r="CA150" t="s">
        <v>701</v>
      </c>
      <c r="CB150" t="s">
        <v>792</v>
      </c>
      <c r="CC150" t="s">
        <v>796</v>
      </c>
      <c r="CD150" t="s">
        <v>796</v>
      </c>
      <c r="CE150" t="s">
        <v>796</v>
      </c>
      <c r="CF150" t="s">
        <v>707</v>
      </c>
      <c r="CG150" t="s">
        <v>806</v>
      </c>
      <c r="CH150" t="s">
        <v>795</v>
      </c>
      <c r="CI150" t="s">
        <v>707</v>
      </c>
      <c r="CJ150" t="s">
        <v>792</v>
      </c>
      <c r="CK150" t="s">
        <v>707</v>
      </c>
      <c r="CL150" t="s">
        <v>1188</v>
      </c>
      <c r="CM150" t="s">
        <v>81</v>
      </c>
      <c r="CN150">
        <v>1</v>
      </c>
      <c r="CO150">
        <v>1</v>
      </c>
      <c r="CP150" t="s">
        <v>1009</v>
      </c>
      <c r="CQ150" t="s">
        <v>804</v>
      </c>
      <c r="CR150" t="s">
        <v>793</v>
      </c>
      <c r="CS150" t="s">
        <v>703</v>
      </c>
      <c r="CT150" t="s">
        <v>851</v>
      </c>
      <c r="CU150" t="s">
        <v>792</v>
      </c>
      <c r="CV150" t="s">
        <v>806</v>
      </c>
      <c r="CW150" t="s">
        <v>795</v>
      </c>
      <c r="CX150" t="s">
        <v>793</v>
      </c>
      <c r="CY150" t="s">
        <v>792</v>
      </c>
      <c r="CZ150" t="s">
        <v>811</v>
      </c>
      <c r="DA150" t="s">
        <v>1266</v>
      </c>
      <c r="DB150" t="s">
        <v>548</v>
      </c>
      <c r="DC150">
        <v>1</v>
      </c>
      <c r="DD150">
        <v>0</v>
      </c>
      <c r="DE150" t="s">
        <v>793</v>
      </c>
      <c r="DF150" t="s">
        <v>796</v>
      </c>
      <c r="DG150" t="s">
        <v>796</v>
      </c>
      <c r="DH150" t="s">
        <v>707</v>
      </c>
      <c r="DI150" t="s">
        <v>707</v>
      </c>
      <c r="DJ150" t="s">
        <v>707</v>
      </c>
      <c r="DK150" t="s">
        <v>795</v>
      </c>
      <c r="DL150" t="s">
        <v>795</v>
      </c>
      <c r="DM150" t="s">
        <v>796</v>
      </c>
      <c r="DN150" t="s">
        <v>707</v>
      </c>
      <c r="DO150" t="s">
        <v>796</v>
      </c>
      <c r="DP150" t="s">
        <v>1479</v>
      </c>
      <c r="DQ150" t="s">
        <v>498</v>
      </c>
      <c r="DR150">
        <v>1</v>
      </c>
      <c r="DS150">
        <v>0</v>
      </c>
      <c r="DT150" t="s">
        <v>809</v>
      </c>
      <c r="DU150" t="s">
        <v>851</v>
      </c>
      <c r="DV150" t="s">
        <v>796</v>
      </c>
      <c r="DW150" t="s">
        <v>793</v>
      </c>
      <c r="DX150" t="s">
        <v>793</v>
      </c>
      <c r="DY150" t="s">
        <v>707</v>
      </c>
      <c r="DZ150" t="s">
        <v>795</v>
      </c>
      <c r="EA150" t="s">
        <v>795</v>
      </c>
      <c r="EB150" t="s">
        <v>796</v>
      </c>
      <c r="EC150" t="s">
        <v>707</v>
      </c>
      <c r="ED150" t="s">
        <v>796</v>
      </c>
      <c r="EE150" t="s">
        <v>1509</v>
      </c>
      <c r="EF150" t="s">
        <v>320</v>
      </c>
      <c r="EG150">
        <v>1</v>
      </c>
      <c r="EH150">
        <v>0</v>
      </c>
      <c r="EI150" t="s">
        <v>803</v>
      </c>
      <c r="EJ150" t="s">
        <v>851</v>
      </c>
      <c r="EK150" t="s">
        <v>707</v>
      </c>
      <c r="EL150" t="s">
        <v>793</v>
      </c>
      <c r="EM150" t="s">
        <v>817</v>
      </c>
      <c r="EN150" t="s">
        <v>792</v>
      </c>
      <c r="EO150" t="s">
        <v>795</v>
      </c>
      <c r="EP150" t="s">
        <v>806</v>
      </c>
      <c r="EQ150" t="s">
        <v>796</v>
      </c>
      <c r="ER150" t="s">
        <v>792</v>
      </c>
      <c r="ES150" t="s">
        <v>796</v>
      </c>
      <c r="ET150" t="s">
        <v>805</v>
      </c>
      <c r="EU150" t="s">
        <v>330</v>
      </c>
      <c r="EV150">
        <v>1</v>
      </c>
      <c r="EW150">
        <v>1</v>
      </c>
      <c r="EX150" t="s">
        <v>1062</v>
      </c>
      <c r="EY150" t="s">
        <v>817</v>
      </c>
      <c r="EZ150" t="s">
        <v>707</v>
      </c>
      <c r="FA150" t="s">
        <v>815</v>
      </c>
      <c r="FB150" t="s">
        <v>851</v>
      </c>
      <c r="FC150" t="s">
        <v>792</v>
      </c>
      <c r="FD150" t="s">
        <v>795</v>
      </c>
      <c r="FE150" t="s">
        <v>795</v>
      </c>
      <c r="FF150" t="s">
        <v>793</v>
      </c>
      <c r="FG150" t="s">
        <v>793</v>
      </c>
      <c r="FH150" t="s">
        <v>811</v>
      </c>
      <c r="FI150" t="s">
        <v>1010</v>
      </c>
      <c r="FJ150" t="s">
        <v>1588</v>
      </c>
      <c r="FK150">
        <v>1</v>
      </c>
      <c r="FL150">
        <v>0</v>
      </c>
      <c r="FM150" t="s">
        <v>853</v>
      </c>
      <c r="FN150" t="s">
        <v>817</v>
      </c>
      <c r="FO150" t="s">
        <v>796</v>
      </c>
      <c r="FP150" t="s">
        <v>707</v>
      </c>
      <c r="FQ150" t="s">
        <v>707</v>
      </c>
      <c r="FR150" t="s">
        <v>792</v>
      </c>
      <c r="FS150" t="s">
        <v>795</v>
      </c>
      <c r="FT150" t="s">
        <v>795</v>
      </c>
      <c r="FU150" t="s">
        <v>796</v>
      </c>
      <c r="FV150" t="s">
        <v>707</v>
      </c>
      <c r="FW150" t="s">
        <v>796</v>
      </c>
      <c r="FX150" t="s">
        <v>1235</v>
      </c>
      <c r="FY150" t="s">
        <v>357</v>
      </c>
      <c r="FZ150">
        <v>1</v>
      </c>
      <c r="GA150">
        <v>1</v>
      </c>
      <c r="GB150" t="s">
        <v>1004</v>
      </c>
      <c r="GC150" t="s">
        <v>817</v>
      </c>
      <c r="GD150" t="s">
        <v>796</v>
      </c>
      <c r="GE150" t="s">
        <v>815</v>
      </c>
      <c r="GF150" t="s">
        <v>815</v>
      </c>
      <c r="GG150" t="s">
        <v>792</v>
      </c>
      <c r="GH150" t="s">
        <v>794</v>
      </c>
      <c r="GI150" t="s">
        <v>795</v>
      </c>
      <c r="GJ150" t="s">
        <v>796</v>
      </c>
      <c r="GK150" t="s">
        <v>792</v>
      </c>
      <c r="GL150" t="s">
        <v>796</v>
      </c>
      <c r="GM150" t="s">
        <v>1610</v>
      </c>
      <c r="GN150" t="s">
        <v>91</v>
      </c>
      <c r="GO150">
        <v>1</v>
      </c>
      <c r="GP150">
        <v>1</v>
      </c>
      <c r="GQ150" t="s">
        <v>1002</v>
      </c>
      <c r="GR150" t="s">
        <v>805</v>
      </c>
      <c r="GS150" t="s">
        <v>796</v>
      </c>
      <c r="GT150" t="s">
        <v>817</v>
      </c>
      <c r="GU150" t="s">
        <v>817</v>
      </c>
      <c r="GV150" t="s">
        <v>793</v>
      </c>
      <c r="GW150" t="s">
        <v>806</v>
      </c>
      <c r="GX150" t="s">
        <v>795</v>
      </c>
      <c r="GY150" t="s">
        <v>792</v>
      </c>
      <c r="GZ150" t="s">
        <v>815</v>
      </c>
      <c r="HA150" t="s">
        <v>792</v>
      </c>
      <c r="HB150" t="s">
        <v>1063</v>
      </c>
      <c r="HC150" t="s">
        <v>613</v>
      </c>
      <c r="HD150">
        <v>1</v>
      </c>
      <c r="HE150">
        <v>0</v>
      </c>
      <c r="HF150" t="s">
        <v>1020</v>
      </c>
      <c r="HG150" t="s">
        <v>859</v>
      </c>
      <c r="HH150" t="s">
        <v>796</v>
      </c>
      <c r="HI150" t="s">
        <v>703</v>
      </c>
      <c r="HJ150" t="s">
        <v>703</v>
      </c>
      <c r="HK150" t="s">
        <v>796</v>
      </c>
      <c r="HL150" t="s">
        <v>795</v>
      </c>
      <c r="HM150" t="s">
        <v>795</v>
      </c>
      <c r="HN150" t="s">
        <v>707</v>
      </c>
      <c r="HO150" t="s">
        <v>796</v>
      </c>
      <c r="HP150" t="s">
        <v>796</v>
      </c>
      <c r="HQ150" t="s">
        <v>1342</v>
      </c>
      <c r="HR150" t="s">
        <v>615</v>
      </c>
      <c r="HS150">
        <v>1</v>
      </c>
      <c r="HT150">
        <v>0</v>
      </c>
      <c r="HU150" t="s">
        <v>815</v>
      </c>
      <c r="HV150" t="s">
        <v>796</v>
      </c>
      <c r="HW150" t="s">
        <v>796</v>
      </c>
      <c r="HX150" t="s">
        <v>792</v>
      </c>
      <c r="HY150" t="s">
        <v>792</v>
      </c>
      <c r="HZ150" t="s">
        <v>796</v>
      </c>
      <c r="IA150" t="s">
        <v>795</v>
      </c>
      <c r="IB150" t="s">
        <v>806</v>
      </c>
      <c r="IC150" t="s">
        <v>796</v>
      </c>
      <c r="ID150" t="s">
        <v>792</v>
      </c>
      <c r="IE150" t="s">
        <v>796</v>
      </c>
      <c r="IF150" t="s">
        <v>1317</v>
      </c>
      <c r="IG150" t="s">
        <v>443</v>
      </c>
      <c r="IH150">
        <v>1</v>
      </c>
      <c r="II150">
        <v>1</v>
      </c>
      <c r="IJ150" t="s">
        <v>803</v>
      </c>
      <c r="IK150" t="s">
        <v>804</v>
      </c>
      <c r="IL150" t="s">
        <v>796</v>
      </c>
      <c r="IM150" t="s">
        <v>707</v>
      </c>
      <c r="IN150" t="s">
        <v>707</v>
      </c>
      <c r="IO150" t="s">
        <v>792</v>
      </c>
      <c r="IP150" t="s">
        <v>795</v>
      </c>
      <c r="IQ150" t="s">
        <v>795</v>
      </c>
      <c r="IR150" t="s">
        <v>796</v>
      </c>
      <c r="IS150" t="s">
        <v>707</v>
      </c>
      <c r="IT150" t="s">
        <v>796</v>
      </c>
      <c r="IU150" t="s">
        <v>851</v>
      </c>
      <c r="IV150" t="s">
        <v>217</v>
      </c>
      <c r="IW150">
        <v>1</v>
      </c>
      <c r="IX150">
        <v>1</v>
      </c>
      <c r="IY150" t="s">
        <v>804</v>
      </c>
      <c r="IZ150" t="s">
        <v>796</v>
      </c>
      <c r="JA150" t="s">
        <v>796</v>
      </c>
      <c r="JB150" t="s">
        <v>707</v>
      </c>
      <c r="JC150" t="s">
        <v>707</v>
      </c>
      <c r="JD150" t="s">
        <v>707</v>
      </c>
      <c r="JE150" t="s">
        <v>806</v>
      </c>
      <c r="JF150" t="s">
        <v>806</v>
      </c>
      <c r="JG150" t="s">
        <v>796</v>
      </c>
      <c r="JH150" t="s">
        <v>796</v>
      </c>
      <c r="JI150" t="s">
        <v>796</v>
      </c>
      <c r="JJ150" t="s">
        <v>1365</v>
      </c>
      <c r="JK150" t="s">
        <v>425</v>
      </c>
      <c r="JL150">
        <v>1</v>
      </c>
      <c r="JM150">
        <v>0</v>
      </c>
      <c r="JN150" t="s">
        <v>853</v>
      </c>
      <c r="JO150" t="s">
        <v>703</v>
      </c>
      <c r="JP150" t="s">
        <v>796</v>
      </c>
      <c r="JQ150" t="s">
        <v>707</v>
      </c>
      <c r="JR150" t="s">
        <v>707</v>
      </c>
      <c r="JS150" t="s">
        <v>796</v>
      </c>
      <c r="JT150" t="s">
        <v>795</v>
      </c>
      <c r="JU150" t="s">
        <v>806</v>
      </c>
      <c r="JV150" t="s">
        <v>796</v>
      </c>
      <c r="JW150" t="s">
        <v>703</v>
      </c>
      <c r="JX150" t="s">
        <v>796</v>
      </c>
      <c r="JY150" t="s">
        <v>1728</v>
      </c>
      <c r="JZ150" t="s">
        <v>448</v>
      </c>
      <c r="KA150">
        <v>1</v>
      </c>
      <c r="KB150">
        <v>1</v>
      </c>
      <c r="KC150" t="s">
        <v>821</v>
      </c>
      <c r="KD150" t="s">
        <v>792</v>
      </c>
      <c r="KE150" t="s">
        <v>796</v>
      </c>
      <c r="KF150" t="s">
        <v>707</v>
      </c>
      <c r="KG150" t="s">
        <v>707</v>
      </c>
      <c r="KH150" t="s">
        <v>707</v>
      </c>
      <c r="KI150" t="s">
        <v>795</v>
      </c>
      <c r="KJ150" t="s">
        <v>795</v>
      </c>
      <c r="KK150" t="s">
        <v>796</v>
      </c>
      <c r="KL150" t="s">
        <v>792</v>
      </c>
      <c r="KM150" t="s">
        <v>796</v>
      </c>
      <c r="KN150" t="s">
        <v>811</v>
      </c>
      <c r="KO150" t="s">
        <v>460</v>
      </c>
      <c r="KP150">
        <v>1</v>
      </c>
      <c r="KQ150">
        <v>0</v>
      </c>
      <c r="KR150" t="s">
        <v>826</v>
      </c>
      <c r="KS150" t="s">
        <v>817</v>
      </c>
      <c r="KT150" t="s">
        <v>796</v>
      </c>
      <c r="KU150" t="s">
        <v>707</v>
      </c>
      <c r="KV150" t="s">
        <v>707</v>
      </c>
      <c r="KW150" t="s">
        <v>796</v>
      </c>
      <c r="KX150" t="s">
        <v>795</v>
      </c>
      <c r="KY150" t="s">
        <v>795</v>
      </c>
      <c r="KZ150" t="s">
        <v>707</v>
      </c>
      <c r="LA150" t="s">
        <v>792</v>
      </c>
      <c r="LB150" t="s">
        <v>796</v>
      </c>
      <c r="LC150" t="s">
        <v>1363</v>
      </c>
      <c r="LD150" t="s">
        <v>595</v>
      </c>
      <c r="LE150">
        <v>1</v>
      </c>
      <c r="LF150">
        <v>0</v>
      </c>
      <c r="LG150" t="s">
        <v>798</v>
      </c>
      <c r="LH150" t="s">
        <v>851</v>
      </c>
      <c r="LI150" t="s">
        <v>707</v>
      </c>
      <c r="LJ150" t="s">
        <v>792</v>
      </c>
      <c r="LK150" t="s">
        <v>703</v>
      </c>
      <c r="LL150" t="s">
        <v>707</v>
      </c>
      <c r="LM150" t="s">
        <v>795</v>
      </c>
      <c r="LN150" t="s">
        <v>795</v>
      </c>
      <c r="LO150" t="s">
        <v>707</v>
      </c>
      <c r="LP150" t="s">
        <v>707</v>
      </c>
      <c r="LQ150" t="s">
        <v>707</v>
      </c>
      <c r="LR150" t="s">
        <v>1356</v>
      </c>
      <c r="LS150" t="s">
        <v>484</v>
      </c>
      <c r="LT150">
        <v>1</v>
      </c>
      <c r="LU150">
        <v>1</v>
      </c>
      <c r="LV150" t="s">
        <v>798</v>
      </c>
      <c r="LW150" t="s">
        <v>859</v>
      </c>
      <c r="LX150" t="s">
        <v>796</v>
      </c>
      <c r="LY150" t="s">
        <v>792</v>
      </c>
      <c r="LZ150" t="s">
        <v>792</v>
      </c>
      <c r="MA150" t="s">
        <v>796</v>
      </c>
      <c r="MB150" t="s">
        <v>795</v>
      </c>
      <c r="MC150" t="s">
        <v>795</v>
      </c>
      <c r="MD150" t="s">
        <v>796</v>
      </c>
      <c r="ME150" t="s">
        <v>792</v>
      </c>
      <c r="MF150" t="s">
        <v>796</v>
      </c>
      <c r="MG150" t="s">
        <v>1275</v>
      </c>
      <c r="MH150" t="s">
        <v>298</v>
      </c>
      <c r="MI150">
        <v>1</v>
      </c>
      <c r="MJ150">
        <v>1</v>
      </c>
      <c r="MK150" t="s">
        <v>809</v>
      </c>
      <c r="ML150" t="s">
        <v>793</v>
      </c>
      <c r="MM150" t="s">
        <v>796</v>
      </c>
      <c r="MN150" t="s">
        <v>792</v>
      </c>
      <c r="MO150" t="s">
        <v>792</v>
      </c>
      <c r="MP150" t="s">
        <v>707</v>
      </c>
      <c r="MQ150" t="s">
        <v>795</v>
      </c>
      <c r="MR150" t="s">
        <v>806</v>
      </c>
      <c r="MS150" t="s">
        <v>796</v>
      </c>
      <c r="MT150" t="s">
        <v>707</v>
      </c>
      <c r="MU150" t="s">
        <v>796</v>
      </c>
      <c r="MV150" t="s">
        <v>1015</v>
      </c>
      <c r="MW150" t="s">
        <v>500</v>
      </c>
      <c r="MX150">
        <v>1</v>
      </c>
      <c r="MY150">
        <v>0</v>
      </c>
      <c r="MZ150" t="s">
        <v>803</v>
      </c>
      <c r="NA150" t="s">
        <v>815</v>
      </c>
      <c r="NB150" t="s">
        <v>707</v>
      </c>
      <c r="NC150" t="s">
        <v>707</v>
      </c>
      <c r="ND150" t="s">
        <v>792</v>
      </c>
      <c r="NE150" t="s">
        <v>792</v>
      </c>
      <c r="NF150" t="s">
        <v>795</v>
      </c>
      <c r="NG150" t="s">
        <v>795</v>
      </c>
      <c r="NH150" t="s">
        <v>707</v>
      </c>
      <c r="NI150" t="s">
        <v>707</v>
      </c>
      <c r="NJ150" t="s">
        <v>792</v>
      </c>
      <c r="NK150" t="s">
        <v>1067</v>
      </c>
      <c r="NL150" t="s">
        <v>280</v>
      </c>
      <c r="NM150">
        <v>1</v>
      </c>
      <c r="NN150">
        <v>0</v>
      </c>
      <c r="NO150" t="s">
        <v>809</v>
      </c>
      <c r="NP150" t="s">
        <v>703</v>
      </c>
      <c r="NQ150" t="s">
        <v>796</v>
      </c>
      <c r="NR150" t="s">
        <v>793</v>
      </c>
      <c r="NS150" t="s">
        <v>793</v>
      </c>
      <c r="NT150" t="s">
        <v>707</v>
      </c>
      <c r="NU150" t="s">
        <v>806</v>
      </c>
      <c r="NV150" t="s">
        <v>795</v>
      </c>
      <c r="NW150" t="s">
        <v>796</v>
      </c>
      <c r="NX150" t="s">
        <v>792</v>
      </c>
      <c r="NY150" t="s">
        <v>796</v>
      </c>
      <c r="NZ150" t="s">
        <v>1628</v>
      </c>
    </row>
    <row r="151" spans="1:390" x14ac:dyDescent="0.25">
      <c r="A151" t="s">
        <v>814</v>
      </c>
      <c r="B151">
        <v>1</v>
      </c>
      <c r="C151">
        <v>0</v>
      </c>
      <c r="D151" t="s">
        <v>701</v>
      </c>
      <c r="E151" t="s">
        <v>815</v>
      </c>
      <c r="F151" t="s">
        <v>792</v>
      </c>
      <c r="G151" t="s">
        <v>792</v>
      </c>
      <c r="H151" t="s">
        <v>793</v>
      </c>
      <c r="I151" t="s">
        <v>796</v>
      </c>
      <c r="J151" t="s">
        <v>806</v>
      </c>
      <c r="K151" t="s">
        <v>806</v>
      </c>
      <c r="L151" t="s">
        <v>707</v>
      </c>
      <c r="M151" t="s">
        <v>793</v>
      </c>
      <c r="N151" t="s">
        <v>796</v>
      </c>
      <c r="O151" t="s">
        <v>816</v>
      </c>
      <c r="P151" t="s">
        <v>348</v>
      </c>
      <c r="Q151">
        <v>1</v>
      </c>
      <c r="R151">
        <v>0</v>
      </c>
      <c r="S151" t="s">
        <v>810</v>
      </c>
      <c r="T151" t="s">
        <v>792</v>
      </c>
      <c r="U151" t="s">
        <v>796</v>
      </c>
      <c r="V151" t="s">
        <v>792</v>
      </c>
      <c r="W151" t="s">
        <v>792</v>
      </c>
      <c r="X151" t="s">
        <v>796</v>
      </c>
      <c r="Y151" t="s">
        <v>806</v>
      </c>
      <c r="Z151" t="s">
        <v>795</v>
      </c>
      <c r="AA151" t="s">
        <v>707</v>
      </c>
      <c r="AB151" t="s">
        <v>796</v>
      </c>
      <c r="AC151" t="s">
        <v>796</v>
      </c>
      <c r="AD151" t="s">
        <v>1014</v>
      </c>
      <c r="AE151" t="s">
        <v>118</v>
      </c>
      <c r="AF151">
        <v>1</v>
      </c>
      <c r="AG151">
        <v>1</v>
      </c>
      <c r="AH151" t="s">
        <v>1009</v>
      </c>
      <c r="AI151" t="s">
        <v>796</v>
      </c>
      <c r="AJ151" t="s">
        <v>707</v>
      </c>
      <c r="AK151" t="s">
        <v>817</v>
      </c>
      <c r="AL151" t="s">
        <v>815</v>
      </c>
      <c r="AM151" t="s">
        <v>703</v>
      </c>
      <c r="AN151" t="s">
        <v>806</v>
      </c>
      <c r="AO151" t="s">
        <v>795</v>
      </c>
      <c r="AP151" t="s">
        <v>707</v>
      </c>
      <c r="AQ151" t="s">
        <v>707</v>
      </c>
      <c r="AR151" t="s">
        <v>703</v>
      </c>
      <c r="AS151" t="s">
        <v>1071</v>
      </c>
      <c r="AT151" t="s">
        <v>483</v>
      </c>
      <c r="AU151">
        <v>1</v>
      </c>
      <c r="AV151">
        <v>1</v>
      </c>
      <c r="AW151" t="s">
        <v>853</v>
      </c>
      <c r="AX151" t="s">
        <v>792</v>
      </c>
      <c r="AY151" t="s">
        <v>796</v>
      </c>
      <c r="AZ151" t="s">
        <v>707</v>
      </c>
      <c r="BA151" t="s">
        <v>707</v>
      </c>
      <c r="BB151" t="s">
        <v>707</v>
      </c>
      <c r="BC151" t="s">
        <v>795</v>
      </c>
      <c r="BD151" t="s">
        <v>795</v>
      </c>
      <c r="BE151" t="s">
        <v>796</v>
      </c>
      <c r="BF151" t="s">
        <v>793</v>
      </c>
      <c r="BG151" t="s">
        <v>796</v>
      </c>
      <c r="BH151" t="s">
        <v>1108</v>
      </c>
      <c r="BI151" t="s">
        <v>249</v>
      </c>
      <c r="BJ151">
        <v>1</v>
      </c>
      <c r="BK151">
        <v>0</v>
      </c>
      <c r="BL151" t="s">
        <v>821</v>
      </c>
      <c r="BM151" t="s">
        <v>792</v>
      </c>
      <c r="BN151" t="s">
        <v>793</v>
      </c>
      <c r="BO151" t="s">
        <v>793</v>
      </c>
      <c r="BP151" t="s">
        <v>804</v>
      </c>
      <c r="BQ151" t="s">
        <v>796</v>
      </c>
      <c r="BR151" t="s">
        <v>806</v>
      </c>
      <c r="BS151" t="s">
        <v>794</v>
      </c>
      <c r="BT151" t="s">
        <v>707</v>
      </c>
      <c r="BU151" t="s">
        <v>703</v>
      </c>
      <c r="BV151" t="s">
        <v>796</v>
      </c>
      <c r="BW151" t="s">
        <v>1148</v>
      </c>
      <c r="BX151" t="s">
        <v>528</v>
      </c>
      <c r="BY151">
        <v>1</v>
      </c>
      <c r="BZ151">
        <v>0</v>
      </c>
      <c r="CA151" t="s">
        <v>1005</v>
      </c>
      <c r="CB151" t="s">
        <v>817</v>
      </c>
      <c r="CC151" t="s">
        <v>796</v>
      </c>
      <c r="CD151" t="s">
        <v>792</v>
      </c>
      <c r="CE151" t="s">
        <v>792</v>
      </c>
      <c r="CF151" t="s">
        <v>792</v>
      </c>
      <c r="CG151" t="s">
        <v>795</v>
      </c>
      <c r="CH151" t="s">
        <v>795</v>
      </c>
      <c r="CI151" t="s">
        <v>703</v>
      </c>
      <c r="CJ151" t="s">
        <v>796</v>
      </c>
      <c r="CK151" t="s">
        <v>1182</v>
      </c>
      <c r="CL151" t="s">
        <v>1185</v>
      </c>
      <c r="CM151" t="s">
        <v>87</v>
      </c>
      <c r="CN151">
        <v>1</v>
      </c>
      <c r="CO151">
        <v>0</v>
      </c>
      <c r="CP151" t="s">
        <v>1104</v>
      </c>
      <c r="CQ151" t="s">
        <v>817</v>
      </c>
      <c r="CR151" t="s">
        <v>796</v>
      </c>
      <c r="CS151" t="s">
        <v>703</v>
      </c>
      <c r="CT151" t="s">
        <v>703</v>
      </c>
      <c r="CU151" t="s">
        <v>703</v>
      </c>
      <c r="CV151" t="s">
        <v>794</v>
      </c>
      <c r="CW151" t="s">
        <v>795</v>
      </c>
      <c r="CX151" t="s">
        <v>707</v>
      </c>
      <c r="CY151" t="s">
        <v>792</v>
      </c>
      <c r="CZ151" t="s">
        <v>703</v>
      </c>
      <c r="DA151" t="s">
        <v>1449</v>
      </c>
      <c r="DB151" t="s">
        <v>102</v>
      </c>
      <c r="DC151">
        <v>1</v>
      </c>
      <c r="DD151">
        <v>1</v>
      </c>
      <c r="DE151" t="s">
        <v>1020</v>
      </c>
      <c r="DF151" t="s">
        <v>817</v>
      </c>
      <c r="DG151" t="s">
        <v>796</v>
      </c>
      <c r="DH151" t="s">
        <v>792</v>
      </c>
      <c r="DI151" t="s">
        <v>792</v>
      </c>
      <c r="DJ151" t="s">
        <v>796</v>
      </c>
      <c r="DK151" t="s">
        <v>806</v>
      </c>
      <c r="DL151" t="s">
        <v>795</v>
      </c>
      <c r="DM151" t="s">
        <v>707</v>
      </c>
      <c r="DN151" t="s">
        <v>707</v>
      </c>
      <c r="DO151" t="s">
        <v>796</v>
      </c>
      <c r="DP151" t="s">
        <v>1480</v>
      </c>
      <c r="DQ151" t="s">
        <v>294</v>
      </c>
      <c r="DR151">
        <v>1</v>
      </c>
      <c r="DS151">
        <v>0</v>
      </c>
      <c r="DT151" t="s">
        <v>810</v>
      </c>
      <c r="DU151" t="s">
        <v>793</v>
      </c>
      <c r="DV151" t="s">
        <v>796</v>
      </c>
      <c r="DW151" t="s">
        <v>796</v>
      </c>
      <c r="DX151" t="s">
        <v>796</v>
      </c>
      <c r="DY151" t="s">
        <v>796</v>
      </c>
      <c r="DZ151" t="s">
        <v>795</v>
      </c>
      <c r="EA151" t="s">
        <v>795</v>
      </c>
      <c r="EB151" t="s">
        <v>707</v>
      </c>
      <c r="EC151" t="s">
        <v>707</v>
      </c>
      <c r="ED151" t="s">
        <v>796</v>
      </c>
      <c r="EE151" t="s">
        <v>1074</v>
      </c>
      <c r="EF151" t="s">
        <v>312</v>
      </c>
      <c r="EG151">
        <v>1</v>
      </c>
      <c r="EH151">
        <v>1</v>
      </c>
      <c r="EI151" t="s">
        <v>831</v>
      </c>
      <c r="EJ151" t="s">
        <v>810</v>
      </c>
      <c r="EK151" t="s">
        <v>796</v>
      </c>
      <c r="EL151" t="s">
        <v>817</v>
      </c>
      <c r="EM151" t="s">
        <v>817</v>
      </c>
      <c r="EN151" t="s">
        <v>703</v>
      </c>
      <c r="EO151" t="s">
        <v>801</v>
      </c>
      <c r="EP151" t="s">
        <v>795</v>
      </c>
      <c r="EQ151" t="s">
        <v>707</v>
      </c>
      <c r="ER151" t="s">
        <v>793</v>
      </c>
      <c r="ES151" t="s">
        <v>703</v>
      </c>
      <c r="ET151" t="s">
        <v>1537</v>
      </c>
      <c r="EU151" t="s">
        <v>609</v>
      </c>
      <c r="EV151">
        <v>1</v>
      </c>
      <c r="EW151">
        <v>0</v>
      </c>
      <c r="EX151" t="s">
        <v>707</v>
      </c>
      <c r="EY151" t="s">
        <v>796</v>
      </c>
      <c r="EZ151" t="s">
        <v>796</v>
      </c>
      <c r="FA151" t="s">
        <v>796</v>
      </c>
      <c r="FB151" t="s">
        <v>796</v>
      </c>
      <c r="FC151" t="s">
        <v>796</v>
      </c>
      <c r="FD151" t="s">
        <v>795</v>
      </c>
      <c r="FE151" t="s">
        <v>795</v>
      </c>
      <c r="FF151" t="s">
        <v>796</v>
      </c>
      <c r="FG151" t="s">
        <v>796</v>
      </c>
      <c r="FH151" t="s">
        <v>796</v>
      </c>
      <c r="FI151" t="s">
        <v>796</v>
      </c>
      <c r="FJ151" t="s">
        <v>558</v>
      </c>
      <c r="FK151">
        <v>1</v>
      </c>
      <c r="FL151">
        <v>0</v>
      </c>
      <c r="FM151" t="s">
        <v>792</v>
      </c>
      <c r="FN151" t="s">
        <v>796</v>
      </c>
      <c r="FO151" t="s">
        <v>707</v>
      </c>
      <c r="FP151" t="s">
        <v>707</v>
      </c>
      <c r="FQ151" t="s">
        <v>792</v>
      </c>
      <c r="FR151" t="s">
        <v>796</v>
      </c>
      <c r="FS151" t="s">
        <v>795</v>
      </c>
      <c r="FT151" t="s">
        <v>795</v>
      </c>
      <c r="FU151" t="s">
        <v>796</v>
      </c>
      <c r="FV151" t="s">
        <v>796</v>
      </c>
      <c r="FW151" t="s">
        <v>796</v>
      </c>
      <c r="FX151" t="s">
        <v>1353</v>
      </c>
      <c r="FY151" t="s">
        <v>360</v>
      </c>
      <c r="FZ151">
        <v>1</v>
      </c>
      <c r="GA151">
        <v>0</v>
      </c>
      <c r="GB151" t="s">
        <v>853</v>
      </c>
      <c r="GC151" t="s">
        <v>793</v>
      </c>
      <c r="GD151" t="s">
        <v>796</v>
      </c>
      <c r="GE151" t="s">
        <v>796</v>
      </c>
      <c r="GF151" t="s">
        <v>796</v>
      </c>
      <c r="GG151" t="s">
        <v>792</v>
      </c>
      <c r="GH151" t="s">
        <v>795</v>
      </c>
      <c r="GI151" t="s">
        <v>795</v>
      </c>
      <c r="GJ151" t="s">
        <v>796</v>
      </c>
      <c r="GK151" t="s">
        <v>703</v>
      </c>
      <c r="GL151" t="s">
        <v>796</v>
      </c>
      <c r="GM151" t="s">
        <v>1334</v>
      </c>
      <c r="GN151" t="s">
        <v>180</v>
      </c>
      <c r="GO151">
        <v>1</v>
      </c>
      <c r="GP151">
        <v>0</v>
      </c>
      <c r="GQ151" t="s">
        <v>826</v>
      </c>
      <c r="GR151" t="s">
        <v>804</v>
      </c>
      <c r="GS151" t="s">
        <v>796</v>
      </c>
      <c r="GT151" t="s">
        <v>703</v>
      </c>
      <c r="GU151" t="s">
        <v>703</v>
      </c>
      <c r="GV151" t="s">
        <v>707</v>
      </c>
      <c r="GW151" t="s">
        <v>795</v>
      </c>
      <c r="GX151" t="s">
        <v>795</v>
      </c>
      <c r="GY151" t="s">
        <v>792</v>
      </c>
      <c r="GZ151" t="s">
        <v>796</v>
      </c>
      <c r="HA151" t="s">
        <v>811</v>
      </c>
      <c r="HB151" t="s">
        <v>1069</v>
      </c>
      <c r="HC151" t="s">
        <v>401</v>
      </c>
      <c r="HD151">
        <v>1</v>
      </c>
      <c r="HE151">
        <v>0</v>
      </c>
      <c r="HF151" t="s">
        <v>697</v>
      </c>
      <c r="HG151" t="s">
        <v>793</v>
      </c>
      <c r="HH151" t="s">
        <v>707</v>
      </c>
      <c r="HI151" t="s">
        <v>703</v>
      </c>
      <c r="HJ151" t="s">
        <v>793</v>
      </c>
      <c r="HK151" t="s">
        <v>796</v>
      </c>
      <c r="HL151" t="s">
        <v>806</v>
      </c>
      <c r="HM151" t="s">
        <v>795</v>
      </c>
      <c r="HN151" t="s">
        <v>707</v>
      </c>
      <c r="HO151" t="s">
        <v>793</v>
      </c>
      <c r="HP151" t="s">
        <v>796</v>
      </c>
      <c r="HQ151" t="s">
        <v>1241</v>
      </c>
      <c r="HR151" t="s">
        <v>616</v>
      </c>
      <c r="HS151">
        <v>1</v>
      </c>
      <c r="HT151">
        <v>1</v>
      </c>
      <c r="HU151" t="s">
        <v>1179</v>
      </c>
      <c r="HV151" t="s">
        <v>793</v>
      </c>
      <c r="HW151" t="s">
        <v>707</v>
      </c>
      <c r="HX151" t="s">
        <v>792</v>
      </c>
      <c r="HY151" t="s">
        <v>703</v>
      </c>
      <c r="HZ151" t="s">
        <v>793</v>
      </c>
      <c r="IA151" t="s">
        <v>806</v>
      </c>
      <c r="IB151" t="s">
        <v>795</v>
      </c>
      <c r="IC151" t="s">
        <v>703</v>
      </c>
      <c r="ID151" t="s">
        <v>703</v>
      </c>
      <c r="IE151" t="s">
        <v>1590</v>
      </c>
      <c r="IF151" t="s">
        <v>1367</v>
      </c>
      <c r="IG151" t="s">
        <v>455</v>
      </c>
      <c r="IH151">
        <v>1</v>
      </c>
      <c r="II151">
        <v>1</v>
      </c>
      <c r="IJ151" t="s">
        <v>1002</v>
      </c>
      <c r="IK151" t="s">
        <v>859</v>
      </c>
      <c r="IL151" t="s">
        <v>707</v>
      </c>
      <c r="IM151" t="s">
        <v>817</v>
      </c>
      <c r="IN151" t="s">
        <v>815</v>
      </c>
      <c r="IO151" t="s">
        <v>793</v>
      </c>
      <c r="IP151" t="s">
        <v>795</v>
      </c>
      <c r="IQ151" t="s">
        <v>795</v>
      </c>
      <c r="IR151" t="s">
        <v>707</v>
      </c>
      <c r="IS151" t="s">
        <v>792</v>
      </c>
      <c r="IT151" t="s">
        <v>793</v>
      </c>
      <c r="IU151" t="s">
        <v>1356</v>
      </c>
      <c r="IV151" t="s">
        <v>356</v>
      </c>
      <c r="IW151">
        <v>1</v>
      </c>
      <c r="IX151">
        <v>0</v>
      </c>
      <c r="IY151" t="s">
        <v>803</v>
      </c>
      <c r="IZ151" t="s">
        <v>792</v>
      </c>
      <c r="JA151" t="s">
        <v>707</v>
      </c>
      <c r="JB151" t="s">
        <v>707</v>
      </c>
      <c r="JC151" t="s">
        <v>792</v>
      </c>
      <c r="JD151" t="s">
        <v>707</v>
      </c>
      <c r="JE151" t="s">
        <v>806</v>
      </c>
      <c r="JF151" t="s">
        <v>806</v>
      </c>
      <c r="JG151" t="s">
        <v>796</v>
      </c>
      <c r="JH151" t="s">
        <v>707</v>
      </c>
      <c r="JI151" t="s">
        <v>796</v>
      </c>
      <c r="JJ151" t="s">
        <v>1559</v>
      </c>
      <c r="JK151" t="s">
        <v>422</v>
      </c>
      <c r="JL151">
        <v>1</v>
      </c>
      <c r="JM151">
        <v>0</v>
      </c>
      <c r="JN151" t="s">
        <v>701</v>
      </c>
      <c r="JO151" t="s">
        <v>792</v>
      </c>
      <c r="JP151" t="s">
        <v>707</v>
      </c>
      <c r="JQ151" t="s">
        <v>707</v>
      </c>
      <c r="JR151" t="s">
        <v>792</v>
      </c>
      <c r="JS151" t="s">
        <v>796</v>
      </c>
      <c r="JT151" t="s">
        <v>795</v>
      </c>
      <c r="JU151" t="s">
        <v>795</v>
      </c>
      <c r="JV151" t="s">
        <v>796</v>
      </c>
      <c r="JW151" t="s">
        <v>796</v>
      </c>
      <c r="JX151" t="s">
        <v>796</v>
      </c>
      <c r="JY151" t="s">
        <v>1729</v>
      </c>
      <c r="JZ151" t="s">
        <v>185</v>
      </c>
      <c r="KA151">
        <v>1</v>
      </c>
      <c r="KB151">
        <v>1</v>
      </c>
      <c r="KC151" t="s">
        <v>998</v>
      </c>
      <c r="KD151" t="s">
        <v>792</v>
      </c>
      <c r="KE151" t="s">
        <v>796</v>
      </c>
      <c r="KF151" t="s">
        <v>707</v>
      </c>
      <c r="KG151" t="s">
        <v>707</v>
      </c>
      <c r="KH151" t="s">
        <v>707</v>
      </c>
      <c r="KI151" t="s">
        <v>806</v>
      </c>
      <c r="KJ151" t="s">
        <v>795</v>
      </c>
      <c r="KK151" t="s">
        <v>792</v>
      </c>
      <c r="KL151" t="s">
        <v>793</v>
      </c>
      <c r="KM151" t="s">
        <v>811</v>
      </c>
      <c r="KN151" t="s">
        <v>1746</v>
      </c>
      <c r="KO151" t="s">
        <v>242</v>
      </c>
      <c r="KP151">
        <v>1</v>
      </c>
      <c r="KQ151">
        <v>1</v>
      </c>
      <c r="KR151" t="s">
        <v>809</v>
      </c>
      <c r="KS151" t="s">
        <v>800</v>
      </c>
      <c r="KT151" t="s">
        <v>792</v>
      </c>
      <c r="KU151" t="s">
        <v>703</v>
      </c>
      <c r="KV151" t="s">
        <v>817</v>
      </c>
      <c r="KW151" t="s">
        <v>707</v>
      </c>
      <c r="KX151" t="s">
        <v>795</v>
      </c>
      <c r="KY151" t="s">
        <v>806</v>
      </c>
      <c r="KZ151" t="s">
        <v>703</v>
      </c>
      <c r="LA151" t="s">
        <v>792</v>
      </c>
      <c r="LB151" t="s">
        <v>1010</v>
      </c>
      <c r="LC151" t="s">
        <v>1109</v>
      </c>
      <c r="LD151" t="s">
        <v>828</v>
      </c>
      <c r="LE151">
        <v>1</v>
      </c>
      <c r="LF151" t="s">
        <v>829</v>
      </c>
      <c r="LG151" t="s">
        <v>829</v>
      </c>
      <c r="LH151" t="s">
        <v>1708</v>
      </c>
      <c r="LI151" t="s">
        <v>701</v>
      </c>
      <c r="LJ151" t="s">
        <v>791</v>
      </c>
      <c r="LK151" t="s">
        <v>1482</v>
      </c>
      <c r="LL151" t="s">
        <v>1009</v>
      </c>
      <c r="LM151" t="s">
        <v>835</v>
      </c>
      <c r="LN151" t="s">
        <v>1139</v>
      </c>
      <c r="LO151" t="s">
        <v>805</v>
      </c>
      <c r="LP151" t="s">
        <v>853</v>
      </c>
      <c r="LQ151" t="s">
        <v>1112</v>
      </c>
      <c r="LR151" t="s">
        <v>829</v>
      </c>
      <c r="LS151" t="s">
        <v>262</v>
      </c>
      <c r="LT151">
        <v>1</v>
      </c>
      <c r="LU151">
        <v>0</v>
      </c>
      <c r="LV151" t="s">
        <v>826</v>
      </c>
      <c r="LW151" t="s">
        <v>800</v>
      </c>
      <c r="LX151" t="s">
        <v>796</v>
      </c>
      <c r="LY151" t="s">
        <v>793</v>
      </c>
      <c r="LZ151" t="s">
        <v>793</v>
      </c>
      <c r="MA151" t="s">
        <v>796</v>
      </c>
      <c r="MB151" t="s">
        <v>795</v>
      </c>
      <c r="MC151" t="s">
        <v>794</v>
      </c>
      <c r="MD151" t="s">
        <v>792</v>
      </c>
      <c r="ME151" t="s">
        <v>792</v>
      </c>
      <c r="MF151" t="s">
        <v>796</v>
      </c>
      <c r="MG151" t="s">
        <v>1359</v>
      </c>
      <c r="MH151" t="s">
        <v>623</v>
      </c>
      <c r="MI151">
        <v>1</v>
      </c>
      <c r="MJ151">
        <v>0</v>
      </c>
      <c r="MK151" t="s">
        <v>826</v>
      </c>
      <c r="ML151" t="s">
        <v>851</v>
      </c>
      <c r="MM151" t="s">
        <v>792</v>
      </c>
      <c r="MN151" t="s">
        <v>792</v>
      </c>
      <c r="MO151" t="s">
        <v>793</v>
      </c>
      <c r="MP151" t="s">
        <v>792</v>
      </c>
      <c r="MQ151" t="s">
        <v>795</v>
      </c>
      <c r="MR151" t="s">
        <v>806</v>
      </c>
      <c r="MS151" t="s">
        <v>793</v>
      </c>
      <c r="MT151" t="s">
        <v>703</v>
      </c>
      <c r="MU151" t="s">
        <v>811</v>
      </c>
      <c r="MV151" t="s">
        <v>1808</v>
      </c>
      <c r="MW151" t="s">
        <v>227</v>
      </c>
      <c r="MX151">
        <v>1</v>
      </c>
      <c r="MY151">
        <v>1</v>
      </c>
      <c r="MZ151" t="s">
        <v>809</v>
      </c>
      <c r="NA151" t="s">
        <v>804</v>
      </c>
      <c r="NB151" t="s">
        <v>796</v>
      </c>
      <c r="NC151" t="s">
        <v>703</v>
      </c>
      <c r="ND151" t="s">
        <v>703</v>
      </c>
      <c r="NE151" t="s">
        <v>796</v>
      </c>
      <c r="NF151" t="s">
        <v>806</v>
      </c>
      <c r="NG151" t="s">
        <v>795</v>
      </c>
      <c r="NH151" t="s">
        <v>796</v>
      </c>
      <c r="NI151" t="s">
        <v>703</v>
      </c>
      <c r="NJ151" t="s">
        <v>796</v>
      </c>
      <c r="NK151" t="s">
        <v>1312</v>
      </c>
      <c r="NL151" t="s">
        <v>599</v>
      </c>
      <c r="NM151">
        <v>1</v>
      </c>
      <c r="NN151">
        <v>0</v>
      </c>
      <c r="NO151" t="s">
        <v>810</v>
      </c>
      <c r="NP151" t="s">
        <v>792</v>
      </c>
      <c r="NQ151" t="s">
        <v>792</v>
      </c>
      <c r="NR151" t="s">
        <v>796</v>
      </c>
      <c r="NS151" t="s">
        <v>792</v>
      </c>
      <c r="NT151" t="s">
        <v>796</v>
      </c>
      <c r="NU151" t="s">
        <v>795</v>
      </c>
      <c r="NV151" t="s">
        <v>795</v>
      </c>
      <c r="NW151" t="s">
        <v>796</v>
      </c>
      <c r="NX151" t="s">
        <v>817</v>
      </c>
      <c r="NY151" t="s">
        <v>796</v>
      </c>
      <c r="NZ151" t="s">
        <v>1842</v>
      </c>
    </row>
    <row r="152" spans="1:390" x14ac:dyDescent="0.25">
      <c r="A152" t="s">
        <v>148</v>
      </c>
      <c r="B152">
        <v>1</v>
      </c>
      <c r="C152">
        <v>0</v>
      </c>
      <c r="D152" t="s">
        <v>701</v>
      </c>
      <c r="E152" t="s">
        <v>792</v>
      </c>
      <c r="F152" t="s">
        <v>707</v>
      </c>
      <c r="G152" t="s">
        <v>707</v>
      </c>
      <c r="H152" t="s">
        <v>792</v>
      </c>
      <c r="I152" t="s">
        <v>703</v>
      </c>
      <c r="J152" t="s">
        <v>795</v>
      </c>
      <c r="K152" t="s">
        <v>806</v>
      </c>
      <c r="L152" t="s">
        <v>792</v>
      </c>
      <c r="M152" t="s">
        <v>792</v>
      </c>
      <c r="N152" t="s">
        <v>823</v>
      </c>
      <c r="O152" t="s">
        <v>703</v>
      </c>
      <c r="P152" t="s">
        <v>353</v>
      </c>
      <c r="Q152">
        <v>1</v>
      </c>
      <c r="R152">
        <v>0</v>
      </c>
      <c r="S152" t="s">
        <v>793</v>
      </c>
      <c r="T152" t="s">
        <v>796</v>
      </c>
      <c r="U152" t="s">
        <v>796</v>
      </c>
      <c r="V152" t="s">
        <v>796</v>
      </c>
      <c r="W152" t="s">
        <v>796</v>
      </c>
      <c r="X152" t="s">
        <v>796</v>
      </c>
      <c r="Y152" t="s">
        <v>795</v>
      </c>
      <c r="Z152" t="s">
        <v>795</v>
      </c>
      <c r="AA152" t="s">
        <v>796</v>
      </c>
      <c r="AB152" t="s">
        <v>796</v>
      </c>
      <c r="AC152" t="s">
        <v>796</v>
      </c>
      <c r="AD152" t="s">
        <v>796</v>
      </c>
      <c r="AE152" t="s">
        <v>235</v>
      </c>
      <c r="AF152">
        <v>1</v>
      </c>
      <c r="AG152">
        <v>0</v>
      </c>
      <c r="AH152" t="s">
        <v>853</v>
      </c>
      <c r="AI152" t="s">
        <v>792</v>
      </c>
      <c r="AJ152" t="s">
        <v>707</v>
      </c>
      <c r="AK152" t="s">
        <v>793</v>
      </c>
      <c r="AL152" t="s">
        <v>817</v>
      </c>
      <c r="AM152" t="s">
        <v>707</v>
      </c>
      <c r="AN152" t="s">
        <v>795</v>
      </c>
      <c r="AO152" t="s">
        <v>794</v>
      </c>
      <c r="AP152" t="s">
        <v>707</v>
      </c>
      <c r="AQ152" t="s">
        <v>703</v>
      </c>
      <c r="AR152" t="s">
        <v>707</v>
      </c>
      <c r="AS152" t="s">
        <v>1069</v>
      </c>
      <c r="AT152" t="s">
        <v>485</v>
      </c>
      <c r="AU152">
        <v>1</v>
      </c>
      <c r="AV152">
        <v>0</v>
      </c>
      <c r="AW152" t="s">
        <v>859</v>
      </c>
      <c r="AX152" t="s">
        <v>796</v>
      </c>
      <c r="AY152" t="s">
        <v>796</v>
      </c>
      <c r="AZ152" t="s">
        <v>707</v>
      </c>
      <c r="BA152" t="s">
        <v>707</v>
      </c>
      <c r="BB152" t="s">
        <v>707</v>
      </c>
      <c r="BC152" t="s">
        <v>795</v>
      </c>
      <c r="BD152" t="s">
        <v>795</v>
      </c>
      <c r="BE152" t="s">
        <v>796</v>
      </c>
      <c r="BF152" t="s">
        <v>707</v>
      </c>
      <c r="BG152" t="s">
        <v>796</v>
      </c>
      <c r="BH152" t="s">
        <v>1110</v>
      </c>
      <c r="BI152" t="s">
        <v>510</v>
      </c>
      <c r="BJ152">
        <v>1</v>
      </c>
      <c r="BK152">
        <v>1</v>
      </c>
      <c r="BL152" t="s">
        <v>809</v>
      </c>
      <c r="BM152" t="s">
        <v>859</v>
      </c>
      <c r="BN152" t="s">
        <v>796</v>
      </c>
      <c r="BO152" t="s">
        <v>703</v>
      </c>
      <c r="BP152" t="s">
        <v>703</v>
      </c>
      <c r="BQ152" t="s">
        <v>793</v>
      </c>
      <c r="BR152" t="s">
        <v>795</v>
      </c>
      <c r="BS152" t="s">
        <v>795</v>
      </c>
      <c r="BT152" t="s">
        <v>792</v>
      </c>
      <c r="BU152" t="s">
        <v>793</v>
      </c>
      <c r="BV152" t="s">
        <v>792</v>
      </c>
      <c r="BW152" t="s">
        <v>1142</v>
      </c>
      <c r="BX152" t="s">
        <v>516</v>
      </c>
      <c r="BY152">
        <v>1</v>
      </c>
      <c r="BZ152">
        <v>1</v>
      </c>
      <c r="CA152" t="s">
        <v>797</v>
      </c>
      <c r="CB152" t="s">
        <v>792</v>
      </c>
      <c r="CC152" t="s">
        <v>707</v>
      </c>
      <c r="CD152" t="s">
        <v>792</v>
      </c>
      <c r="CE152" t="s">
        <v>703</v>
      </c>
      <c r="CF152" t="s">
        <v>796</v>
      </c>
      <c r="CG152" t="s">
        <v>795</v>
      </c>
      <c r="CH152" t="s">
        <v>795</v>
      </c>
      <c r="CI152" t="s">
        <v>707</v>
      </c>
      <c r="CJ152" t="s">
        <v>817</v>
      </c>
      <c r="CK152" t="s">
        <v>796</v>
      </c>
      <c r="CL152" t="s">
        <v>1187</v>
      </c>
      <c r="CM152" t="s">
        <v>84</v>
      </c>
      <c r="CN152">
        <v>1</v>
      </c>
      <c r="CO152">
        <v>0</v>
      </c>
      <c r="CP152" t="s">
        <v>803</v>
      </c>
      <c r="CQ152" t="s">
        <v>793</v>
      </c>
      <c r="CR152" t="s">
        <v>796</v>
      </c>
      <c r="CS152" t="s">
        <v>707</v>
      </c>
      <c r="CT152" t="s">
        <v>707</v>
      </c>
      <c r="CU152" t="s">
        <v>703</v>
      </c>
      <c r="CV152" t="s">
        <v>1139</v>
      </c>
      <c r="CW152" t="s">
        <v>795</v>
      </c>
      <c r="CX152" t="s">
        <v>707</v>
      </c>
      <c r="CY152" t="s">
        <v>707</v>
      </c>
      <c r="CZ152" t="s">
        <v>703</v>
      </c>
      <c r="DA152" t="s">
        <v>1279</v>
      </c>
      <c r="DB152" t="s">
        <v>278</v>
      </c>
      <c r="DC152">
        <v>1</v>
      </c>
      <c r="DD152">
        <v>0</v>
      </c>
      <c r="DE152" t="s">
        <v>826</v>
      </c>
      <c r="DF152" t="s">
        <v>804</v>
      </c>
      <c r="DG152" t="s">
        <v>796</v>
      </c>
      <c r="DH152" t="s">
        <v>707</v>
      </c>
      <c r="DI152" t="s">
        <v>707</v>
      </c>
      <c r="DJ152" t="s">
        <v>703</v>
      </c>
      <c r="DK152" t="s">
        <v>795</v>
      </c>
      <c r="DL152" t="s">
        <v>795</v>
      </c>
      <c r="DM152" t="s">
        <v>792</v>
      </c>
      <c r="DN152" t="s">
        <v>703</v>
      </c>
      <c r="DO152" t="s">
        <v>823</v>
      </c>
      <c r="DP152" t="s">
        <v>1008</v>
      </c>
      <c r="DQ152" t="s">
        <v>128</v>
      </c>
      <c r="DR152">
        <v>1</v>
      </c>
      <c r="DS152">
        <v>0</v>
      </c>
      <c r="DT152" t="s">
        <v>859</v>
      </c>
      <c r="DU152" t="s">
        <v>796</v>
      </c>
      <c r="DV152" t="s">
        <v>796</v>
      </c>
      <c r="DW152" t="s">
        <v>707</v>
      </c>
      <c r="DX152" t="s">
        <v>707</v>
      </c>
      <c r="DY152" t="s">
        <v>792</v>
      </c>
      <c r="DZ152" t="s">
        <v>795</v>
      </c>
      <c r="EA152" t="s">
        <v>795</v>
      </c>
      <c r="EB152" t="s">
        <v>796</v>
      </c>
      <c r="EC152" t="s">
        <v>707</v>
      </c>
      <c r="ED152" t="s">
        <v>796</v>
      </c>
      <c r="EE152" t="s">
        <v>1510</v>
      </c>
      <c r="EF152" t="s">
        <v>317</v>
      </c>
      <c r="EG152">
        <v>1</v>
      </c>
      <c r="EH152">
        <v>0</v>
      </c>
      <c r="EI152" t="s">
        <v>1023</v>
      </c>
      <c r="EJ152" t="s">
        <v>796</v>
      </c>
      <c r="EK152" t="s">
        <v>703</v>
      </c>
      <c r="EL152" t="s">
        <v>793</v>
      </c>
      <c r="EM152" t="s">
        <v>851</v>
      </c>
      <c r="EN152" t="s">
        <v>707</v>
      </c>
      <c r="EO152" t="s">
        <v>795</v>
      </c>
      <c r="EP152" t="s">
        <v>806</v>
      </c>
      <c r="EQ152" t="s">
        <v>796</v>
      </c>
      <c r="ER152" t="s">
        <v>792</v>
      </c>
      <c r="ES152" t="s">
        <v>796</v>
      </c>
      <c r="ET152" t="s">
        <v>1538</v>
      </c>
      <c r="EU152" t="s">
        <v>610</v>
      </c>
      <c r="EV152">
        <v>1</v>
      </c>
      <c r="EW152">
        <v>0</v>
      </c>
      <c r="EX152" t="s">
        <v>810</v>
      </c>
      <c r="EY152" t="s">
        <v>707</v>
      </c>
      <c r="EZ152" t="s">
        <v>796</v>
      </c>
      <c r="FA152" t="s">
        <v>793</v>
      </c>
      <c r="FB152" t="s">
        <v>793</v>
      </c>
      <c r="FC152" t="s">
        <v>707</v>
      </c>
      <c r="FD152" t="s">
        <v>795</v>
      </c>
      <c r="FE152" t="s">
        <v>795</v>
      </c>
      <c r="FF152" t="s">
        <v>707</v>
      </c>
      <c r="FG152" t="s">
        <v>796</v>
      </c>
      <c r="FH152" t="s">
        <v>707</v>
      </c>
      <c r="FI152" t="s">
        <v>1149</v>
      </c>
      <c r="FJ152" t="s">
        <v>162</v>
      </c>
      <c r="FK152">
        <v>1</v>
      </c>
      <c r="FL152">
        <v>0</v>
      </c>
      <c r="FM152" t="s">
        <v>701</v>
      </c>
      <c r="FN152" t="s">
        <v>792</v>
      </c>
      <c r="FO152" t="s">
        <v>796</v>
      </c>
      <c r="FP152" t="s">
        <v>703</v>
      </c>
      <c r="FQ152" t="s">
        <v>703</v>
      </c>
      <c r="FR152" t="s">
        <v>707</v>
      </c>
      <c r="FS152" t="s">
        <v>795</v>
      </c>
      <c r="FT152" t="s">
        <v>795</v>
      </c>
      <c r="FU152" t="s">
        <v>796</v>
      </c>
      <c r="FV152" t="s">
        <v>707</v>
      </c>
      <c r="FW152" t="s">
        <v>796</v>
      </c>
      <c r="FX152" t="s">
        <v>823</v>
      </c>
      <c r="FY152" t="s">
        <v>218</v>
      </c>
      <c r="FZ152">
        <v>1</v>
      </c>
      <c r="GA152">
        <v>0</v>
      </c>
      <c r="GB152" t="s">
        <v>697</v>
      </c>
      <c r="GC152" t="s">
        <v>796</v>
      </c>
      <c r="GD152" t="s">
        <v>796</v>
      </c>
      <c r="GE152" t="s">
        <v>796</v>
      </c>
      <c r="GF152" t="s">
        <v>796</v>
      </c>
      <c r="GG152" t="s">
        <v>793</v>
      </c>
      <c r="GH152" t="s">
        <v>794</v>
      </c>
      <c r="GI152" t="s">
        <v>795</v>
      </c>
      <c r="GJ152" t="s">
        <v>793</v>
      </c>
      <c r="GK152" t="s">
        <v>703</v>
      </c>
      <c r="GL152" t="s">
        <v>707</v>
      </c>
      <c r="GM152" t="s">
        <v>1611</v>
      </c>
      <c r="GN152" t="s">
        <v>188</v>
      </c>
      <c r="GO152">
        <v>1</v>
      </c>
      <c r="GP152">
        <v>0</v>
      </c>
      <c r="GQ152" t="s">
        <v>703</v>
      </c>
      <c r="GR152" t="s">
        <v>796</v>
      </c>
      <c r="GS152" t="s">
        <v>796</v>
      </c>
      <c r="GT152" t="s">
        <v>796</v>
      </c>
      <c r="GU152" t="s">
        <v>796</v>
      </c>
      <c r="GV152" t="s">
        <v>796</v>
      </c>
      <c r="GW152" t="s">
        <v>795</v>
      </c>
      <c r="GX152" t="s">
        <v>795</v>
      </c>
      <c r="GY152" t="s">
        <v>796</v>
      </c>
      <c r="GZ152" t="s">
        <v>707</v>
      </c>
      <c r="HA152" t="s">
        <v>796</v>
      </c>
      <c r="HB152" t="s">
        <v>1630</v>
      </c>
      <c r="HC152" t="s">
        <v>194</v>
      </c>
      <c r="HD152">
        <v>1</v>
      </c>
      <c r="HE152">
        <v>1</v>
      </c>
      <c r="HF152" t="s">
        <v>1104</v>
      </c>
      <c r="HG152" t="s">
        <v>851</v>
      </c>
      <c r="HH152" t="s">
        <v>792</v>
      </c>
      <c r="HI152" t="s">
        <v>703</v>
      </c>
      <c r="HJ152" t="s">
        <v>817</v>
      </c>
      <c r="HK152" t="s">
        <v>707</v>
      </c>
      <c r="HL152" t="s">
        <v>806</v>
      </c>
      <c r="HM152" t="s">
        <v>795</v>
      </c>
      <c r="HN152" t="s">
        <v>707</v>
      </c>
      <c r="HO152" t="s">
        <v>796</v>
      </c>
      <c r="HP152" t="s">
        <v>707</v>
      </c>
      <c r="HQ152" t="s">
        <v>1107</v>
      </c>
      <c r="HR152" t="s">
        <v>828</v>
      </c>
      <c r="HS152">
        <v>1</v>
      </c>
      <c r="HT152" t="s">
        <v>829</v>
      </c>
      <c r="HU152" t="s">
        <v>829</v>
      </c>
      <c r="HV152" t="s">
        <v>1678</v>
      </c>
      <c r="HW152" t="s">
        <v>805</v>
      </c>
      <c r="HX152" t="s">
        <v>1002</v>
      </c>
      <c r="HY152" t="s">
        <v>887</v>
      </c>
      <c r="HZ152" t="s">
        <v>803</v>
      </c>
      <c r="IA152" t="s">
        <v>1022</v>
      </c>
      <c r="IB152" t="s">
        <v>1021</v>
      </c>
      <c r="IC152" t="s">
        <v>810</v>
      </c>
      <c r="ID152" t="s">
        <v>798</v>
      </c>
      <c r="IE152" t="s">
        <v>823</v>
      </c>
      <c r="IF152" t="s">
        <v>829</v>
      </c>
      <c r="IG152" t="s">
        <v>828</v>
      </c>
      <c r="IH152">
        <v>1</v>
      </c>
      <c r="II152" t="s">
        <v>829</v>
      </c>
      <c r="IJ152" t="s">
        <v>829</v>
      </c>
      <c r="IK152" t="s">
        <v>1695</v>
      </c>
      <c r="IL152" t="s">
        <v>1023</v>
      </c>
      <c r="IM152" t="s">
        <v>1451</v>
      </c>
      <c r="IN152" t="s">
        <v>1633</v>
      </c>
      <c r="IO152" t="s">
        <v>998</v>
      </c>
      <c r="IP152" t="s">
        <v>835</v>
      </c>
      <c r="IQ152" t="s">
        <v>1560</v>
      </c>
      <c r="IR152" t="s">
        <v>800</v>
      </c>
      <c r="IS152" t="s">
        <v>826</v>
      </c>
      <c r="IT152" t="s">
        <v>1513</v>
      </c>
      <c r="IU152" t="s">
        <v>829</v>
      </c>
      <c r="IV152" t="s">
        <v>219</v>
      </c>
      <c r="IW152">
        <v>1</v>
      </c>
      <c r="IX152">
        <v>0</v>
      </c>
      <c r="IY152" t="s">
        <v>804</v>
      </c>
      <c r="IZ152" t="s">
        <v>792</v>
      </c>
      <c r="JA152" t="s">
        <v>796</v>
      </c>
      <c r="JB152" t="s">
        <v>707</v>
      </c>
      <c r="JC152" t="s">
        <v>707</v>
      </c>
      <c r="JD152" t="s">
        <v>796</v>
      </c>
      <c r="JE152" t="s">
        <v>795</v>
      </c>
      <c r="JF152" t="s">
        <v>795</v>
      </c>
      <c r="JG152" t="s">
        <v>796</v>
      </c>
      <c r="JH152" t="s">
        <v>792</v>
      </c>
      <c r="JI152" t="s">
        <v>796</v>
      </c>
      <c r="JJ152" t="s">
        <v>1706</v>
      </c>
      <c r="JK152" t="s">
        <v>350</v>
      </c>
      <c r="JL152">
        <v>1</v>
      </c>
      <c r="JM152">
        <v>0</v>
      </c>
      <c r="JN152" t="s">
        <v>701</v>
      </c>
      <c r="JO152" t="s">
        <v>796</v>
      </c>
      <c r="JP152" t="s">
        <v>796</v>
      </c>
      <c r="JQ152" t="s">
        <v>792</v>
      </c>
      <c r="JR152" t="s">
        <v>792</v>
      </c>
      <c r="JS152" t="s">
        <v>707</v>
      </c>
      <c r="JT152" t="s">
        <v>795</v>
      </c>
      <c r="JU152" t="s">
        <v>795</v>
      </c>
      <c r="JV152" t="s">
        <v>707</v>
      </c>
      <c r="JW152" t="s">
        <v>707</v>
      </c>
      <c r="JX152" t="s">
        <v>707</v>
      </c>
      <c r="JY152" t="s">
        <v>1730</v>
      </c>
      <c r="JZ152" t="s">
        <v>445</v>
      </c>
      <c r="KA152">
        <v>1</v>
      </c>
      <c r="KB152">
        <v>0</v>
      </c>
      <c r="KC152" t="s">
        <v>805</v>
      </c>
      <c r="KD152" t="s">
        <v>796</v>
      </c>
      <c r="KE152" t="s">
        <v>707</v>
      </c>
      <c r="KF152" t="s">
        <v>796</v>
      </c>
      <c r="KG152" t="s">
        <v>707</v>
      </c>
      <c r="KH152" t="s">
        <v>796</v>
      </c>
      <c r="KI152" t="s">
        <v>795</v>
      </c>
      <c r="KJ152" t="s">
        <v>795</v>
      </c>
      <c r="KK152" t="s">
        <v>796</v>
      </c>
      <c r="KL152" t="s">
        <v>793</v>
      </c>
      <c r="KM152" t="s">
        <v>796</v>
      </c>
      <c r="KN152" t="s">
        <v>1747</v>
      </c>
      <c r="KO152" t="s">
        <v>618</v>
      </c>
      <c r="KP152">
        <v>1</v>
      </c>
      <c r="KQ152">
        <v>0</v>
      </c>
      <c r="KR152" t="s">
        <v>810</v>
      </c>
      <c r="KS152" t="s">
        <v>703</v>
      </c>
      <c r="KT152" t="s">
        <v>796</v>
      </c>
      <c r="KU152" t="s">
        <v>707</v>
      </c>
      <c r="KV152" t="s">
        <v>707</v>
      </c>
      <c r="KW152" t="s">
        <v>796</v>
      </c>
      <c r="KX152" t="s">
        <v>795</v>
      </c>
      <c r="KY152" t="s">
        <v>795</v>
      </c>
      <c r="KZ152" t="s">
        <v>792</v>
      </c>
      <c r="LA152" t="s">
        <v>703</v>
      </c>
      <c r="LB152" t="s">
        <v>796</v>
      </c>
      <c r="LC152" t="s">
        <v>1759</v>
      </c>
      <c r="LD152" t="s">
        <v>837</v>
      </c>
      <c r="LS152" t="s">
        <v>255</v>
      </c>
      <c r="LT152">
        <v>1</v>
      </c>
      <c r="LU152">
        <v>0</v>
      </c>
      <c r="LV152" t="s">
        <v>1023</v>
      </c>
      <c r="LW152" t="s">
        <v>804</v>
      </c>
      <c r="LX152" t="s">
        <v>707</v>
      </c>
      <c r="LY152" t="s">
        <v>792</v>
      </c>
      <c r="LZ152" t="s">
        <v>703</v>
      </c>
      <c r="MA152" t="s">
        <v>796</v>
      </c>
      <c r="MB152" t="s">
        <v>795</v>
      </c>
      <c r="MC152" t="s">
        <v>806</v>
      </c>
      <c r="MD152" t="s">
        <v>703</v>
      </c>
      <c r="ME152" t="s">
        <v>792</v>
      </c>
      <c r="MF152" t="s">
        <v>796</v>
      </c>
      <c r="MG152" t="s">
        <v>1251</v>
      </c>
      <c r="MH152" t="s">
        <v>466</v>
      </c>
      <c r="MI152">
        <v>1</v>
      </c>
      <c r="MJ152">
        <v>0</v>
      </c>
      <c r="MK152" t="s">
        <v>809</v>
      </c>
      <c r="ML152" t="s">
        <v>851</v>
      </c>
      <c r="MM152" t="s">
        <v>796</v>
      </c>
      <c r="MN152" t="s">
        <v>707</v>
      </c>
      <c r="MO152" t="s">
        <v>707</v>
      </c>
      <c r="MP152" t="s">
        <v>817</v>
      </c>
      <c r="MQ152" t="s">
        <v>795</v>
      </c>
      <c r="MR152" t="s">
        <v>795</v>
      </c>
      <c r="MS152" t="s">
        <v>792</v>
      </c>
      <c r="MT152" t="s">
        <v>707</v>
      </c>
      <c r="MU152" t="s">
        <v>1007</v>
      </c>
      <c r="MV152" t="s">
        <v>1809</v>
      </c>
      <c r="MW152" t="s">
        <v>499</v>
      </c>
      <c r="MX152">
        <v>1</v>
      </c>
      <c r="MY152">
        <v>0</v>
      </c>
      <c r="MZ152" t="s">
        <v>821</v>
      </c>
      <c r="NA152" t="s">
        <v>815</v>
      </c>
      <c r="NB152" t="s">
        <v>796</v>
      </c>
      <c r="NC152" t="s">
        <v>796</v>
      </c>
      <c r="ND152" t="s">
        <v>796</v>
      </c>
      <c r="NE152" t="s">
        <v>792</v>
      </c>
      <c r="NF152" t="s">
        <v>795</v>
      </c>
      <c r="NG152" t="s">
        <v>795</v>
      </c>
      <c r="NH152" t="s">
        <v>707</v>
      </c>
      <c r="NI152" t="s">
        <v>796</v>
      </c>
      <c r="NJ152" t="s">
        <v>792</v>
      </c>
      <c r="NK152" t="s">
        <v>817</v>
      </c>
      <c r="NL152" t="s">
        <v>281</v>
      </c>
      <c r="NM152">
        <v>1</v>
      </c>
      <c r="NN152">
        <v>0</v>
      </c>
      <c r="NO152" t="s">
        <v>792</v>
      </c>
      <c r="NP152" t="s">
        <v>796</v>
      </c>
      <c r="NQ152" t="s">
        <v>796</v>
      </c>
      <c r="NR152" t="s">
        <v>707</v>
      </c>
      <c r="NS152" t="s">
        <v>707</v>
      </c>
      <c r="NT152" t="s">
        <v>796</v>
      </c>
      <c r="NU152" t="s">
        <v>795</v>
      </c>
      <c r="NV152" t="s">
        <v>795</v>
      </c>
      <c r="NW152" t="s">
        <v>796</v>
      </c>
      <c r="NX152" t="s">
        <v>796</v>
      </c>
      <c r="NY152" t="s">
        <v>796</v>
      </c>
      <c r="NZ152" t="s">
        <v>1843</v>
      </c>
    </row>
    <row r="153" spans="1:390" x14ac:dyDescent="0.25">
      <c r="A153" t="s">
        <v>142</v>
      </c>
      <c r="B153">
        <v>1</v>
      </c>
      <c r="C153">
        <v>1</v>
      </c>
      <c r="D153" t="s">
        <v>798</v>
      </c>
      <c r="E153" t="s">
        <v>804</v>
      </c>
      <c r="F153" t="s">
        <v>796</v>
      </c>
      <c r="G153" t="s">
        <v>703</v>
      </c>
      <c r="H153" t="s">
        <v>703</v>
      </c>
      <c r="I153" t="s">
        <v>792</v>
      </c>
      <c r="J153" t="s">
        <v>806</v>
      </c>
      <c r="K153" t="s">
        <v>795</v>
      </c>
      <c r="L153" t="s">
        <v>796</v>
      </c>
      <c r="M153" t="s">
        <v>707</v>
      </c>
      <c r="N153" t="s">
        <v>796</v>
      </c>
      <c r="O153" t="s">
        <v>813</v>
      </c>
      <c r="P153" t="s">
        <v>315</v>
      </c>
      <c r="Q153" s="270">
        <v>1</v>
      </c>
      <c r="R153">
        <v>1</v>
      </c>
      <c r="S153" t="s">
        <v>1009</v>
      </c>
      <c r="T153" t="s">
        <v>792</v>
      </c>
      <c r="U153" t="s">
        <v>707</v>
      </c>
      <c r="V153" t="s">
        <v>792</v>
      </c>
      <c r="W153" t="s">
        <v>703</v>
      </c>
      <c r="X153" t="s">
        <v>707</v>
      </c>
      <c r="Y153" t="s">
        <v>795</v>
      </c>
      <c r="Z153" t="s">
        <v>795</v>
      </c>
      <c r="AA153" t="s">
        <v>703</v>
      </c>
      <c r="AB153" t="s">
        <v>792</v>
      </c>
      <c r="AC153" t="s">
        <v>1010</v>
      </c>
      <c r="AD153" t="s">
        <v>1011</v>
      </c>
      <c r="AE153" t="s">
        <v>230</v>
      </c>
      <c r="AF153">
        <v>1</v>
      </c>
      <c r="AG153">
        <v>0</v>
      </c>
      <c r="AH153" t="s">
        <v>821</v>
      </c>
      <c r="AI153" t="s">
        <v>792</v>
      </c>
      <c r="AJ153" t="s">
        <v>796</v>
      </c>
      <c r="AK153" t="s">
        <v>707</v>
      </c>
      <c r="AL153" t="s">
        <v>707</v>
      </c>
      <c r="AM153" t="s">
        <v>707</v>
      </c>
      <c r="AN153" t="s">
        <v>794</v>
      </c>
      <c r="AO153" t="s">
        <v>795</v>
      </c>
      <c r="AP153" t="s">
        <v>707</v>
      </c>
      <c r="AQ153" t="s">
        <v>792</v>
      </c>
      <c r="AR153" t="s">
        <v>707</v>
      </c>
      <c r="AS153" t="s">
        <v>1068</v>
      </c>
      <c r="AT153" t="s">
        <v>828</v>
      </c>
      <c r="AU153">
        <v>1</v>
      </c>
      <c r="AV153" t="s">
        <v>829</v>
      </c>
      <c r="AW153" t="s">
        <v>829</v>
      </c>
      <c r="AX153" t="s">
        <v>1111</v>
      </c>
      <c r="AY153" t="s">
        <v>817</v>
      </c>
      <c r="AZ153" t="s">
        <v>693</v>
      </c>
      <c r="BA153" t="s">
        <v>1002</v>
      </c>
      <c r="BB153" t="s">
        <v>826</v>
      </c>
      <c r="BC153" t="s">
        <v>835</v>
      </c>
      <c r="BD153" t="s">
        <v>801</v>
      </c>
      <c r="BE153" t="s">
        <v>697</v>
      </c>
      <c r="BF153" t="s">
        <v>1005</v>
      </c>
      <c r="BG153" t="s">
        <v>1112</v>
      </c>
      <c r="BH153" t="s">
        <v>829</v>
      </c>
      <c r="BI153" t="s">
        <v>627</v>
      </c>
      <c r="BJ153">
        <v>1</v>
      </c>
      <c r="BK153">
        <v>0</v>
      </c>
      <c r="BL153" t="s">
        <v>793</v>
      </c>
      <c r="BM153" t="s">
        <v>796</v>
      </c>
      <c r="BN153" t="s">
        <v>796</v>
      </c>
      <c r="BO153" t="s">
        <v>796</v>
      </c>
      <c r="BP153" t="s">
        <v>796</v>
      </c>
      <c r="BQ153" t="s">
        <v>796</v>
      </c>
      <c r="BR153" t="s">
        <v>795</v>
      </c>
      <c r="BS153" t="s">
        <v>795</v>
      </c>
      <c r="BT153" t="s">
        <v>796</v>
      </c>
      <c r="BU153" t="s">
        <v>796</v>
      </c>
      <c r="BV153" t="s">
        <v>796</v>
      </c>
      <c r="BW153" t="s">
        <v>796</v>
      </c>
      <c r="BX153" t="s">
        <v>828</v>
      </c>
      <c r="BY153">
        <v>1</v>
      </c>
      <c r="BZ153" t="s">
        <v>829</v>
      </c>
      <c r="CA153" t="s">
        <v>829</v>
      </c>
      <c r="CB153" t="s">
        <v>1189</v>
      </c>
      <c r="CC153" t="s">
        <v>815</v>
      </c>
      <c r="CD153" t="s">
        <v>798</v>
      </c>
      <c r="CE153" t="s">
        <v>833</v>
      </c>
      <c r="CF153" t="s">
        <v>803</v>
      </c>
      <c r="CG153" t="s">
        <v>1190</v>
      </c>
      <c r="CH153" t="s">
        <v>835</v>
      </c>
      <c r="CI153" t="s">
        <v>805</v>
      </c>
      <c r="CJ153" t="s">
        <v>803</v>
      </c>
      <c r="CK153" t="s">
        <v>1191</v>
      </c>
      <c r="CL153" t="s">
        <v>829</v>
      </c>
      <c r="CM153" t="s">
        <v>828</v>
      </c>
      <c r="CN153">
        <v>1</v>
      </c>
      <c r="CO153" t="s">
        <v>829</v>
      </c>
      <c r="CP153" t="s">
        <v>829</v>
      </c>
      <c r="CQ153" t="s">
        <v>1450</v>
      </c>
      <c r="CR153" t="s">
        <v>697</v>
      </c>
      <c r="CS153" t="s">
        <v>890</v>
      </c>
      <c r="CT153" t="s">
        <v>1165</v>
      </c>
      <c r="CU153" t="s">
        <v>1451</v>
      </c>
      <c r="CV153" t="s">
        <v>1152</v>
      </c>
      <c r="CW153" t="s">
        <v>1190</v>
      </c>
      <c r="CX153" t="s">
        <v>803</v>
      </c>
      <c r="CY153" t="s">
        <v>1009</v>
      </c>
      <c r="CZ153" t="s">
        <v>1153</v>
      </c>
      <c r="DA153" t="s">
        <v>829</v>
      </c>
      <c r="DB153" t="s">
        <v>90</v>
      </c>
      <c r="DC153">
        <v>1</v>
      </c>
      <c r="DD153">
        <v>1</v>
      </c>
      <c r="DE153" t="s">
        <v>1062</v>
      </c>
      <c r="DF153" t="s">
        <v>851</v>
      </c>
      <c r="DG153" t="s">
        <v>792</v>
      </c>
      <c r="DH153" t="s">
        <v>703</v>
      </c>
      <c r="DI153" t="s">
        <v>817</v>
      </c>
      <c r="DJ153" t="s">
        <v>796</v>
      </c>
      <c r="DK153" t="s">
        <v>795</v>
      </c>
      <c r="DL153" t="s">
        <v>795</v>
      </c>
      <c r="DM153" t="s">
        <v>792</v>
      </c>
      <c r="DN153" t="s">
        <v>707</v>
      </c>
      <c r="DO153" t="s">
        <v>796</v>
      </c>
      <c r="DP153" t="s">
        <v>1013</v>
      </c>
      <c r="DQ153" t="s">
        <v>828</v>
      </c>
      <c r="DR153">
        <v>1</v>
      </c>
      <c r="DS153" t="s">
        <v>829</v>
      </c>
      <c r="DT153" t="s">
        <v>829</v>
      </c>
      <c r="DU153" t="s">
        <v>1511</v>
      </c>
      <c r="DV153" t="s">
        <v>805</v>
      </c>
      <c r="DW153" t="s">
        <v>831</v>
      </c>
      <c r="DX153" t="s">
        <v>832</v>
      </c>
      <c r="DY153" t="s">
        <v>998</v>
      </c>
      <c r="DZ153" t="s">
        <v>835</v>
      </c>
      <c r="EA153" t="s">
        <v>1512</v>
      </c>
      <c r="EB153" t="s">
        <v>800</v>
      </c>
      <c r="EC153" t="s">
        <v>826</v>
      </c>
      <c r="ED153" t="s">
        <v>1513</v>
      </c>
      <c r="EE153" t="s">
        <v>829</v>
      </c>
      <c r="EF153" t="s">
        <v>607</v>
      </c>
      <c r="EG153">
        <v>1</v>
      </c>
      <c r="EH153">
        <v>0</v>
      </c>
      <c r="EI153" t="s">
        <v>796</v>
      </c>
      <c r="EJ153" t="s">
        <v>796</v>
      </c>
      <c r="EK153" t="s">
        <v>796</v>
      </c>
      <c r="EL153" t="s">
        <v>707</v>
      </c>
      <c r="EM153" t="s">
        <v>707</v>
      </c>
      <c r="EN153" t="s">
        <v>796</v>
      </c>
      <c r="EO153" t="s">
        <v>795</v>
      </c>
      <c r="EP153" t="s">
        <v>795</v>
      </c>
      <c r="EQ153" t="s">
        <v>796</v>
      </c>
      <c r="ER153" t="s">
        <v>796</v>
      </c>
      <c r="ES153" t="s">
        <v>796</v>
      </c>
      <c r="ET153" t="s">
        <v>796</v>
      </c>
      <c r="EU153" t="s">
        <v>828</v>
      </c>
      <c r="EV153">
        <v>1</v>
      </c>
      <c r="EW153" t="s">
        <v>829</v>
      </c>
      <c r="EX153" t="s">
        <v>829</v>
      </c>
      <c r="EY153" t="s">
        <v>1511</v>
      </c>
      <c r="EZ153" t="s">
        <v>805</v>
      </c>
      <c r="FA153" t="s">
        <v>1165</v>
      </c>
      <c r="FB153" t="s">
        <v>1207</v>
      </c>
      <c r="FC153" t="s">
        <v>1005</v>
      </c>
      <c r="FD153" t="s">
        <v>1560</v>
      </c>
      <c r="FE153" t="s">
        <v>794</v>
      </c>
      <c r="FF153" t="s">
        <v>1020</v>
      </c>
      <c r="FG153" t="s">
        <v>826</v>
      </c>
      <c r="FH153" t="s">
        <v>1056</v>
      </c>
      <c r="FI153" t="s">
        <v>829</v>
      </c>
      <c r="FJ153" t="s">
        <v>159</v>
      </c>
      <c r="FK153">
        <v>1</v>
      </c>
      <c r="FL153">
        <v>1</v>
      </c>
      <c r="FM153" t="s">
        <v>1096</v>
      </c>
      <c r="FN153" t="s">
        <v>793</v>
      </c>
      <c r="FO153" t="s">
        <v>796</v>
      </c>
      <c r="FP153" t="s">
        <v>796</v>
      </c>
      <c r="FQ153" t="s">
        <v>796</v>
      </c>
      <c r="FR153" t="s">
        <v>703</v>
      </c>
      <c r="FS153" t="s">
        <v>794</v>
      </c>
      <c r="FT153" t="s">
        <v>795</v>
      </c>
      <c r="FU153" t="s">
        <v>707</v>
      </c>
      <c r="FV153" t="s">
        <v>792</v>
      </c>
      <c r="FW153" t="s">
        <v>703</v>
      </c>
      <c r="FX153" t="s">
        <v>1010</v>
      </c>
      <c r="FY153" t="s">
        <v>828</v>
      </c>
      <c r="FZ153">
        <v>1</v>
      </c>
      <c r="GA153" t="s">
        <v>829</v>
      </c>
      <c r="GB153" t="s">
        <v>829</v>
      </c>
      <c r="GC153" t="s">
        <v>1612</v>
      </c>
      <c r="GD153" t="s">
        <v>800</v>
      </c>
      <c r="GE153" t="s">
        <v>693</v>
      </c>
      <c r="GF153" t="s">
        <v>1096</v>
      </c>
      <c r="GG153" t="s">
        <v>693</v>
      </c>
      <c r="GH153" t="s">
        <v>1512</v>
      </c>
      <c r="GI153" t="s">
        <v>806</v>
      </c>
      <c r="GJ153" t="s">
        <v>701</v>
      </c>
      <c r="GK153" t="s">
        <v>799</v>
      </c>
      <c r="GL153" t="s">
        <v>1014</v>
      </c>
      <c r="GM153" t="s">
        <v>829</v>
      </c>
      <c r="GN153" t="s">
        <v>187</v>
      </c>
      <c r="GO153">
        <v>1</v>
      </c>
      <c r="GP153">
        <v>0</v>
      </c>
      <c r="GQ153" t="s">
        <v>800</v>
      </c>
      <c r="GR153" t="s">
        <v>796</v>
      </c>
      <c r="GS153" t="s">
        <v>796</v>
      </c>
      <c r="GT153" t="s">
        <v>796</v>
      </c>
      <c r="GU153" t="s">
        <v>796</v>
      </c>
      <c r="GV153" t="s">
        <v>796</v>
      </c>
      <c r="GW153" t="s">
        <v>795</v>
      </c>
      <c r="GX153" t="s">
        <v>795</v>
      </c>
      <c r="GY153" t="s">
        <v>707</v>
      </c>
      <c r="GZ153" t="s">
        <v>796</v>
      </c>
      <c r="HA153" t="s">
        <v>796</v>
      </c>
      <c r="HB153" t="s">
        <v>1631</v>
      </c>
      <c r="HC153" t="s">
        <v>392</v>
      </c>
      <c r="HD153">
        <v>1</v>
      </c>
      <c r="HE153">
        <v>1</v>
      </c>
      <c r="HF153" t="s">
        <v>998</v>
      </c>
      <c r="HG153" t="s">
        <v>804</v>
      </c>
      <c r="HH153" t="s">
        <v>796</v>
      </c>
      <c r="HI153" t="s">
        <v>703</v>
      </c>
      <c r="HJ153" t="s">
        <v>703</v>
      </c>
      <c r="HK153" t="s">
        <v>707</v>
      </c>
      <c r="HL153" t="s">
        <v>795</v>
      </c>
      <c r="HM153" t="s">
        <v>806</v>
      </c>
      <c r="HN153" t="s">
        <v>796</v>
      </c>
      <c r="HO153" t="s">
        <v>817</v>
      </c>
      <c r="HP153" t="s">
        <v>796</v>
      </c>
      <c r="HQ153" t="s">
        <v>707</v>
      </c>
      <c r="HR153" t="s">
        <v>837</v>
      </c>
      <c r="IG153" t="s">
        <v>837</v>
      </c>
      <c r="IV153" t="s">
        <v>468</v>
      </c>
      <c r="IW153">
        <v>1</v>
      </c>
      <c r="IX153">
        <v>1</v>
      </c>
      <c r="IY153" t="s">
        <v>998</v>
      </c>
      <c r="IZ153" t="s">
        <v>815</v>
      </c>
      <c r="JA153" t="s">
        <v>796</v>
      </c>
      <c r="JB153" t="s">
        <v>703</v>
      </c>
      <c r="JC153" t="s">
        <v>703</v>
      </c>
      <c r="JD153" t="s">
        <v>707</v>
      </c>
      <c r="JE153" t="s">
        <v>795</v>
      </c>
      <c r="JF153" t="s">
        <v>795</v>
      </c>
      <c r="JG153" t="s">
        <v>707</v>
      </c>
      <c r="JH153" t="s">
        <v>707</v>
      </c>
      <c r="JI153" t="s">
        <v>707</v>
      </c>
      <c r="JJ153" t="s">
        <v>1707</v>
      </c>
      <c r="JK153" t="s">
        <v>828</v>
      </c>
      <c r="JL153">
        <v>1</v>
      </c>
      <c r="JM153" t="s">
        <v>829</v>
      </c>
      <c r="JN153" t="s">
        <v>829</v>
      </c>
      <c r="JO153" t="s">
        <v>1166</v>
      </c>
      <c r="JP153" t="s">
        <v>853</v>
      </c>
      <c r="JQ153" t="s">
        <v>791</v>
      </c>
      <c r="JR153" t="s">
        <v>887</v>
      </c>
      <c r="JS153" t="s">
        <v>1009</v>
      </c>
      <c r="JT153" t="s">
        <v>1022</v>
      </c>
      <c r="JU153" t="s">
        <v>835</v>
      </c>
      <c r="JV153" t="s">
        <v>800</v>
      </c>
      <c r="JW153" t="s">
        <v>799</v>
      </c>
      <c r="JX153" t="s">
        <v>792</v>
      </c>
      <c r="JY153" t="s">
        <v>829</v>
      </c>
      <c r="JZ153" t="s">
        <v>444</v>
      </c>
      <c r="KA153">
        <v>1</v>
      </c>
      <c r="KB153">
        <v>0</v>
      </c>
      <c r="KC153" t="s">
        <v>859</v>
      </c>
      <c r="KD153" t="s">
        <v>796</v>
      </c>
      <c r="KE153" t="s">
        <v>796</v>
      </c>
      <c r="KF153" t="s">
        <v>796</v>
      </c>
      <c r="KG153" t="s">
        <v>796</v>
      </c>
      <c r="KH153" t="s">
        <v>707</v>
      </c>
      <c r="KI153" t="s">
        <v>795</v>
      </c>
      <c r="KJ153" t="s">
        <v>795</v>
      </c>
      <c r="KK153" t="s">
        <v>707</v>
      </c>
      <c r="KL153" t="s">
        <v>707</v>
      </c>
      <c r="KM153" t="s">
        <v>707</v>
      </c>
      <c r="KN153" t="s">
        <v>1748</v>
      </c>
      <c r="KO153" t="s">
        <v>828</v>
      </c>
      <c r="KP153">
        <v>1</v>
      </c>
      <c r="KQ153" t="s">
        <v>829</v>
      </c>
      <c r="KR153" t="s">
        <v>829</v>
      </c>
      <c r="KS153" t="s">
        <v>1760</v>
      </c>
      <c r="KT153" t="s">
        <v>810</v>
      </c>
      <c r="KU153" t="s">
        <v>831</v>
      </c>
      <c r="KV153" t="s">
        <v>1043</v>
      </c>
      <c r="KW153" t="s">
        <v>803</v>
      </c>
      <c r="KX153" t="s">
        <v>1560</v>
      </c>
      <c r="KY153" t="s">
        <v>801</v>
      </c>
      <c r="KZ153" t="s">
        <v>800</v>
      </c>
      <c r="LA153" t="s">
        <v>799</v>
      </c>
      <c r="LB153" t="s">
        <v>1153</v>
      </c>
      <c r="LC153" t="s">
        <v>829</v>
      </c>
      <c r="LD153" t="s">
        <v>779</v>
      </c>
      <c r="LE153" t="s">
        <v>838</v>
      </c>
      <c r="LF153" t="s">
        <v>839</v>
      </c>
      <c r="LG153" t="s">
        <v>39</v>
      </c>
      <c r="LH153" t="s">
        <v>840</v>
      </c>
      <c r="LI153" t="s">
        <v>841</v>
      </c>
      <c r="LJ153" t="s">
        <v>842</v>
      </c>
      <c r="LK153" t="s">
        <v>843</v>
      </c>
      <c r="LL153" t="s">
        <v>844</v>
      </c>
      <c r="LM153" t="s">
        <v>40</v>
      </c>
      <c r="LN153" t="s">
        <v>845</v>
      </c>
      <c r="LO153" t="s">
        <v>846</v>
      </c>
      <c r="LP153" t="s">
        <v>847</v>
      </c>
      <c r="LQ153" t="s">
        <v>848</v>
      </c>
      <c r="LR153" t="s">
        <v>849</v>
      </c>
      <c r="LS153" t="s">
        <v>598</v>
      </c>
      <c r="LT153">
        <v>1</v>
      </c>
      <c r="LU153">
        <v>1</v>
      </c>
      <c r="LV153" t="s">
        <v>998</v>
      </c>
      <c r="LW153" t="s">
        <v>817</v>
      </c>
      <c r="LX153" t="s">
        <v>707</v>
      </c>
      <c r="LY153" t="s">
        <v>815</v>
      </c>
      <c r="LZ153" t="s">
        <v>851</v>
      </c>
      <c r="MA153" t="s">
        <v>792</v>
      </c>
      <c r="MB153" t="s">
        <v>795</v>
      </c>
      <c r="MC153" t="s">
        <v>795</v>
      </c>
      <c r="MD153" t="s">
        <v>792</v>
      </c>
      <c r="ME153" t="s">
        <v>703</v>
      </c>
      <c r="MF153" t="s">
        <v>707</v>
      </c>
      <c r="MG153" t="s">
        <v>1794</v>
      </c>
      <c r="MH153" t="s">
        <v>473</v>
      </c>
      <c r="MI153">
        <v>1</v>
      </c>
      <c r="MJ153">
        <v>0</v>
      </c>
      <c r="MK153" t="s">
        <v>815</v>
      </c>
      <c r="ML153" t="s">
        <v>796</v>
      </c>
      <c r="MM153" t="s">
        <v>796</v>
      </c>
      <c r="MN153" t="s">
        <v>796</v>
      </c>
      <c r="MO153" t="s">
        <v>796</v>
      </c>
      <c r="MP153" t="s">
        <v>796</v>
      </c>
      <c r="MQ153" t="s">
        <v>795</v>
      </c>
      <c r="MR153" t="s">
        <v>795</v>
      </c>
      <c r="MS153" t="s">
        <v>707</v>
      </c>
      <c r="MT153" t="s">
        <v>796</v>
      </c>
      <c r="MU153" t="s">
        <v>796</v>
      </c>
      <c r="MV153" t="s">
        <v>1810</v>
      </c>
      <c r="MW153" t="s">
        <v>502</v>
      </c>
      <c r="MX153">
        <v>1</v>
      </c>
      <c r="MY153">
        <v>1</v>
      </c>
      <c r="MZ153" t="s">
        <v>810</v>
      </c>
      <c r="NA153" t="s">
        <v>792</v>
      </c>
      <c r="NB153" t="s">
        <v>796</v>
      </c>
      <c r="NC153" t="s">
        <v>793</v>
      </c>
      <c r="ND153" t="s">
        <v>793</v>
      </c>
      <c r="NE153" t="s">
        <v>707</v>
      </c>
      <c r="NF153" t="s">
        <v>795</v>
      </c>
      <c r="NG153" t="s">
        <v>795</v>
      </c>
      <c r="NH153" t="s">
        <v>707</v>
      </c>
      <c r="NI153" t="s">
        <v>707</v>
      </c>
      <c r="NJ153" t="s">
        <v>707</v>
      </c>
      <c r="NK153" t="s">
        <v>1825</v>
      </c>
      <c r="NL153" t="s">
        <v>828</v>
      </c>
      <c r="NM153">
        <v>1</v>
      </c>
      <c r="NN153" t="s">
        <v>829</v>
      </c>
      <c r="NO153" t="s">
        <v>829</v>
      </c>
      <c r="NP153" t="s">
        <v>1844</v>
      </c>
      <c r="NQ153" t="s">
        <v>701</v>
      </c>
      <c r="NR153" t="s">
        <v>1000</v>
      </c>
      <c r="NS153" t="s">
        <v>832</v>
      </c>
      <c r="NT153" t="s">
        <v>821</v>
      </c>
      <c r="NU153" t="s">
        <v>1483</v>
      </c>
      <c r="NV153" t="s">
        <v>795</v>
      </c>
      <c r="NW153" t="s">
        <v>805</v>
      </c>
      <c r="NX153" t="s">
        <v>826</v>
      </c>
      <c r="NY153" t="s">
        <v>823</v>
      </c>
      <c r="NZ153" t="s">
        <v>829</v>
      </c>
    </row>
    <row r="154" spans="1:390" x14ac:dyDescent="0.25">
      <c r="A154" t="s">
        <v>144</v>
      </c>
      <c r="B154">
        <v>1</v>
      </c>
      <c r="C154">
        <v>1</v>
      </c>
      <c r="D154" t="s">
        <v>826</v>
      </c>
      <c r="E154" t="s">
        <v>796</v>
      </c>
      <c r="F154" t="s">
        <v>792</v>
      </c>
      <c r="G154" t="s">
        <v>793</v>
      </c>
      <c r="H154" t="s">
        <v>815</v>
      </c>
      <c r="I154" t="s">
        <v>796</v>
      </c>
      <c r="J154" t="s">
        <v>795</v>
      </c>
      <c r="K154" t="s">
        <v>795</v>
      </c>
      <c r="L154" t="s">
        <v>792</v>
      </c>
      <c r="M154" t="s">
        <v>793</v>
      </c>
      <c r="N154" t="s">
        <v>796</v>
      </c>
      <c r="O154" t="s">
        <v>827</v>
      </c>
      <c r="P154" t="s">
        <v>515</v>
      </c>
      <c r="Q154">
        <v>1</v>
      </c>
      <c r="R154">
        <v>0</v>
      </c>
      <c r="S154" t="s">
        <v>805</v>
      </c>
      <c r="T154" t="s">
        <v>792</v>
      </c>
      <c r="U154" t="s">
        <v>707</v>
      </c>
      <c r="V154" t="s">
        <v>707</v>
      </c>
      <c r="W154" t="s">
        <v>792</v>
      </c>
      <c r="X154" t="s">
        <v>796</v>
      </c>
      <c r="Y154" t="s">
        <v>806</v>
      </c>
      <c r="Z154" t="s">
        <v>806</v>
      </c>
      <c r="AA154" t="s">
        <v>793</v>
      </c>
      <c r="AB154" t="s">
        <v>792</v>
      </c>
      <c r="AC154" t="s">
        <v>796</v>
      </c>
      <c r="AD154" t="s">
        <v>1012</v>
      </c>
      <c r="AE154" t="s">
        <v>594</v>
      </c>
      <c r="AF154">
        <v>1</v>
      </c>
      <c r="AG154">
        <v>1</v>
      </c>
      <c r="AH154" t="s">
        <v>1009</v>
      </c>
      <c r="AI154" t="s">
        <v>796</v>
      </c>
      <c r="AJ154" t="s">
        <v>707</v>
      </c>
      <c r="AK154" t="s">
        <v>792</v>
      </c>
      <c r="AL154" t="s">
        <v>703</v>
      </c>
      <c r="AM154" t="s">
        <v>796</v>
      </c>
      <c r="AN154" t="s">
        <v>795</v>
      </c>
      <c r="AO154" t="s">
        <v>806</v>
      </c>
      <c r="AP154" t="s">
        <v>792</v>
      </c>
      <c r="AQ154" t="s">
        <v>707</v>
      </c>
      <c r="AR154" t="s">
        <v>796</v>
      </c>
      <c r="AS154" t="s">
        <v>1018</v>
      </c>
      <c r="AT154" t="s">
        <v>837</v>
      </c>
      <c r="BI154" t="s">
        <v>628</v>
      </c>
      <c r="BJ154">
        <v>1</v>
      </c>
      <c r="BK154">
        <v>0</v>
      </c>
      <c r="BL154" t="s">
        <v>793</v>
      </c>
      <c r="BM154" t="s">
        <v>796</v>
      </c>
      <c r="BN154" t="s">
        <v>796</v>
      </c>
      <c r="BO154" t="s">
        <v>796</v>
      </c>
      <c r="BP154" t="s">
        <v>796</v>
      </c>
      <c r="BQ154" t="s">
        <v>792</v>
      </c>
      <c r="BR154" t="s">
        <v>795</v>
      </c>
      <c r="BS154" t="s">
        <v>795</v>
      </c>
      <c r="BT154" t="s">
        <v>707</v>
      </c>
      <c r="BU154" t="s">
        <v>707</v>
      </c>
      <c r="BV154" t="s">
        <v>792</v>
      </c>
      <c r="BW154" t="s">
        <v>1149</v>
      </c>
      <c r="BX154" t="s">
        <v>837</v>
      </c>
      <c r="CM154" t="s">
        <v>837</v>
      </c>
      <c r="DB154" t="s">
        <v>216</v>
      </c>
      <c r="DC154">
        <v>1</v>
      </c>
      <c r="DD154">
        <v>0</v>
      </c>
      <c r="DE154" t="s">
        <v>1005</v>
      </c>
      <c r="DF154" t="s">
        <v>796</v>
      </c>
      <c r="DG154" t="s">
        <v>796</v>
      </c>
      <c r="DH154" t="s">
        <v>796</v>
      </c>
      <c r="DI154" t="s">
        <v>796</v>
      </c>
      <c r="DJ154" t="s">
        <v>703</v>
      </c>
      <c r="DK154" t="s">
        <v>806</v>
      </c>
      <c r="DL154" t="s">
        <v>795</v>
      </c>
      <c r="DM154" t="s">
        <v>796</v>
      </c>
      <c r="DN154" t="s">
        <v>703</v>
      </c>
      <c r="DO154" t="s">
        <v>796</v>
      </c>
      <c r="DP154" t="s">
        <v>1481</v>
      </c>
      <c r="DQ154" t="s">
        <v>837</v>
      </c>
      <c r="EF154" t="s">
        <v>504</v>
      </c>
      <c r="EG154">
        <v>1</v>
      </c>
      <c r="EH154">
        <v>0</v>
      </c>
      <c r="EI154" t="s">
        <v>707</v>
      </c>
      <c r="EJ154" t="s">
        <v>796</v>
      </c>
      <c r="EK154" t="s">
        <v>796</v>
      </c>
      <c r="EL154" t="s">
        <v>796</v>
      </c>
      <c r="EM154" t="s">
        <v>796</v>
      </c>
      <c r="EN154" t="s">
        <v>796</v>
      </c>
      <c r="EO154" t="s">
        <v>795</v>
      </c>
      <c r="EP154" t="s">
        <v>795</v>
      </c>
      <c r="EQ154" t="s">
        <v>796</v>
      </c>
      <c r="ER154" t="s">
        <v>707</v>
      </c>
      <c r="ES154" t="s">
        <v>796</v>
      </c>
      <c r="ET154" t="s">
        <v>1539</v>
      </c>
      <c r="EU154" t="s">
        <v>837</v>
      </c>
      <c r="FJ154" t="s">
        <v>518</v>
      </c>
      <c r="FK154">
        <v>1</v>
      </c>
      <c r="FL154">
        <v>0</v>
      </c>
      <c r="FM154" t="s">
        <v>817</v>
      </c>
      <c r="FN154" t="s">
        <v>796</v>
      </c>
      <c r="FO154" t="s">
        <v>796</v>
      </c>
      <c r="FP154" t="s">
        <v>707</v>
      </c>
      <c r="FQ154" t="s">
        <v>707</v>
      </c>
      <c r="FR154" t="s">
        <v>796</v>
      </c>
      <c r="FS154" t="s">
        <v>806</v>
      </c>
      <c r="FT154" t="s">
        <v>795</v>
      </c>
      <c r="FU154" t="s">
        <v>796</v>
      </c>
      <c r="FV154" t="s">
        <v>792</v>
      </c>
      <c r="FW154" t="s">
        <v>796</v>
      </c>
      <c r="FX154" t="s">
        <v>1367</v>
      </c>
      <c r="FY154" t="s">
        <v>837</v>
      </c>
      <c r="GN154" t="s">
        <v>828</v>
      </c>
      <c r="GO154">
        <v>1</v>
      </c>
      <c r="GP154" t="s">
        <v>829</v>
      </c>
      <c r="GQ154" t="s">
        <v>829</v>
      </c>
      <c r="GR154" t="s">
        <v>1632</v>
      </c>
      <c r="GS154" t="s">
        <v>804</v>
      </c>
      <c r="GT154" t="s">
        <v>1482</v>
      </c>
      <c r="GU154" t="s">
        <v>1633</v>
      </c>
      <c r="GV154" t="s">
        <v>791</v>
      </c>
      <c r="GW154" t="s">
        <v>1021</v>
      </c>
      <c r="GX154" t="s">
        <v>1022</v>
      </c>
      <c r="GY154" t="s">
        <v>1023</v>
      </c>
      <c r="GZ154" t="s">
        <v>799</v>
      </c>
      <c r="HA154" t="s">
        <v>1153</v>
      </c>
      <c r="HB154" t="s">
        <v>829</v>
      </c>
      <c r="HC154" t="s">
        <v>396</v>
      </c>
      <c r="HD154">
        <v>1</v>
      </c>
      <c r="HE154">
        <v>0</v>
      </c>
      <c r="HF154" t="s">
        <v>792</v>
      </c>
      <c r="HG154" t="s">
        <v>796</v>
      </c>
      <c r="HH154" t="s">
        <v>796</v>
      </c>
      <c r="HI154" t="s">
        <v>796</v>
      </c>
      <c r="HJ154" t="s">
        <v>796</v>
      </c>
      <c r="HK154" t="s">
        <v>796</v>
      </c>
      <c r="HL154" t="s">
        <v>795</v>
      </c>
      <c r="HM154" t="s">
        <v>795</v>
      </c>
      <c r="HN154" t="s">
        <v>796</v>
      </c>
      <c r="HO154" t="s">
        <v>703</v>
      </c>
      <c r="HP154" t="s">
        <v>796</v>
      </c>
      <c r="HQ154" t="s">
        <v>1655</v>
      </c>
      <c r="HR154" t="s">
        <v>779</v>
      </c>
      <c r="HS154" t="s">
        <v>838</v>
      </c>
      <c r="HT154" t="s">
        <v>839</v>
      </c>
      <c r="HU154" t="s">
        <v>39</v>
      </c>
      <c r="HV154" t="s">
        <v>840</v>
      </c>
      <c r="HW154" t="s">
        <v>841</v>
      </c>
      <c r="HX154" t="s">
        <v>842</v>
      </c>
      <c r="HY154" t="s">
        <v>843</v>
      </c>
      <c r="HZ154" t="s">
        <v>844</v>
      </c>
      <c r="IA154" t="s">
        <v>40</v>
      </c>
      <c r="IB154" t="s">
        <v>845</v>
      </c>
      <c r="IC154" t="s">
        <v>846</v>
      </c>
      <c r="ID154" t="s">
        <v>847</v>
      </c>
      <c r="IE154" t="s">
        <v>848</v>
      </c>
      <c r="IF154" t="s">
        <v>849</v>
      </c>
      <c r="IG154" t="s">
        <v>779</v>
      </c>
      <c r="IH154" t="s">
        <v>838</v>
      </c>
      <c r="II154" t="s">
        <v>839</v>
      </c>
      <c r="IJ154" t="s">
        <v>39</v>
      </c>
      <c r="IK154" t="s">
        <v>840</v>
      </c>
      <c r="IL154" t="s">
        <v>841</v>
      </c>
      <c r="IM154" t="s">
        <v>842</v>
      </c>
      <c r="IN154" t="s">
        <v>843</v>
      </c>
      <c r="IO154" t="s">
        <v>844</v>
      </c>
      <c r="IP154" t="s">
        <v>40</v>
      </c>
      <c r="IQ154" t="s">
        <v>845</v>
      </c>
      <c r="IR154" t="s">
        <v>846</v>
      </c>
      <c r="IS154" t="s">
        <v>847</v>
      </c>
      <c r="IT154" t="s">
        <v>848</v>
      </c>
      <c r="IU154" t="s">
        <v>849</v>
      </c>
      <c r="IV154" t="s">
        <v>828</v>
      </c>
      <c r="IW154">
        <v>1</v>
      </c>
      <c r="IX154" t="s">
        <v>829</v>
      </c>
      <c r="IY154" t="s">
        <v>829</v>
      </c>
      <c r="IZ154" t="s">
        <v>1708</v>
      </c>
      <c r="JA154" t="s">
        <v>800</v>
      </c>
      <c r="JB154" t="s">
        <v>1451</v>
      </c>
      <c r="JC154" t="s">
        <v>1709</v>
      </c>
      <c r="JD154" t="s">
        <v>799</v>
      </c>
      <c r="JE154" t="s">
        <v>1139</v>
      </c>
      <c r="JF154" t="s">
        <v>835</v>
      </c>
      <c r="JG154" t="s">
        <v>804</v>
      </c>
      <c r="JH154" t="s">
        <v>826</v>
      </c>
      <c r="JI154" t="s">
        <v>813</v>
      </c>
      <c r="JJ154" t="s">
        <v>829</v>
      </c>
      <c r="JK154" t="s">
        <v>837</v>
      </c>
      <c r="JZ154" t="s">
        <v>828</v>
      </c>
      <c r="KA154">
        <v>1</v>
      </c>
      <c r="KB154" t="s">
        <v>829</v>
      </c>
      <c r="KC154" t="s">
        <v>829</v>
      </c>
      <c r="KD154" t="s">
        <v>1678</v>
      </c>
      <c r="KE154" t="s">
        <v>817</v>
      </c>
      <c r="KF154" t="s">
        <v>693</v>
      </c>
      <c r="KG154" t="s">
        <v>1002</v>
      </c>
      <c r="KH154" t="s">
        <v>833</v>
      </c>
      <c r="KI154" t="s">
        <v>1749</v>
      </c>
      <c r="KJ154" t="s">
        <v>835</v>
      </c>
      <c r="KK154" t="s">
        <v>805</v>
      </c>
      <c r="KL154" t="s">
        <v>693</v>
      </c>
      <c r="KM154" t="s">
        <v>1326</v>
      </c>
      <c r="KN154" t="s">
        <v>829</v>
      </c>
      <c r="KO154" t="s">
        <v>837</v>
      </c>
      <c r="LD154" t="s">
        <v>241</v>
      </c>
      <c r="LE154" t="s">
        <v>851</v>
      </c>
      <c r="LF154" t="s">
        <v>701</v>
      </c>
      <c r="LG154" t="s">
        <v>880</v>
      </c>
      <c r="LH154" t="s">
        <v>796</v>
      </c>
      <c r="LI154" t="s">
        <v>796</v>
      </c>
      <c r="LJ154" t="s">
        <v>865</v>
      </c>
      <c r="LK154" t="s">
        <v>703</v>
      </c>
      <c r="LL154" t="s">
        <v>793</v>
      </c>
      <c r="LM154" t="s">
        <v>860</v>
      </c>
      <c r="LN154" t="s">
        <v>851</v>
      </c>
      <c r="LO154" t="s">
        <v>701</v>
      </c>
      <c r="LP154" t="s">
        <v>880</v>
      </c>
      <c r="LQ154" t="s">
        <v>1763</v>
      </c>
      <c r="LR154" t="s">
        <v>866</v>
      </c>
      <c r="LS154" t="s">
        <v>828</v>
      </c>
      <c r="LT154">
        <v>1</v>
      </c>
      <c r="LU154" t="s">
        <v>829</v>
      </c>
      <c r="LV154" t="s">
        <v>829</v>
      </c>
      <c r="LW154" t="s">
        <v>1492</v>
      </c>
      <c r="LX154" t="s">
        <v>817</v>
      </c>
      <c r="LY154" t="s">
        <v>1179</v>
      </c>
      <c r="LZ154" t="s">
        <v>1491</v>
      </c>
      <c r="MA154" t="s">
        <v>1062</v>
      </c>
      <c r="MB154" t="s">
        <v>835</v>
      </c>
      <c r="MC154" t="s">
        <v>1512</v>
      </c>
      <c r="MD154" t="s">
        <v>810</v>
      </c>
      <c r="ME154" t="s">
        <v>826</v>
      </c>
      <c r="MF154" t="s">
        <v>1370</v>
      </c>
      <c r="MG154" t="s">
        <v>829</v>
      </c>
      <c r="MH154" t="s">
        <v>347</v>
      </c>
      <c r="MI154">
        <v>1</v>
      </c>
      <c r="MJ154">
        <v>0</v>
      </c>
      <c r="MK154" t="s">
        <v>703</v>
      </c>
      <c r="ML154" t="s">
        <v>796</v>
      </c>
      <c r="MM154" t="s">
        <v>796</v>
      </c>
      <c r="MN154" t="s">
        <v>707</v>
      </c>
      <c r="MO154" t="s">
        <v>707</v>
      </c>
      <c r="MP154" t="s">
        <v>796</v>
      </c>
      <c r="MQ154" t="s">
        <v>795</v>
      </c>
      <c r="MR154" t="s">
        <v>795</v>
      </c>
      <c r="MS154" t="s">
        <v>796</v>
      </c>
      <c r="MT154" t="s">
        <v>792</v>
      </c>
      <c r="MU154" t="s">
        <v>796</v>
      </c>
      <c r="MV154" t="s">
        <v>1811</v>
      </c>
      <c r="MW154" t="s">
        <v>626</v>
      </c>
      <c r="MX154">
        <v>1</v>
      </c>
      <c r="MY154">
        <v>0</v>
      </c>
      <c r="MZ154" t="s">
        <v>792</v>
      </c>
      <c r="NA154" t="s">
        <v>796</v>
      </c>
      <c r="NB154" t="s">
        <v>796</v>
      </c>
      <c r="NC154" t="s">
        <v>796</v>
      </c>
      <c r="ND154" t="s">
        <v>796</v>
      </c>
      <c r="NE154" t="s">
        <v>796</v>
      </c>
      <c r="NF154" t="s">
        <v>795</v>
      </c>
      <c r="NG154" t="s">
        <v>795</v>
      </c>
      <c r="NH154" t="s">
        <v>796</v>
      </c>
      <c r="NI154" t="s">
        <v>707</v>
      </c>
      <c r="NJ154" t="s">
        <v>796</v>
      </c>
      <c r="NK154" t="s">
        <v>1826</v>
      </c>
      <c r="NL154" t="s">
        <v>837</v>
      </c>
    </row>
    <row r="155" spans="1:390" x14ac:dyDescent="0.25">
      <c r="A155" t="s">
        <v>824</v>
      </c>
      <c r="B155">
        <v>1</v>
      </c>
      <c r="C155">
        <v>0</v>
      </c>
      <c r="D155" t="s">
        <v>815</v>
      </c>
      <c r="E155" t="s">
        <v>792</v>
      </c>
      <c r="F155" t="s">
        <v>796</v>
      </c>
      <c r="G155" t="s">
        <v>796</v>
      </c>
      <c r="H155" t="s">
        <v>796</v>
      </c>
      <c r="I155" t="s">
        <v>796</v>
      </c>
      <c r="J155" t="s">
        <v>795</v>
      </c>
      <c r="K155" t="s">
        <v>795</v>
      </c>
      <c r="L155" t="s">
        <v>796</v>
      </c>
      <c r="M155" t="s">
        <v>707</v>
      </c>
      <c r="N155" t="s">
        <v>796</v>
      </c>
      <c r="O155" t="s">
        <v>825</v>
      </c>
      <c r="P155" t="s">
        <v>1017</v>
      </c>
      <c r="Q155">
        <v>1</v>
      </c>
      <c r="R155">
        <v>0</v>
      </c>
      <c r="S155" t="s">
        <v>703</v>
      </c>
      <c r="T155" t="s">
        <v>707</v>
      </c>
      <c r="U155" t="s">
        <v>796</v>
      </c>
      <c r="V155" t="s">
        <v>796</v>
      </c>
      <c r="W155" t="s">
        <v>796</v>
      </c>
      <c r="X155" t="s">
        <v>796</v>
      </c>
      <c r="Y155" t="s">
        <v>795</v>
      </c>
      <c r="Z155" t="s">
        <v>795</v>
      </c>
      <c r="AA155" t="s">
        <v>796</v>
      </c>
      <c r="AB155" t="s">
        <v>703</v>
      </c>
      <c r="AC155" t="s">
        <v>796</v>
      </c>
      <c r="AD155" t="s">
        <v>1018</v>
      </c>
      <c r="AE155" t="s">
        <v>234</v>
      </c>
      <c r="AF155">
        <v>1</v>
      </c>
      <c r="AG155">
        <v>0</v>
      </c>
      <c r="AH155" t="s">
        <v>703</v>
      </c>
      <c r="AI155" t="s">
        <v>707</v>
      </c>
      <c r="AJ155" t="s">
        <v>796</v>
      </c>
      <c r="AK155" t="s">
        <v>796</v>
      </c>
      <c r="AL155" t="s">
        <v>796</v>
      </c>
      <c r="AM155" t="s">
        <v>707</v>
      </c>
      <c r="AN155" t="s">
        <v>795</v>
      </c>
      <c r="AO155" t="s">
        <v>795</v>
      </c>
      <c r="AP155" t="s">
        <v>707</v>
      </c>
      <c r="AQ155" t="s">
        <v>707</v>
      </c>
      <c r="AR155" t="s">
        <v>707</v>
      </c>
      <c r="AS155" t="s">
        <v>1070</v>
      </c>
      <c r="AT155" t="s">
        <v>779</v>
      </c>
      <c r="AU155" t="s">
        <v>838</v>
      </c>
      <c r="AV155" t="s">
        <v>839</v>
      </c>
      <c r="AW155" t="s">
        <v>39</v>
      </c>
      <c r="AX155" t="s">
        <v>840</v>
      </c>
      <c r="AY155" t="s">
        <v>841</v>
      </c>
      <c r="AZ155" t="s">
        <v>842</v>
      </c>
      <c r="BA155" t="s">
        <v>843</v>
      </c>
      <c r="BB155" t="s">
        <v>844</v>
      </c>
      <c r="BC155" t="s">
        <v>40</v>
      </c>
      <c r="BD155" t="s">
        <v>845</v>
      </c>
      <c r="BE155" t="s">
        <v>846</v>
      </c>
      <c r="BF155" t="s">
        <v>847</v>
      </c>
      <c r="BG155" t="s">
        <v>848</v>
      </c>
      <c r="BH155" t="s">
        <v>849</v>
      </c>
      <c r="BI155" t="s">
        <v>108</v>
      </c>
      <c r="BJ155">
        <v>1</v>
      </c>
      <c r="BK155">
        <v>1</v>
      </c>
      <c r="BL155" t="s">
        <v>1005</v>
      </c>
      <c r="BM155" t="s">
        <v>792</v>
      </c>
      <c r="BN155" t="s">
        <v>796</v>
      </c>
      <c r="BO155" t="s">
        <v>793</v>
      </c>
      <c r="BP155" t="s">
        <v>793</v>
      </c>
      <c r="BQ155" t="s">
        <v>707</v>
      </c>
      <c r="BR155" t="s">
        <v>795</v>
      </c>
      <c r="BS155" t="s">
        <v>795</v>
      </c>
      <c r="BT155" t="s">
        <v>707</v>
      </c>
      <c r="BU155" t="s">
        <v>703</v>
      </c>
      <c r="BV155" t="s">
        <v>707</v>
      </c>
      <c r="BW155" t="s">
        <v>1147</v>
      </c>
      <c r="BX155" t="s">
        <v>779</v>
      </c>
      <c r="BY155" t="s">
        <v>838</v>
      </c>
      <c r="BZ155" t="s">
        <v>839</v>
      </c>
      <c r="CA155" t="s">
        <v>39</v>
      </c>
      <c r="CB155" t="s">
        <v>840</v>
      </c>
      <c r="CC155" t="s">
        <v>841</v>
      </c>
      <c r="CD155" t="s">
        <v>842</v>
      </c>
      <c r="CE155" t="s">
        <v>843</v>
      </c>
      <c r="CF155" t="s">
        <v>844</v>
      </c>
      <c r="CG155" t="s">
        <v>40</v>
      </c>
      <c r="CH155" t="s">
        <v>845</v>
      </c>
      <c r="CI155" t="s">
        <v>846</v>
      </c>
      <c r="CJ155" t="s">
        <v>847</v>
      </c>
      <c r="CK155" t="s">
        <v>848</v>
      </c>
      <c r="CL155" t="s">
        <v>849</v>
      </c>
      <c r="CM155" t="s">
        <v>779</v>
      </c>
      <c r="CN155" t="s">
        <v>838</v>
      </c>
      <c r="CO155" t="s">
        <v>839</v>
      </c>
      <c r="CP155" t="s">
        <v>39</v>
      </c>
      <c r="CQ155" t="s">
        <v>840</v>
      </c>
      <c r="CR155" t="s">
        <v>841</v>
      </c>
      <c r="CS155" t="s">
        <v>842</v>
      </c>
      <c r="CT155" t="s">
        <v>843</v>
      </c>
      <c r="CU155" t="s">
        <v>844</v>
      </c>
      <c r="CV155" t="s">
        <v>40</v>
      </c>
      <c r="CW155" t="s">
        <v>845</v>
      </c>
      <c r="CX155" t="s">
        <v>846</v>
      </c>
      <c r="CY155" t="s">
        <v>847</v>
      </c>
      <c r="CZ155" t="s">
        <v>848</v>
      </c>
      <c r="DA155" t="s">
        <v>849</v>
      </c>
      <c r="DB155" t="s">
        <v>828</v>
      </c>
      <c r="DC155">
        <v>1</v>
      </c>
      <c r="DD155" t="s">
        <v>829</v>
      </c>
      <c r="DE155" t="s">
        <v>829</v>
      </c>
      <c r="DF155" t="s">
        <v>830</v>
      </c>
      <c r="DG155" t="s">
        <v>853</v>
      </c>
      <c r="DH155" t="s">
        <v>693</v>
      </c>
      <c r="DI155" t="s">
        <v>1482</v>
      </c>
      <c r="DJ155" t="s">
        <v>826</v>
      </c>
      <c r="DK155" t="s">
        <v>1483</v>
      </c>
      <c r="DL155" t="s">
        <v>801</v>
      </c>
      <c r="DM155" t="s">
        <v>1023</v>
      </c>
      <c r="DN155" t="s">
        <v>803</v>
      </c>
      <c r="DO155" t="s">
        <v>1068</v>
      </c>
      <c r="DP155" t="s">
        <v>829</v>
      </c>
      <c r="DQ155" t="s">
        <v>779</v>
      </c>
      <c r="DR155" t="s">
        <v>838</v>
      </c>
      <c r="DS155" t="s">
        <v>839</v>
      </c>
      <c r="DT155" t="s">
        <v>39</v>
      </c>
      <c r="DU155" t="s">
        <v>840</v>
      </c>
      <c r="DV155" t="s">
        <v>841</v>
      </c>
      <c r="DW155" t="s">
        <v>842</v>
      </c>
      <c r="DX155" t="s">
        <v>843</v>
      </c>
      <c r="DY155" t="s">
        <v>844</v>
      </c>
      <c r="DZ155" t="s">
        <v>40</v>
      </c>
      <c r="EA155" t="s">
        <v>845</v>
      </c>
      <c r="EB155" t="s">
        <v>846</v>
      </c>
      <c r="EC155" t="s">
        <v>847</v>
      </c>
      <c r="ED155" t="s">
        <v>848</v>
      </c>
      <c r="EE155" t="s">
        <v>849</v>
      </c>
      <c r="EF155" t="s">
        <v>828</v>
      </c>
      <c r="EG155">
        <v>1</v>
      </c>
      <c r="EH155" t="s">
        <v>829</v>
      </c>
      <c r="EI155" t="s">
        <v>829</v>
      </c>
      <c r="EJ155" t="s">
        <v>1540</v>
      </c>
      <c r="EK155" t="s">
        <v>800</v>
      </c>
      <c r="EL155" t="s">
        <v>1096</v>
      </c>
      <c r="EM155" t="s">
        <v>1541</v>
      </c>
      <c r="EN155" t="s">
        <v>809</v>
      </c>
      <c r="EO155" t="s">
        <v>1483</v>
      </c>
      <c r="EP155" t="s">
        <v>1483</v>
      </c>
      <c r="EQ155" t="s">
        <v>853</v>
      </c>
      <c r="ER155" t="s">
        <v>998</v>
      </c>
      <c r="ES155" t="s">
        <v>1191</v>
      </c>
      <c r="ET155" t="s">
        <v>829</v>
      </c>
      <c r="EU155" t="s">
        <v>779</v>
      </c>
      <c r="EV155" t="s">
        <v>838</v>
      </c>
      <c r="EW155" t="s">
        <v>839</v>
      </c>
      <c r="EX155" t="s">
        <v>39</v>
      </c>
      <c r="EY155" t="s">
        <v>840</v>
      </c>
      <c r="EZ155" t="s">
        <v>841</v>
      </c>
      <c r="FA155" t="s">
        <v>842</v>
      </c>
      <c r="FB155" t="s">
        <v>843</v>
      </c>
      <c r="FC155" t="s">
        <v>844</v>
      </c>
      <c r="FD155" t="s">
        <v>40</v>
      </c>
      <c r="FE155" t="s">
        <v>845</v>
      </c>
      <c r="FF155" t="s">
        <v>846</v>
      </c>
      <c r="FG155" t="s">
        <v>847</v>
      </c>
      <c r="FH155" t="s">
        <v>848</v>
      </c>
      <c r="FI155" t="s">
        <v>849</v>
      </c>
      <c r="FJ155" t="s">
        <v>828</v>
      </c>
      <c r="FK155">
        <v>1</v>
      </c>
      <c r="FL155" t="s">
        <v>829</v>
      </c>
      <c r="FM155" t="s">
        <v>829</v>
      </c>
      <c r="FN155" t="s">
        <v>1589</v>
      </c>
      <c r="FO155" t="s">
        <v>804</v>
      </c>
      <c r="FP155" t="s">
        <v>797</v>
      </c>
      <c r="FQ155" t="s">
        <v>831</v>
      </c>
      <c r="FR155" t="s">
        <v>821</v>
      </c>
      <c r="FS155" t="s">
        <v>1483</v>
      </c>
      <c r="FT155" t="s">
        <v>795</v>
      </c>
      <c r="FU155" t="s">
        <v>810</v>
      </c>
      <c r="FV155" t="s">
        <v>1020</v>
      </c>
      <c r="FW155" t="s">
        <v>1590</v>
      </c>
      <c r="FX155" t="s">
        <v>829</v>
      </c>
      <c r="FY155" t="s">
        <v>779</v>
      </c>
      <c r="FZ155" t="s">
        <v>838</v>
      </c>
      <c r="GA155" t="s">
        <v>839</v>
      </c>
      <c r="GB155" t="s">
        <v>39</v>
      </c>
      <c r="GC155" t="s">
        <v>840</v>
      </c>
      <c r="GD155" t="s">
        <v>841</v>
      </c>
      <c r="GE155" t="s">
        <v>842</v>
      </c>
      <c r="GF155" t="s">
        <v>843</v>
      </c>
      <c r="GG155" t="s">
        <v>844</v>
      </c>
      <c r="GH155" t="s">
        <v>40</v>
      </c>
      <c r="GI155" t="s">
        <v>845</v>
      </c>
      <c r="GJ155" t="s">
        <v>846</v>
      </c>
      <c r="GK155" t="s">
        <v>847</v>
      </c>
      <c r="GL155" t="s">
        <v>848</v>
      </c>
      <c r="GM155" t="s">
        <v>849</v>
      </c>
      <c r="GN155" t="s">
        <v>837</v>
      </c>
      <c r="HC155" t="s">
        <v>828</v>
      </c>
      <c r="HD155">
        <v>1</v>
      </c>
      <c r="HE155" t="s">
        <v>829</v>
      </c>
      <c r="HF155" t="s">
        <v>829</v>
      </c>
      <c r="HG155" t="s">
        <v>1656</v>
      </c>
      <c r="HH155" t="s">
        <v>805</v>
      </c>
      <c r="HI155" t="s">
        <v>1104</v>
      </c>
      <c r="HJ155" t="s">
        <v>1096</v>
      </c>
      <c r="HK155" t="s">
        <v>1062</v>
      </c>
      <c r="HL155" t="s">
        <v>1512</v>
      </c>
      <c r="HM155" t="s">
        <v>1139</v>
      </c>
      <c r="HN155" t="s">
        <v>853</v>
      </c>
      <c r="HO155" t="s">
        <v>1020</v>
      </c>
      <c r="HP155" t="s">
        <v>1068</v>
      </c>
      <c r="HQ155" t="s">
        <v>829</v>
      </c>
      <c r="HR155" t="s">
        <v>404</v>
      </c>
      <c r="HS155" t="s">
        <v>851</v>
      </c>
      <c r="HT155" t="s">
        <v>697</v>
      </c>
      <c r="HU155" t="s">
        <v>1484</v>
      </c>
      <c r="HV155" t="s">
        <v>707</v>
      </c>
      <c r="HW155" t="s">
        <v>792</v>
      </c>
      <c r="HX155" t="s">
        <v>880</v>
      </c>
      <c r="HY155" t="s">
        <v>793</v>
      </c>
      <c r="HZ155" t="s">
        <v>815</v>
      </c>
      <c r="IA155" t="s">
        <v>883</v>
      </c>
      <c r="IB155" t="s">
        <v>815</v>
      </c>
      <c r="IC155" t="s">
        <v>800</v>
      </c>
      <c r="ID155" t="s">
        <v>1078</v>
      </c>
      <c r="IE155" t="s">
        <v>1485</v>
      </c>
      <c r="IF155" t="s">
        <v>1679</v>
      </c>
      <c r="IG155" t="s">
        <v>103</v>
      </c>
      <c r="IH155" t="s">
        <v>817</v>
      </c>
      <c r="II155" t="s">
        <v>815</v>
      </c>
      <c r="IJ155" t="s">
        <v>1201</v>
      </c>
      <c r="IK155" t="s">
        <v>796</v>
      </c>
      <c r="IL155" t="s">
        <v>796</v>
      </c>
      <c r="IM155" t="s">
        <v>865</v>
      </c>
      <c r="IN155" t="s">
        <v>796</v>
      </c>
      <c r="IO155" t="s">
        <v>796</v>
      </c>
      <c r="IP155" t="s">
        <v>795</v>
      </c>
      <c r="IQ155" t="s">
        <v>817</v>
      </c>
      <c r="IR155" t="s">
        <v>815</v>
      </c>
      <c r="IS155" t="s">
        <v>1201</v>
      </c>
      <c r="IT155" t="s">
        <v>1087</v>
      </c>
      <c r="IU155" t="s">
        <v>1028</v>
      </c>
      <c r="IV155" t="s">
        <v>837</v>
      </c>
      <c r="JK155" t="s">
        <v>779</v>
      </c>
      <c r="JL155" t="s">
        <v>838</v>
      </c>
      <c r="JM155" t="s">
        <v>839</v>
      </c>
      <c r="JN155" t="s">
        <v>39</v>
      </c>
      <c r="JO155" t="s">
        <v>840</v>
      </c>
      <c r="JP155" t="s">
        <v>841</v>
      </c>
      <c r="JQ155" t="s">
        <v>842</v>
      </c>
      <c r="JR155" t="s">
        <v>843</v>
      </c>
      <c r="JS155" t="s">
        <v>844</v>
      </c>
      <c r="JT155" t="s">
        <v>40</v>
      </c>
      <c r="JU155" t="s">
        <v>845</v>
      </c>
      <c r="JV155" t="s">
        <v>846</v>
      </c>
      <c r="JW155" t="s">
        <v>847</v>
      </c>
      <c r="JX155" t="s">
        <v>848</v>
      </c>
      <c r="JY155" t="s">
        <v>849</v>
      </c>
      <c r="JZ155" t="s">
        <v>837</v>
      </c>
      <c r="KO155" t="s">
        <v>779</v>
      </c>
      <c r="KP155" t="s">
        <v>838</v>
      </c>
      <c r="KQ155" t="s">
        <v>839</v>
      </c>
      <c r="KR155" t="s">
        <v>39</v>
      </c>
      <c r="KS155" t="s">
        <v>840</v>
      </c>
      <c r="KT155" t="s">
        <v>841</v>
      </c>
      <c r="KU155" t="s">
        <v>842</v>
      </c>
      <c r="KV155" t="s">
        <v>843</v>
      </c>
      <c r="KW155" t="s">
        <v>844</v>
      </c>
      <c r="KX155" t="s">
        <v>40</v>
      </c>
      <c r="KY155" t="s">
        <v>845</v>
      </c>
      <c r="KZ155" t="s">
        <v>846</v>
      </c>
      <c r="LA155" t="s">
        <v>847</v>
      </c>
      <c r="LB155" t="s">
        <v>848</v>
      </c>
      <c r="LC155" t="s">
        <v>849</v>
      </c>
      <c r="LD155" t="s">
        <v>245</v>
      </c>
      <c r="LE155" t="s">
        <v>817</v>
      </c>
      <c r="LF155" t="s">
        <v>805</v>
      </c>
      <c r="LG155" t="s">
        <v>1564</v>
      </c>
      <c r="LH155" t="s">
        <v>792</v>
      </c>
      <c r="LI155" t="s">
        <v>792</v>
      </c>
      <c r="LJ155" t="s">
        <v>879</v>
      </c>
      <c r="LK155" t="s">
        <v>796</v>
      </c>
      <c r="LL155" t="s">
        <v>796</v>
      </c>
      <c r="LM155" t="s">
        <v>795</v>
      </c>
      <c r="LN155" t="s">
        <v>703</v>
      </c>
      <c r="LO155" t="s">
        <v>859</v>
      </c>
      <c r="LP155" t="s">
        <v>858</v>
      </c>
      <c r="LQ155" t="s">
        <v>1776</v>
      </c>
      <c r="LR155" t="s">
        <v>896</v>
      </c>
      <c r="LS155" t="s">
        <v>837</v>
      </c>
      <c r="MH155" t="s">
        <v>828</v>
      </c>
      <c r="MI155">
        <v>1</v>
      </c>
      <c r="MJ155" t="s">
        <v>829</v>
      </c>
      <c r="MK155" t="s">
        <v>829</v>
      </c>
      <c r="ML155" t="s">
        <v>888</v>
      </c>
      <c r="MM155" t="s">
        <v>800</v>
      </c>
      <c r="MN155" t="s">
        <v>833</v>
      </c>
      <c r="MO155" t="s">
        <v>1181</v>
      </c>
      <c r="MP155" t="s">
        <v>1009</v>
      </c>
      <c r="MQ155" t="s">
        <v>1022</v>
      </c>
      <c r="MR155" t="s">
        <v>801</v>
      </c>
      <c r="MS155" t="s">
        <v>1005</v>
      </c>
      <c r="MT155" t="s">
        <v>693</v>
      </c>
      <c r="MU155" t="s">
        <v>1343</v>
      </c>
      <c r="MV155" t="s">
        <v>829</v>
      </c>
      <c r="MW155" t="s">
        <v>828</v>
      </c>
      <c r="MX155">
        <v>1</v>
      </c>
      <c r="MY155" t="s">
        <v>829</v>
      </c>
      <c r="MZ155" t="s">
        <v>829</v>
      </c>
      <c r="NA155" t="s">
        <v>1111</v>
      </c>
      <c r="NB155" t="s">
        <v>800</v>
      </c>
      <c r="NC155" t="s">
        <v>833</v>
      </c>
      <c r="ND155" t="s">
        <v>1181</v>
      </c>
      <c r="NE155" t="s">
        <v>1020</v>
      </c>
      <c r="NF155" t="s">
        <v>835</v>
      </c>
      <c r="NG155" t="s">
        <v>835</v>
      </c>
      <c r="NH155" t="s">
        <v>810</v>
      </c>
      <c r="NI155" t="s">
        <v>1009</v>
      </c>
      <c r="NJ155" t="s">
        <v>1112</v>
      </c>
      <c r="NK155" t="s">
        <v>829</v>
      </c>
      <c r="NL155" t="s">
        <v>779</v>
      </c>
      <c r="NM155" t="s">
        <v>838</v>
      </c>
      <c r="NN155" t="s">
        <v>839</v>
      </c>
      <c r="NO155" t="s">
        <v>39</v>
      </c>
      <c r="NP155" t="s">
        <v>840</v>
      </c>
      <c r="NQ155" t="s">
        <v>841</v>
      </c>
      <c r="NR155" t="s">
        <v>842</v>
      </c>
      <c r="NS155" t="s">
        <v>843</v>
      </c>
      <c r="NT155" t="s">
        <v>844</v>
      </c>
      <c r="NU155" t="s">
        <v>40</v>
      </c>
      <c r="NV155" t="s">
        <v>845</v>
      </c>
      <c r="NW155" t="s">
        <v>846</v>
      </c>
      <c r="NX155" t="s">
        <v>847</v>
      </c>
      <c r="NY155" t="s">
        <v>848</v>
      </c>
      <c r="NZ155" t="s">
        <v>849</v>
      </c>
    </row>
    <row r="156" spans="1:390" x14ac:dyDescent="0.25">
      <c r="A156" t="s">
        <v>828</v>
      </c>
      <c r="B156">
        <v>1</v>
      </c>
      <c r="C156" t="s">
        <v>829</v>
      </c>
      <c r="D156" t="s">
        <v>829</v>
      </c>
      <c r="E156" t="s">
        <v>830</v>
      </c>
      <c r="F156" t="s">
        <v>805</v>
      </c>
      <c r="G156" t="s">
        <v>831</v>
      </c>
      <c r="H156" t="s">
        <v>832</v>
      </c>
      <c r="I156" t="s">
        <v>833</v>
      </c>
      <c r="J156" t="s">
        <v>834</v>
      </c>
      <c r="K156" t="s">
        <v>835</v>
      </c>
      <c r="L156" t="s">
        <v>701</v>
      </c>
      <c r="M156" t="s">
        <v>826</v>
      </c>
      <c r="N156" t="s">
        <v>836</v>
      </c>
      <c r="O156" t="s">
        <v>829</v>
      </c>
      <c r="P156" t="s">
        <v>828</v>
      </c>
      <c r="Q156">
        <v>1</v>
      </c>
      <c r="R156" t="s">
        <v>829</v>
      </c>
      <c r="S156" t="s">
        <v>829</v>
      </c>
      <c r="T156" t="s">
        <v>1019</v>
      </c>
      <c r="U156" t="s">
        <v>804</v>
      </c>
      <c r="V156" t="s">
        <v>998</v>
      </c>
      <c r="W156" t="s">
        <v>890</v>
      </c>
      <c r="X156" t="s">
        <v>1020</v>
      </c>
      <c r="Y156" t="s">
        <v>1021</v>
      </c>
      <c r="Z156" t="s">
        <v>1022</v>
      </c>
      <c r="AA156" t="s">
        <v>1023</v>
      </c>
      <c r="AB156" t="s">
        <v>803</v>
      </c>
      <c r="AC156" t="s">
        <v>823</v>
      </c>
      <c r="AD156" t="s">
        <v>829</v>
      </c>
      <c r="AE156" t="s">
        <v>828</v>
      </c>
      <c r="AF156">
        <v>1</v>
      </c>
      <c r="AG156" t="s">
        <v>829</v>
      </c>
      <c r="AH156" t="s">
        <v>829</v>
      </c>
      <c r="AI156" t="s">
        <v>1072</v>
      </c>
      <c r="AJ156" t="s">
        <v>810</v>
      </c>
      <c r="AK156" t="s">
        <v>693</v>
      </c>
      <c r="AL156" t="s">
        <v>1073</v>
      </c>
      <c r="AM156" t="s">
        <v>821</v>
      </c>
      <c r="AN156" t="s">
        <v>1022</v>
      </c>
      <c r="AO156" t="s">
        <v>1022</v>
      </c>
      <c r="AP156" t="s">
        <v>1005</v>
      </c>
      <c r="AQ156" t="s">
        <v>826</v>
      </c>
      <c r="AR156" t="s">
        <v>1074</v>
      </c>
      <c r="AS156" t="s">
        <v>829</v>
      </c>
      <c r="AT156" t="s">
        <v>479</v>
      </c>
      <c r="AU156" t="s">
        <v>810</v>
      </c>
      <c r="AV156" t="s">
        <v>1009</v>
      </c>
      <c r="AW156" t="s">
        <v>1113</v>
      </c>
      <c r="AX156" t="s">
        <v>793</v>
      </c>
      <c r="AY156" t="s">
        <v>815</v>
      </c>
      <c r="AZ156" t="s">
        <v>870</v>
      </c>
      <c r="BA156" t="s">
        <v>859</v>
      </c>
      <c r="BB156" t="s">
        <v>859</v>
      </c>
      <c r="BC156" t="s">
        <v>806</v>
      </c>
      <c r="BD156" t="s">
        <v>859</v>
      </c>
      <c r="BE156" t="s">
        <v>701</v>
      </c>
      <c r="BF156" t="s">
        <v>864</v>
      </c>
      <c r="BG156" t="s">
        <v>1114</v>
      </c>
      <c r="BH156" t="s">
        <v>860</v>
      </c>
      <c r="BI156" t="s">
        <v>828</v>
      </c>
      <c r="BJ156">
        <v>1</v>
      </c>
      <c r="BK156" t="s">
        <v>829</v>
      </c>
      <c r="BL156" t="s">
        <v>829</v>
      </c>
      <c r="BM156" t="s">
        <v>1150</v>
      </c>
      <c r="BN156" t="s">
        <v>1062</v>
      </c>
      <c r="BO156" t="s">
        <v>1002</v>
      </c>
      <c r="BP156" t="s">
        <v>1151</v>
      </c>
      <c r="BQ156" t="s">
        <v>798</v>
      </c>
      <c r="BR156" t="s">
        <v>1152</v>
      </c>
      <c r="BS156" t="s">
        <v>801</v>
      </c>
      <c r="BT156" t="s">
        <v>810</v>
      </c>
      <c r="BU156" t="s">
        <v>803</v>
      </c>
      <c r="BV156" t="s">
        <v>1153</v>
      </c>
      <c r="BW156" t="s">
        <v>829</v>
      </c>
      <c r="BX156" t="s">
        <v>631</v>
      </c>
      <c r="BY156" t="s">
        <v>697</v>
      </c>
      <c r="BZ156" t="s">
        <v>1023</v>
      </c>
      <c r="CA156" t="s">
        <v>871</v>
      </c>
      <c r="CB156" t="s">
        <v>703</v>
      </c>
      <c r="CC156" t="s">
        <v>793</v>
      </c>
      <c r="CD156" t="s">
        <v>871</v>
      </c>
      <c r="CE156" t="s">
        <v>792</v>
      </c>
      <c r="CF156" t="s">
        <v>792</v>
      </c>
      <c r="CG156" t="s">
        <v>806</v>
      </c>
      <c r="CH156" t="s">
        <v>859</v>
      </c>
      <c r="CI156" t="s">
        <v>697</v>
      </c>
      <c r="CJ156" t="s">
        <v>871</v>
      </c>
      <c r="CK156" t="s">
        <v>1192</v>
      </c>
      <c r="CL156" t="s">
        <v>1193</v>
      </c>
      <c r="CM156" t="s">
        <v>83</v>
      </c>
      <c r="CN156" t="s">
        <v>815</v>
      </c>
      <c r="CO156" t="s">
        <v>851</v>
      </c>
      <c r="CP156" t="s">
        <v>1452</v>
      </c>
      <c r="CQ156" t="s">
        <v>796</v>
      </c>
      <c r="CR156" t="s">
        <v>796</v>
      </c>
      <c r="CS156" t="s">
        <v>865</v>
      </c>
      <c r="CT156" t="s">
        <v>707</v>
      </c>
      <c r="CU156" t="s">
        <v>792</v>
      </c>
      <c r="CV156" t="s">
        <v>866</v>
      </c>
      <c r="CW156" t="s">
        <v>815</v>
      </c>
      <c r="CX156" t="s">
        <v>851</v>
      </c>
      <c r="CY156" t="s">
        <v>1452</v>
      </c>
      <c r="CZ156" t="s">
        <v>872</v>
      </c>
      <c r="DA156" t="s">
        <v>873</v>
      </c>
      <c r="DB156" t="s">
        <v>837</v>
      </c>
      <c r="DQ156" t="s">
        <v>129</v>
      </c>
      <c r="DR156" t="s">
        <v>817</v>
      </c>
      <c r="DS156" t="s">
        <v>815</v>
      </c>
      <c r="DT156" t="s">
        <v>1201</v>
      </c>
      <c r="DU156" t="s">
        <v>796</v>
      </c>
      <c r="DV156" t="s">
        <v>796</v>
      </c>
      <c r="DW156" t="s">
        <v>865</v>
      </c>
      <c r="DX156" t="s">
        <v>817</v>
      </c>
      <c r="DY156" t="s">
        <v>815</v>
      </c>
      <c r="DZ156" t="s">
        <v>1028</v>
      </c>
      <c r="EA156" t="s">
        <v>817</v>
      </c>
      <c r="EB156" t="s">
        <v>815</v>
      </c>
      <c r="EC156" t="s">
        <v>1201</v>
      </c>
      <c r="ED156" t="s">
        <v>881</v>
      </c>
      <c r="EE156" t="s">
        <v>1028</v>
      </c>
      <c r="EF156" t="s">
        <v>837</v>
      </c>
      <c r="EU156" t="s">
        <v>331</v>
      </c>
      <c r="EV156" t="s">
        <v>859</v>
      </c>
      <c r="EW156" t="s">
        <v>810</v>
      </c>
      <c r="EX156" t="s">
        <v>1561</v>
      </c>
      <c r="EY156" t="s">
        <v>796</v>
      </c>
      <c r="EZ156" t="s">
        <v>796</v>
      </c>
      <c r="FA156" t="s">
        <v>865</v>
      </c>
      <c r="FB156" t="s">
        <v>817</v>
      </c>
      <c r="FC156" t="s">
        <v>815</v>
      </c>
      <c r="FD156" t="s">
        <v>1028</v>
      </c>
      <c r="FE156" t="s">
        <v>859</v>
      </c>
      <c r="FF156" t="s">
        <v>810</v>
      </c>
      <c r="FG156" t="s">
        <v>1561</v>
      </c>
      <c r="FH156" t="s">
        <v>1562</v>
      </c>
      <c r="FI156" t="s">
        <v>1456</v>
      </c>
      <c r="FJ156" t="s">
        <v>837</v>
      </c>
      <c r="FY156" t="s">
        <v>367</v>
      </c>
      <c r="FZ156" t="s">
        <v>817</v>
      </c>
      <c r="GA156" t="s">
        <v>817</v>
      </c>
      <c r="GB156" t="s">
        <v>879</v>
      </c>
      <c r="GC156" t="s">
        <v>707</v>
      </c>
      <c r="GD156" t="s">
        <v>707</v>
      </c>
      <c r="GE156" t="s">
        <v>879</v>
      </c>
      <c r="GF156" t="s">
        <v>796</v>
      </c>
      <c r="GG156" t="s">
        <v>796</v>
      </c>
      <c r="GH156" t="s">
        <v>795</v>
      </c>
      <c r="GI156" t="s">
        <v>793</v>
      </c>
      <c r="GJ156" t="s">
        <v>793</v>
      </c>
      <c r="GK156" t="s">
        <v>879</v>
      </c>
      <c r="GL156" t="s">
        <v>1120</v>
      </c>
      <c r="GM156" t="s">
        <v>1121</v>
      </c>
      <c r="GN156" t="s">
        <v>779</v>
      </c>
      <c r="GO156" t="s">
        <v>838</v>
      </c>
      <c r="GP156" t="s">
        <v>839</v>
      </c>
      <c r="GQ156" t="s">
        <v>39</v>
      </c>
      <c r="GR156" t="s">
        <v>840</v>
      </c>
      <c r="GS156" t="s">
        <v>841</v>
      </c>
      <c r="GT156" t="s">
        <v>842</v>
      </c>
      <c r="GU156" t="s">
        <v>843</v>
      </c>
      <c r="GV156" t="s">
        <v>844</v>
      </c>
      <c r="GW156" t="s">
        <v>40</v>
      </c>
      <c r="GX156" t="s">
        <v>845</v>
      </c>
      <c r="GY156" t="s">
        <v>846</v>
      </c>
      <c r="GZ156" t="s">
        <v>847</v>
      </c>
      <c r="HA156" t="s">
        <v>848</v>
      </c>
      <c r="HB156" t="s">
        <v>849</v>
      </c>
      <c r="HC156" t="s">
        <v>837</v>
      </c>
      <c r="HR156" t="s">
        <v>403</v>
      </c>
      <c r="HS156" t="s">
        <v>804</v>
      </c>
      <c r="HT156" t="s">
        <v>701</v>
      </c>
      <c r="HU156" t="s">
        <v>852</v>
      </c>
      <c r="HV156" t="s">
        <v>793</v>
      </c>
      <c r="HW156" t="s">
        <v>817</v>
      </c>
      <c r="HX156" t="s">
        <v>1118</v>
      </c>
      <c r="HY156" t="s">
        <v>793</v>
      </c>
      <c r="HZ156" t="s">
        <v>817</v>
      </c>
      <c r="IA156" t="s">
        <v>1025</v>
      </c>
      <c r="IB156" t="s">
        <v>793</v>
      </c>
      <c r="IC156" t="s">
        <v>859</v>
      </c>
      <c r="ID156" t="s">
        <v>861</v>
      </c>
      <c r="IE156" t="s">
        <v>1198</v>
      </c>
      <c r="IF156" t="s">
        <v>1486</v>
      </c>
      <c r="IG156" t="s">
        <v>192</v>
      </c>
      <c r="IH156" t="s">
        <v>859</v>
      </c>
      <c r="II156" t="s">
        <v>1023</v>
      </c>
      <c r="IJ156" t="s">
        <v>1318</v>
      </c>
      <c r="IK156" t="s">
        <v>796</v>
      </c>
      <c r="IL156" t="s">
        <v>796</v>
      </c>
      <c r="IM156" t="s">
        <v>865</v>
      </c>
      <c r="IN156" t="s">
        <v>796</v>
      </c>
      <c r="IO156" t="s">
        <v>793</v>
      </c>
      <c r="IP156" t="s">
        <v>795</v>
      </c>
      <c r="IQ156" t="s">
        <v>859</v>
      </c>
      <c r="IR156" t="s">
        <v>1023</v>
      </c>
      <c r="IS156" t="s">
        <v>1318</v>
      </c>
      <c r="IT156" t="s">
        <v>1567</v>
      </c>
      <c r="IU156" t="s">
        <v>1117</v>
      </c>
      <c r="IV156" t="s">
        <v>779</v>
      </c>
      <c r="IW156" t="s">
        <v>838</v>
      </c>
      <c r="IX156" t="s">
        <v>839</v>
      </c>
      <c r="IY156" t="s">
        <v>39</v>
      </c>
      <c r="IZ156" t="s">
        <v>840</v>
      </c>
      <c r="JA156" t="s">
        <v>841</v>
      </c>
      <c r="JB156" t="s">
        <v>842</v>
      </c>
      <c r="JC156" t="s">
        <v>843</v>
      </c>
      <c r="JD156" t="s">
        <v>844</v>
      </c>
      <c r="JE156" t="s">
        <v>40</v>
      </c>
      <c r="JF156" t="s">
        <v>845</v>
      </c>
      <c r="JG156" t="s">
        <v>846</v>
      </c>
      <c r="JH156" t="s">
        <v>847</v>
      </c>
      <c r="JI156" t="s">
        <v>848</v>
      </c>
      <c r="JJ156" t="s">
        <v>849</v>
      </c>
      <c r="JK156" t="s">
        <v>418</v>
      </c>
      <c r="JL156" t="s">
        <v>851</v>
      </c>
      <c r="JM156" t="s">
        <v>701</v>
      </c>
      <c r="JN156" t="s">
        <v>880</v>
      </c>
      <c r="JO156" t="s">
        <v>707</v>
      </c>
      <c r="JP156" t="s">
        <v>707</v>
      </c>
      <c r="JQ156" t="s">
        <v>879</v>
      </c>
      <c r="JR156" t="s">
        <v>800</v>
      </c>
      <c r="JS156" t="s">
        <v>701</v>
      </c>
      <c r="JT156" t="s">
        <v>1486</v>
      </c>
      <c r="JU156" t="s">
        <v>815</v>
      </c>
      <c r="JV156" t="s">
        <v>810</v>
      </c>
      <c r="JW156" t="s">
        <v>1731</v>
      </c>
      <c r="JX156" t="s">
        <v>1453</v>
      </c>
      <c r="JY156" t="s">
        <v>1172</v>
      </c>
      <c r="JZ156" t="s">
        <v>779</v>
      </c>
      <c r="KA156" t="s">
        <v>838</v>
      </c>
      <c r="KB156" t="s">
        <v>839</v>
      </c>
      <c r="KC156" t="s">
        <v>39</v>
      </c>
      <c r="KD156" t="s">
        <v>840</v>
      </c>
      <c r="KE156" t="s">
        <v>841</v>
      </c>
      <c r="KF156" t="s">
        <v>842</v>
      </c>
      <c r="KG156" t="s">
        <v>843</v>
      </c>
      <c r="KH156" t="s">
        <v>844</v>
      </c>
      <c r="KI156" t="s">
        <v>40</v>
      </c>
      <c r="KJ156" t="s">
        <v>845</v>
      </c>
      <c r="KK156" t="s">
        <v>846</v>
      </c>
      <c r="KL156" t="s">
        <v>847</v>
      </c>
      <c r="KM156" t="s">
        <v>848</v>
      </c>
      <c r="KN156" t="s">
        <v>849</v>
      </c>
      <c r="KO156" t="s">
        <v>452</v>
      </c>
      <c r="KP156" t="s">
        <v>805</v>
      </c>
      <c r="KQ156" t="s">
        <v>1062</v>
      </c>
      <c r="KR156" t="s">
        <v>1761</v>
      </c>
      <c r="KS156" t="s">
        <v>707</v>
      </c>
      <c r="KT156" t="s">
        <v>792</v>
      </c>
      <c r="KU156" t="s">
        <v>880</v>
      </c>
      <c r="KV156" t="s">
        <v>859</v>
      </c>
      <c r="KW156" t="s">
        <v>805</v>
      </c>
      <c r="KX156" t="s">
        <v>1661</v>
      </c>
      <c r="KY156" t="s">
        <v>800</v>
      </c>
      <c r="KZ156" t="s">
        <v>803</v>
      </c>
      <c r="LA156" t="s">
        <v>1641</v>
      </c>
      <c r="LB156" t="s">
        <v>1762</v>
      </c>
      <c r="LC156" t="s">
        <v>896</v>
      </c>
      <c r="LD156" t="s">
        <v>243</v>
      </c>
      <c r="LE156" t="s">
        <v>851</v>
      </c>
      <c r="LF156" t="s">
        <v>803</v>
      </c>
      <c r="LG156" t="s">
        <v>1089</v>
      </c>
      <c r="LH156" t="s">
        <v>792</v>
      </c>
      <c r="LI156" t="s">
        <v>815</v>
      </c>
      <c r="LJ156" t="s">
        <v>858</v>
      </c>
      <c r="LK156" t="s">
        <v>793</v>
      </c>
      <c r="LL156" t="s">
        <v>851</v>
      </c>
      <c r="LM156" t="s">
        <v>1199</v>
      </c>
      <c r="LN156" t="s">
        <v>817</v>
      </c>
      <c r="LO156" t="s">
        <v>810</v>
      </c>
      <c r="LP156" t="s">
        <v>1034</v>
      </c>
      <c r="LQ156" t="s">
        <v>1777</v>
      </c>
      <c r="LR156" t="s">
        <v>1037</v>
      </c>
      <c r="LS156" t="s">
        <v>779</v>
      </c>
      <c r="LT156" t="s">
        <v>838</v>
      </c>
      <c r="LU156" t="s">
        <v>839</v>
      </c>
      <c r="LV156" t="s">
        <v>39</v>
      </c>
      <c r="LW156" t="s">
        <v>840</v>
      </c>
      <c r="LX156" t="s">
        <v>841</v>
      </c>
      <c r="LY156" t="s">
        <v>842</v>
      </c>
      <c r="LZ156" t="s">
        <v>843</v>
      </c>
      <c r="MA156" t="s">
        <v>844</v>
      </c>
      <c r="MB156" t="s">
        <v>40</v>
      </c>
      <c r="MC156" t="s">
        <v>845</v>
      </c>
      <c r="MD156" t="s">
        <v>846</v>
      </c>
      <c r="ME156" t="s">
        <v>847</v>
      </c>
      <c r="MF156" t="s">
        <v>848</v>
      </c>
      <c r="MG156" t="s">
        <v>849</v>
      </c>
      <c r="MH156" t="s">
        <v>837</v>
      </c>
      <c r="MW156" t="s">
        <v>837</v>
      </c>
      <c r="NL156" t="s">
        <v>275</v>
      </c>
      <c r="NM156" t="s">
        <v>800</v>
      </c>
      <c r="NN156" t="s">
        <v>853</v>
      </c>
      <c r="NO156" t="s">
        <v>870</v>
      </c>
      <c r="NP156" t="s">
        <v>796</v>
      </c>
      <c r="NQ156" t="s">
        <v>796</v>
      </c>
      <c r="NR156" t="s">
        <v>865</v>
      </c>
      <c r="NS156" t="s">
        <v>697</v>
      </c>
      <c r="NT156" t="s">
        <v>701</v>
      </c>
      <c r="NU156" t="s">
        <v>873</v>
      </c>
      <c r="NV156" t="s">
        <v>800</v>
      </c>
      <c r="NW156" t="s">
        <v>853</v>
      </c>
      <c r="NX156" t="s">
        <v>870</v>
      </c>
      <c r="NY156" t="s">
        <v>1845</v>
      </c>
      <c r="NZ156" t="s">
        <v>883</v>
      </c>
    </row>
    <row r="157" spans="1:390" ht="15.75" hidden="1" customHeight="1" x14ac:dyDescent="0.25">
      <c r="A157" t="s">
        <v>837</v>
      </c>
      <c r="P157" t="s">
        <v>837</v>
      </c>
      <c r="AE157" t="s">
        <v>837</v>
      </c>
      <c r="AT157" t="s">
        <v>488</v>
      </c>
      <c r="AU157" t="s">
        <v>817</v>
      </c>
      <c r="AV157" t="s">
        <v>817</v>
      </c>
      <c r="AW157" t="s">
        <v>879</v>
      </c>
      <c r="AX157" t="s">
        <v>707</v>
      </c>
      <c r="AY157" t="s">
        <v>707</v>
      </c>
      <c r="AZ157" t="s">
        <v>879</v>
      </c>
      <c r="BA157" t="s">
        <v>796</v>
      </c>
      <c r="BB157" t="s">
        <v>796</v>
      </c>
      <c r="BC157" t="s">
        <v>795</v>
      </c>
      <c r="BD157" t="s">
        <v>793</v>
      </c>
      <c r="BE157" t="s">
        <v>793</v>
      </c>
      <c r="BF157" t="s">
        <v>879</v>
      </c>
      <c r="BG157" t="s">
        <v>1120</v>
      </c>
      <c r="BH157" t="s">
        <v>1121</v>
      </c>
      <c r="BI157" t="s">
        <v>837</v>
      </c>
      <c r="BX157" t="s">
        <v>524</v>
      </c>
      <c r="BY157" t="s">
        <v>859</v>
      </c>
      <c r="BZ157" t="s">
        <v>821</v>
      </c>
      <c r="CA157" t="s">
        <v>1194</v>
      </c>
      <c r="CB157" t="s">
        <v>703</v>
      </c>
      <c r="CC157" t="s">
        <v>851</v>
      </c>
      <c r="CD157" t="s">
        <v>1115</v>
      </c>
      <c r="CE157" t="s">
        <v>817</v>
      </c>
      <c r="CF157" t="s">
        <v>817</v>
      </c>
      <c r="CG157" t="s">
        <v>806</v>
      </c>
      <c r="CH157" t="s">
        <v>815</v>
      </c>
      <c r="CI157" t="s">
        <v>800</v>
      </c>
      <c r="CJ157" t="s">
        <v>1078</v>
      </c>
      <c r="CK157" t="s">
        <v>1195</v>
      </c>
      <c r="CL157" t="s">
        <v>1196</v>
      </c>
      <c r="CM157" t="s">
        <v>74</v>
      </c>
      <c r="CN157" t="s">
        <v>851</v>
      </c>
      <c r="CO157" t="s">
        <v>701</v>
      </c>
      <c r="CP157" t="s">
        <v>880</v>
      </c>
      <c r="CQ157" t="s">
        <v>792</v>
      </c>
      <c r="CR157" t="s">
        <v>851</v>
      </c>
      <c r="CS157" t="s">
        <v>1080</v>
      </c>
      <c r="CT157" t="s">
        <v>859</v>
      </c>
      <c r="CU157" t="s">
        <v>859</v>
      </c>
      <c r="CV157" t="s">
        <v>806</v>
      </c>
      <c r="CW157" t="s">
        <v>817</v>
      </c>
      <c r="CX157" t="s">
        <v>851</v>
      </c>
      <c r="CY157" t="s">
        <v>869</v>
      </c>
      <c r="CZ157" t="s">
        <v>1453</v>
      </c>
      <c r="DA157" t="s">
        <v>1199</v>
      </c>
      <c r="DB157" t="s">
        <v>779</v>
      </c>
      <c r="DC157" t="s">
        <v>838</v>
      </c>
      <c r="DD157" t="s">
        <v>839</v>
      </c>
      <c r="DE157" t="s">
        <v>39</v>
      </c>
      <c r="DF157" t="s">
        <v>840</v>
      </c>
      <c r="DG157" t="s">
        <v>841</v>
      </c>
      <c r="DH157" t="s">
        <v>842</v>
      </c>
      <c r="DI157" t="s">
        <v>843</v>
      </c>
      <c r="DJ157" t="s">
        <v>844</v>
      </c>
      <c r="DK157" t="s">
        <v>40</v>
      </c>
      <c r="DL157" t="s">
        <v>845</v>
      </c>
      <c r="DM157" t="s">
        <v>846</v>
      </c>
      <c r="DN157" t="s">
        <v>847</v>
      </c>
      <c r="DO157" t="s">
        <v>848</v>
      </c>
      <c r="DP157" t="s">
        <v>849</v>
      </c>
      <c r="DQ157" t="s">
        <v>123</v>
      </c>
      <c r="DR157" t="s">
        <v>800</v>
      </c>
      <c r="DS157" t="s">
        <v>1005</v>
      </c>
      <c r="DT157" t="s">
        <v>1155</v>
      </c>
      <c r="DU157" t="s">
        <v>796</v>
      </c>
      <c r="DV157" t="s">
        <v>792</v>
      </c>
      <c r="DW157" t="s">
        <v>865</v>
      </c>
      <c r="DX157" t="s">
        <v>703</v>
      </c>
      <c r="DY157" t="s">
        <v>703</v>
      </c>
      <c r="DZ157" t="s">
        <v>806</v>
      </c>
      <c r="EA157" t="s">
        <v>800</v>
      </c>
      <c r="EB157" t="s">
        <v>1023</v>
      </c>
      <c r="EC157" t="s">
        <v>1038</v>
      </c>
      <c r="ED157" t="s">
        <v>1514</v>
      </c>
      <c r="EE157" t="s">
        <v>1117</v>
      </c>
      <c r="EF157" t="s">
        <v>779</v>
      </c>
      <c r="EG157" t="s">
        <v>838</v>
      </c>
      <c r="EH157" t="s">
        <v>839</v>
      </c>
      <c r="EI157" t="s">
        <v>39</v>
      </c>
      <c r="EJ157" t="s">
        <v>840</v>
      </c>
      <c r="EK157" t="s">
        <v>841</v>
      </c>
      <c r="EL157" t="s">
        <v>842</v>
      </c>
      <c r="EM157" t="s">
        <v>843</v>
      </c>
      <c r="EN157" t="s">
        <v>844</v>
      </c>
      <c r="EO157" t="s">
        <v>40</v>
      </c>
      <c r="EP157" t="s">
        <v>845</v>
      </c>
      <c r="EQ157" t="s">
        <v>846</v>
      </c>
      <c r="ER157" t="s">
        <v>847</v>
      </c>
      <c r="ES157" t="s">
        <v>848</v>
      </c>
      <c r="ET157" t="s">
        <v>849</v>
      </c>
      <c r="EU157" t="s">
        <v>325</v>
      </c>
      <c r="EV157" t="s">
        <v>851</v>
      </c>
      <c r="EW157" t="s">
        <v>697</v>
      </c>
      <c r="EX157" t="s">
        <v>1484</v>
      </c>
      <c r="EY157" t="s">
        <v>792</v>
      </c>
      <c r="EZ157" t="s">
        <v>703</v>
      </c>
      <c r="FA157" t="s">
        <v>870</v>
      </c>
      <c r="FB157" t="s">
        <v>815</v>
      </c>
      <c r="FC157" t="s">
        <v>815</v>
      </c>
      <c r="FD157" t="s">
        <v>806</v>
      </c>
      <c r="FE157" t="s">
        <v>817</v>
      </c>
      <c r="FF157" t="s">
        <v>859</v>
      </c>
      <c r="FG157" t="s">
        <v>1155</v>
      </c>
      <c r="FH157" t="s">
        <v>1563</v>
      </c>
      <c r="FI157" t="s">
        <v>883</v>
      </c>
      <c r="FJ157" t="s">
        <v>779</v>
      </c>
      <c r="FK157" t="s">
        <v>838</v>
      </c>
      <c r="FL157" t="s">
        <v>839</v>
      </c>
      <c r="FM157" t="s">
        <v>39</v>
      </c>
      <c r="FN157" t="s">
        <v>840</v>
      </c>
      <c r="FO157" t="s">
        <v>841</v>
      </c>
      <c r="FP157" t="s">
        <v>842</v>
      </c>
      <c r="FQ157" t="s">
        <v>843</v>
      </c>
      <c r="FR157" t="s">
        <v>844</v>
      </c>
      <c r="FS157" t="s">
        <v>40</v>
      </c>
      <c r="FT157" t="s">
        <v>845</v>
      </c>
      <c r="FU157" t="s">
        <v>846</v>
      </c>
      <c r="FV157" t="s">
        <v>847</v>
      </c>
      <c r="FW157" t="s">
        <v>848</v>
      </c>
      <c r="FX157" t="s">
        <v>849</v>
      </c>
      <c r="FY157" t="s">
        <v>354</v>
      </c>
      <c r="FZ157" t="s">
        <v>859</v>
      </c>
      <c r="GA157" t="s">
        <v>803</v>
      </c>
      <c r="GB157" t="s">
        <v>1157</v>
      </c>
      <c r="GC157" t="s">
        <v>707</v>
      </c>
      <c r="GD157" t="s">
        <v>851</v>
      </c>
      <c r="GE157" t="s">
        <v>1083</v>
      </c>
      <c r="GF157" t="s">
        <v>853</v>
      </c>
      <c r="GG157" t="s">
        <v>1023</v>
      </c>
      <c r="GH157" t="s">
        <v>1613</v>
      </c>
      <c r="GI157" t="s">
        <v>804</v>
      </c>
      <c r="GJ157" t="s">
        <v>697</v>
      </c>
      <c r="GK157" t="s">
        <v>870</v>
      </c>
      <c r="GL157" t="s">
        <v>1614</v>
      </c>
      <c r="GM157" t="s">
        <v>866</v>
      </c>
      <c r="GN157" t="s">
        <v>178</v>
      </c>
      <c r="GO157" t="s">
        <v>810</v>
      </c>
      <c r="GP157" t="s">
        <v>803</v>
      </c>
      <c r="GQ157" t="s">
        <v>1124</v>
      </c>
      <c r="GR157" t="s">
        <v>707</v>
      </c>
      <c r="GS157" t="s">
        <v>792</v>
      </c>
      <c r="GT157" t="s">
        <v>880</v>
      </c>
      <c r="GU157" t="s">
        <v>703</v>
      </c>
      <c r="GV157" t="s">
        <v>817</v>
      </c>
      <c r="GW157" t="s">
        <v>1468</v>
      </c>
      <c r="GX157" t="s">
        <v>697</v>
      </c>
      <c r="GY157" t="s">
        <v>821</v>
      </c>
      <c r="GZ157" t="s">
        <v>1634</v>
      </c>
      <c r="HA157" t="s">
        <v>1635</v>
      </c>
      <c r="HB157" t="s">
        <v>1486</v>
      </c>
      <c r="HC157" t="s">
        <v>779</v>
      </c>
      <c r="HD157" t="s">
        <v>838</v>
      </c>
      <c r="HE157" t="s">
        <v>839</v>
      </c>
      <c r="HF157" t="s">
        <v>39</v>
      </c>
      <c r="HG157" t="s">
        <v>840</v>
      </c>
      <c r="HH157" t="s">
        <v>841</v>
      </c>
      <c r="HI157" t="s">
        <v>842</v>
      </c>
      <c r="HJ157" t="s">
        <v>843</v>
      </c>
      <c r="HK157" t="s">
        <v>844</v>
      </c>
      <c r="HL157" t="s">
        <v>40</v>
      </c>
      <c r="HM157" t="s">
        <v>845</v>
      </c>
      <c r="HN157" t="s">
        <v>846</v>
      </c>
      <c r="HO157" t="s">
        <v>847</v>
      </c>
      <c r="HP157" t="s">
        <v>848</v>
      </c>
      <c r="HQ157" t="s">
        <v>849</v>
      </c>
      <c r="HR157" t="s">
        <v>614</v>
      </c>
      <c r="HS157" t="s">
        <v>703</v>
      </c>
      <c r="HT157" t="s">
        <v>804</v>
      </c>
      <c r="HU157" t="s">
        <v>1454</v>
      </c>
      <c r="HV157" t="s">
        <v>707</v>
      </c>
      <c r="HW157" t="s">
        <v>792</v>
      </c>
      <c r="HX157" t="s">
        <v>880</v>
      </c>
      <c r="HY157" t="s">
        <v>796</v>
      </c>
      <c r="HZ157" t="s">
        <v>796</v>
      </c>
      <c r="IA157" t="s">
        <v>795</v>
      </c>
      <c r="IB157" t="s">
        <v>792</v>
      </c>
      <c r="IC157" t="s">
        <v>815</v>
      </c>
      <c r="ID157" t="s">
        <v>858</v>
      </c>
      <c r="IE157" t="s">
        <v>1519</v>
      </c>
      <c r="IF157" t="s">
        <v>1077</v>
      </c>
      <c r="IG157" t="s">
        <v>196</v>
      </c>
      <c r="IH157" t="s">
        <v>851</v>
      </c>
      <c r="II157" t="s">
        <v>805</v>
      </c>
      <c r="IJ157" t="s">
        <v>1591</v>
      </c>
      <c r="IK157" t="s">
        <v>796</v>
      </c>
      <c r="IL157" t="s">
        <v>707</v>
      </c>
      <c r="IM157" t="s">
        <v>865</v>
      </c>
      <c r="IN157" t="s">
        <v>707</v>
      </c>
      <c r="IO157" t="s">
        <v>707</v>
      </c>
      <c r="IP157" t="s">
        <v>806</v>
      </c>
      <c r="IQ157" t="s">
        <v>851</v>
      </c>
      <c r="IR157" t="s">
        <v>800</v>
      </c>
      <c r="IS157" t="s">
        <v>1301</v>
      </c>
      <c r="IT157" t="s">
        <v>1565</v>
      </c>
      <c r="IU157" t="s">
        <v>856</v>
      </c>
      <c r="IV157" t="s">
        <v>209</v>
      </c>
      <c r="IW157" t="s">
        <v>810</v>
      </c>
      <c r="IX157" t="s">
        <v>1062</v>
      </c>
      <c r="IY157" t="s">
        <v>1710</v>
      </c>
      <c r="IZ157" t="s">
        <v>707</v>
      </c>
      <c r="JA157" t="s">
        <v>792</v>
      </c>
      <c r="JB157" t="s">
        <v>880</v>
      </c>
      <c r="JC157" t="s">
        <v>793</v>
      </c>
      <c r="JD157" t="s">
        <v>815</v>
      </c>
      <c r="JE157" t="s">
        <v>883</v>
      </c>
      <c r="JF157" t="s">
        <v>697</v>
      </c>
      <c r="JG157" t="s">
        <v>803</v>
      </c>
      <c r="JH157" t="s">
        <v>1711</v>
      </c>
      <c r="JI157" t="s">
        <v>1712</v>
      </c>
      <c r="JJ157" t="s">
        <v>856</v>
      </c>
      <c r="JK157" t="s">
        <v>423</v>
      </c>
      <c r="JL157" t="s">
        <v>817</v>
      </c>
      <c r="JM157" t="s">
        <v>800</v>
      </c>
      <c r="JN157" t="s">
        <v>880</v>
      </c>
      <c r="JO157" t="s">
        <v>796</v>
      </c>
      <c r="JP157" t="s">
        <v>707</v>
      </c>
      <c r="JQ157" t="s">
        <v>865</v>
      </c>
      <c r="JR157" t="s">
        <v>792</v>
      </c>
      <c r="JS157" t="s">
        <v>792</v>
      </c>
      <c r="JT157" t="s">
        <v>806</v>
      </c>
      <c r="JU157" t="s">
        <v>817</v>
      </c>
      <c r="JV157" t="s">
        <v>859</v>
      </c>
      <c r="JW157" t="s">
        <v>1155</v>
      </c>
      <c r="JX157" t="s">
        <v>1032</v>
      </c>
      <c r="JY157" t="s">
        <v>866</v>
      </c>
      <c r="JZ157" t="s">
        <v>434</v>
      </c>
      <c r="KA157" t="s">
        <v>821</v>
      </c>
      <c r="KB157" t="s">
        <v>1002</v>
      </c>
      <c r="KC157" t="s">
        <v>880</v>
      </c>
      <c r="KD157" t="s">
        <v>796</v>
      </c>
      <c r="KE157" t="s">
        <v>792</v>
      </c>
      <c r="KF157" t="s">
        <v>865</v>
      </c>
      <c r="KG157" t="s">
        <v>1023</v>
      </c>
      <c r="KH157" t="s">
        <v>821</v>
      </c>
      <c r="KI157" t="s">
        <v>1613</v>
      </c>
      <c r="KJ157" t="s">
        <v>821</v>
      </c>
      <c r="KK157" t="s">
        <v>797</v>
      </c>
      <c r="KL157" t="s">
        <v>1699</v>
      </c>
      <c r="KM157" t="s">
        <v>1750</v>
      </c>
      <c r="KN157" t="s">
        <v>866</v>
      </c>
      <c r="KO157" t="s">
        <v>453</v>
      </c>
      <c r="KP157" t="s">
        <v>851</v>
      </c>
      <c r="KQ157" t="s">
        <v>701</v>
      </c>
      <c r="KR157" t="s">
        <v>880</v>
      </c>
      <c r="KS157" t="s">
        <v>796</v>
      </c>
      <c r="KT157" t="s">
        <v>796</v>
      </c>
      <c r="KU157" t="s">
        <v>865</v>
      </c>
      <c r="KV157" t="s">
        <v>703</v>
      </c>
      <c r="KW157" t="s">
        <v>793</v>
      </c>
      <c r="KX157" t="s">
        <v>860</v>
      </c>
      <c r="KY157" t="s">
        <v>851</v>
      </c>
      <c r="KZ157" t="s">
        <v>701</v>
      </c>
      <c r="LA157" t="s">
        <v>880</v>
      </c>
      <c r="LB157" t="s">
        <v>1763</v>
      </c>
      <c r="LC157" t="s">
        <v>866</v>
      </c>
      <c r="LD157" t="s">
        <v>244</v>
      </c>
      <c r="LE157" t="s">
        <v>793</v>
      </c>
      <c r="LF157" t="s">
        <v>697</v>
      </c>
      <c r="LG157" t="s">
        <v>858</v>
      </c>
      <c r="LH157" t="s">
        <v>796</v>
      </c>
      <c r="LI157" t="s">
        <v>792</v>
      </c>
      <c r="LJ157" t="s">
        <v>865</v>
      </c>
      <c r="LK157" t="s">
        <v>804</v>
      </c>
      <c r="LL157" t="s">
        <v>804</v>
      </c>
      <c r="LM157" t="s">
        <v>806</v>
      </c>
      <c r="LN157" t="s">
        <v>793</v>
      </c>
      <c r="LO157" t="s">
        <v>800</v>
      </c>
      <c r="LP157" t="s">
        <v>857</v>
      </c>
      <c r="LQ157" t="s">
        <v>882</v>
      </c>
      <c r="LR157" t="s">
        <v>885</v>
      </c>
      <c r="LS157" t="s">
        <v>266</v>
      </c>
      <c r="LT157" t="s">
        <v>792</v>
      </c>
      <c r="LU157" t="s">
        <v>792</v>
      </c>
      <c r="LV157" t="s">
        <v>879</v>
      </c>
      <c r="LW157" t="s">
        <v>796</v>
      </c>
      <c r="LX157" t="s">
        <v>796</v>
      </c>
      <c r="LY157" t="s">
        <v>865</v>
      </c>
      <c r="LZ157" t="s">
        <v>792</v>
      </c>
      <c r="MA157" t="s">
        <v>792</v>
      </c>
      <c r="MB157" t="s">
        <v>806</v>
      </c>
      <c r="MC157" t="s">
        <v>792</v>
      </c>
      <c r="MD157" t="s">
        <v>792</v>
      </c>
      <c r="ME157" t="s">
        <v>879</v>
      </c>
      <c r="MF157" t="s">
        <v>1163</v>
      </c>
      <c r="MG157" t="s">
        <v>806</v>
      </c>
      <c r="MH157" t="s">
        <v>779</v>
      </c>
      <c r="MI157" t="s">
        <v>838</v>
      </c>
      <c r="MJ157" t="s">
        <v>839</v>
      </c>
      <c r="MK157" t="s">
        <v>39</v>
      </c>
      <c r="ML157" t="s">
        <v>840</v>
      </c>
      <c r="MM157" t="s">
        <v>841</v>
      </c>
      <c r="MN157" t="s">
        <v>842</v>
      </c>
      <c r="MO157" t="s">
        <v>843</v>
      </c>
      <c r="MP157" t="s">
        <v>844</v>
      </c>
      <c r="MQ157" t="s">
        <v>40</v>
      </c>
      <c r="MR157" t="s">
        <v>845</v>
      </c>
      <c r="MS157" t="s">
        <v>846</v>
      </c>
      <c r="MT157" t="s">
        <v>847</v>
      </c>
      <c r="MU157" t="s">
        <v>848</v>
      </c>
      <c r="MV157" t="s">
        <v>849</v>
      </c>
      <c r="MW157" t="s">
        <v>779</v>
      </c>
      <c r="MX157" t="s">
        <v>838</v>
      </c>
      <c r="MY157" t="s">
        <v>839</v>
      </c>
      <c r="MZ157" t="s">
        <v>39</v>
      </c>
      <c r="NA157" t="s">
        <v>840</v>
      </c>
      <c r="NB157" t="s">
        <v>841</v>
      </c>
      <c r="NC157" t="s">
        <v>842</v>
      </c>
      <c r="ND157" t="s">
        <v>843</v>
      </c>
      <c r="NE157" t="s">
        <v>844</v>
      </c>
      <c r="NF157" t="s">
        <v>40</v>
      </c>
      <c r="NG157" t="s">
        <v>845</v>
      </c>
      <c r="NH157" t="s">
        <v>846</v>
      </c>
      <c r="NI157" t="s">
        <v>847</v>
      </c>
      <c r="NJ157" t="s">
        <v>848</v>
      </c>
      <c r="NK157" t="s">
        <v>849</v>
      </c>
      <c r="NL157" t="s">
        <v>273</v>
      </c>
      <c r="NM157" t="s">
        <v>821</v>
      </c>
      <c r="NN157" t="s">
        <v>998</v>
      </c>
      <c r="NO157" t="s">
        <v>1320</v>
      </c>
      <c r="NP157" t="s">
        <v>796</v>
      </c>
      <c r="NQ157" t="s">
        <v>792</v>
      </c>
      <c r="NR157" t="s">
        <v>865</v>
      </c>
      <c r="NS157" t="s">
        <v>815</v>
      </c>
      <c r="NT157" t="s">
        <v>815</v>
      </c>
      <c r="NU157" t="s">
        <v>806</v>
      </c>
      <c r="NV157" t="s">
        <v>821</v>
      </c>
      <c r="NW157" t="s">
        <v>798</v>
      </c>
      <c r="NX157" t="s">
        <v>1846</v>
      </c>
      <c r="NY157" t="s">
        <v>1847</v>
      </c>
      <c r="NZ157" t="s">
        <v>1679</v>
      </c>
    </row>
    <row r="158" spans="1:390" ht="15.75" hidden="1" customHeight="1" x14ac:dyDescent="0.25">
      <c r="A158" t="s">
        <v>779</v>
      </c>
      <c r="B158" t="s">
        <v>838</v>
      </c>
      <c r="C158" t="s">
        <v>839</v>
      </c>
      <c r="D158" t="s">
        <v>39</v>
      </c>
      <c r="E158" t="s">
        <v>840</v>
      </c>
      <c r="F158" t="s">
        <v>841</v>
      </c>
      <c r="G158" t="s">
        <v>842</v>
      </c>
      <c r="H158" t="s">
        <v>843</v>
      </c>
      <c r="I158" t="s">
        <v>844</v>
      </c>
      <c r="J158" t="s">
        <v>40</v>
      </c>
      <c r="K158" t="s">
        <v>845</v>
      </c>
      <c r="L158" t="s">
        <v>846</v>
      </c>
      <c r="M158" t="s">
        <v>847</v>
      </c>
      <c r="N158" t="s">
        <v>848</v>
      </c>
      <c r="O158" t="s">
        <v>849</v>
      </c>
      <c r="P158" t="s">
        <v>779</v>
      </c>
      <c r="Q158" t="s">
        <v>838</v>
      </c>
      <c r="R158" t="s">
        <v>839</v>
      </c>
      <c r="S158" t="s">
        <v>39</v>
      </c>
      <c r="T158" t="s">
        <v>840</v>
      </c>
      <c r="U158" t="s">
        <v>841</v>
      </c>
      <c r="V158" t="s">
        <v>842</v>
      </c>
      <c r="W158" t="s">
        <v>843</v>
      </c>
      <c r="X158" t="s">
        <v>844</v>
      </c>
      <c r="Y158" t="s">
        <v>40</v>
      </c>
      <c r="Z158" t="s">
        <v>845</v>
      </c>
      <c r="AA158" t="s">
        <v>846</v>
      </c>
      <c r="AB158" t="s">
        <v>847</v>
      </c>
      <c r="AC158" t="s">
        <v>848</v>
      </c>
      <c r="AD158" t="s">
        <v>849</v>
      </c>
      <c r="AE158" t="s">
        <v>779</v>
      </c>
      <c r="AF158" t="s">
        <v>838</v>
      </c>
      <c r="AG158" t="s">
        <v>839</v>
      </c>
      <c r="AH158" t="s">
        <v>39</v>
      </c>
      <c r="AI158" t="s">
        <v>840</v>
      </c>
      <c r="AJ158" t="s">
        <v>841</v>
      </c>
      <c r="AK158" t="s">
        <v>842</v>
      </c>
      <c r="AL158" t="s">
        <v>843</v>
      </c>
      <c r="AM158" t="s">
        <v>844</v>
      </c>
      <c r="AN158" t="s">
        <v>40</v>
      </c>
      <c r="AO158" t="s">
        <v>845</v>
      </c>
      <c r="AP158" t="s">
        <v>846</v>
      </c>
      <c r="AQ158" t="s">
        <v>847</v>
      </c>
      <c r="AR158" t="s">
        <v>848</v>
      </c>
      <c r="AS158" t="s">
        <v>849</v>
      </c>
      <c r="AT158" t="s">
        <v>481</v>
      </c>
      <c r="AU158" t="s">
        <v>815</v>
      </c>
      <c r="AV158" t="s">
        <v>800</v>
      </c>
      <c r="AW158" t="s">
        <v>1078</v>
      </c>
      <c r="AX158" t="s">
        <v>793</v>
      </c>
      <c r="AY158" t="s">
        <v>817</v>
      </c>
      <c r="AZ158" t="s">
        <v>1118</v>
      </c>
      <c r="BA158" t="s">
        <v>792</v>
      </c>
      <c r="BB158" t="s">
        <v>792</v>
      </c>
      <c r="BC158" t="s">
        <v>806</v>
      </c>
      <c r="BD158" t="s">
        <v>792</v>
      </c>
      <c r="BE158" t="s">
        <v>817</v>
      </c>
      <c r="BF158" t="s">
        <v>857</v>
      </c>
      <c r="BG158" t="s">
        <v>1119</v>
      </c>
      <c r="BH158" t="s">
        <v>1025</v>
      </c>
      <c r="BI158" t="s">
        <v>779</v>
      </c>
      <c r="BJ158" t="s">
        <v>838</v>
      </c>
      <c r="BK158" t="s">
        <v>839</v>
      </c>
      <c r="BL158" t="s">
        <v>39</v>
      </c>
      <c r="BM158" t="s">
        <v>840</v>
      </c>
      <c r="BN158" t="s">
        <v>841</v>
      </c>
      <c r="BO158" t="s">
        <v>842</v>
      </c>
      <c r="BP158" t="s">
        <v>843</v>
      </c>
      <c r="BQ158" t="s">
        <v>844</v>
      </c>
      <c r="BR158" t="s">
        <v>40</v>
      </c>
      <c r="BS158" t="s">
        <v>845</v>
      </c>
      <c r="BT158" t="s">
        <v>846</v>
      </c>
      <c r="BU158" t="s">
        <v>847</v>
      </c>
      <c r="BV158" t="s">
        <v>848</v>
      </c>
      <c r="BW158" t="s">
        <v>849</v>
      </c>
      <c r="BX158" t="s">
        <v>630</v>
      </c>
      <c r="BY158" t="s">
        <v>792</v>
      </c>
      <c r="BZ158" t="s">
        <v>793</v>
      </c>
      <c r="CA158" t="s">
        <v>880</v>
      </c>
      <c r="CB158" t="s">
        <v>796</v>
      </c>
      <c r="CC158" t="s">
        <v>707</v>
      </c>
      <c r="CD158" t="s">
        <v>865</v>
      </c>
      <c r="CE158" t="s">
        <v>707</v>
      </c>
      <c r="CF158" t="s">
        <v>707</v>
      </c>
      <c r="CG158" t="s">
        <v>806</v>
      </c>
      <c r="CH158" t="s">
        <v>792</v>
      </c>
      <c r="CI158" t="s">
        <v>703</v>
      </c>
      <c r="CJ158" t="s">
        <v>870</v>
      </c>
      <c r="CK158" t="s">
        <v>1200</v>
      </c>
      <c r="CL158" t="s">
        <v>866</v>
      </c>
      <c r="CM158" t="s">
        <v>76</v>
      </c>
      <c r="CN158" t="s">
        <v>859</v>
      </c>
      <c r="CO158" t="s">
        <v>853</v>
      </c>
      <c r="CP158" t="s">
        <v>1078</v>
      </c>
      <c r="CQ158" t="s">
        <v>703</v>
      </c>
      <c r="CR158" t="s">
        <v>804</v>
      </c>
      <c r="CS158" t="s">
        <v>1454</v>
      </c>
      <c r="CT158" t="s">
        <v>796</v>
      </c>
      <c r="CU158" t="s">
        <v>796</v>
      </c>
      <c r="CV158" t="s">
        <v>795</v>
      </c>
      <c r="CW158" t="s">
        <v>815</v>
      </c>
      <c r="CX158" t="s">
        <v>851</v>
      </c>
      <c r="CY158" t="s">
        <v>1452</v>
      </c>
      <c r="CZ158" t="s">
        <v>1085</v>
      </c>
      <c r="DA158" t="s">
        <v>1086</v>
      </c>
      <c r="DB158" t="s">
        <v>549</v>
      </c>
      <c r="DC158" t="s">
        <v>851</v>
      </c>
      <c r="DD158" t="s">
        <v>697</v>
      </c>
      <c r="DE158" t="s">
        <v>1484</v>
      </c>
      <c r="DF158" t="s">
        <v>703</v>
      </c>
      <c r="DG158" t="s">
        <v>815</v>
      </c>
      <c r="DH158" t="s">
        <v>880</v>
      </c>
      <c r="DI158" t="s">
        <v>792</v>
      </c>
      <c r="DJ158" t="s">
        <v>703</v>
      </c>
      <c r="DK158" t="s">
        <v>883</v>
      </c>
      <c r="DL158" t="s">
        <v>793</v>
      </c>
      <c r="DM158" t="s">
        <v>815</v>
      </c>
      <c r="DN158" t="s">
        <v>870</v>
      </c>
      <c r="DO158" t="s">
        <v>1485</v>
      </c>
      <c r="DP158" t="s">
        <v>1486</v>
      </c>
      <c r="DQ158" t="s">
        <v>394</v>
      </c>
      <c r="DR158" t="s">
        <v>815</v>
      </c>
      <c r="DS158" t="s">
        <v>859</v>
      </c>
      <c r="DT158" t="s">
        <v>870</v>
      </c>
      <c r="DU158" t="s">
        <v>796</v>
      </c>
      <c r="DV158" t="s">
        <v>796</v>
      </c>
      <c r="DW158" t="s">
        <v>865</v>
      </c>
      <c r="DX158" t="s">
        <v>703</v>
      </c>
      <c r="DY158" t="s">
        <v>703</v>
      </c>
      <c r="DZ158" t="s">
        <v>806</v>
      </c>
      <c r="EA158" t="s">
        <v>815</v>
      </c>
      <c r="EB158" t="s">
        <v>859</v>
      </c>
      <c r="EC158" t="s">
        <v>870</v>
      </c>
      <c r="ED158" t="s">
        <v>1087</v>
      </c>
      <c r="EE158" t="s">
        <v>883</v>
      </c>
      <c r="EF158" t="s">
        <v>606</v>
      </c>
      <c r="EG158" t="s">
        <v>796</v>
      </c>
      <c r="EH158" t="s">
        <v>796</v>
      </c>
      <c r="EI158" t="s">
        <v>865</v>
      </c>
      <c r="EJ158" t="s">
        <v>796</v>
      </c>
      <c r="EK158" t="s">
        <v>796</v>
      </c>
      <c r="EL158" t="s">
        <v>865</v>
      </c>
      <c r="EM158" t="s">
        <v>796</v>
      </c>
      <c r="EN158" t="s">
        <v>796</v>
      </c>
      <c r="EO158" t="s">
        <v>795</v>
      </c>
      <c r="EP158" t="s">
        <v>796</v>
      </c>
      <c r="EQ158" t="s">
        <v>796</v>
      </c>
      <c r="ER158" t="s">
        <v>865</v>
      </c>
      <c r="ES158" t="s">
        <v>865</v>
      </c>
      <c r="ET158" t="s">
        <v>795</v>
      </c>
      <c r="EU158" t="s">
        <v>324</v>
      </c>
      <c r="EV158" t="s">
        <v>817</v>
      </c>
      <c r="EW158" t="s">
        <v>805</v>
      </c>
      <c r="EX158" t="s">
        <v>1564</v>
      </c>
      <c r="EY158" t="s">
        <v>703</v>
      </c>
      <c r="EZ158" t="s">
        <v>815</v>
      </c>
      <c r="FA158" t="s">
        <v>880</v>
      </c>
      <c r="FB158" t="s">
        <v>792</v>
      </c>
      <c r="FC158" t="s">
        <v>793</v>
      </c>
      <c r="FD158" t="s">
        <v>866</v>
      </c>
      <c r="FE158" t="s">
        <v>792</v>
      </c>
      <c r="FF158" t="s">
        <v>817</v>
      </c>
      <c r="FG158" t="s">
        <v>857</v>
      </c>
      <c r="FH158" t="s">
        <v>1565</v>
      </c>
      <c r="FI158" t="s">
        <v>1566</v>
      </c>
      <c r="FJ158" t="s">
        <v>1583</v>
      </c>
      <c r="FK158" t="s">
        <v>796</v>
      </c>
      <c r="FL158" t="s">
        <v>707</v>
      </c>
      <c r="FM158" t="s">
        <v>865</v>
      </c>
      <c r="FN158" t="s">
        <v>796</v>
      </c>
      <c r="FO158" t="s">
        <v>707</v>
      </c>
      <c r="FP158" t="s">
        <v>865</v>
      </c>
      <c r="FQ158" t="s">
        <v>792</v>
      </c>
      <c r="FR158" t="s">
        <v>792</v>
      </c>
      <c r="FS158" t="s">
        <v>806</v>
      </c>
      <c r="FT158" t="s">
        <v>796</v>
      </c>
      <c r="FU158" t="s">
        <v>796</v>
      </c>
      <c r="FV158" t="s">
        <v>865</v>
      </c>
      <c r="FW158" t="s">
        <v>884</v>
      </c>
      <c r="FX158" t="s">
        <v>795</v>
      </c>
      <c r="FY158" t="s">
        <v>361</v>
      </c>
      <c r="FZ158" t="s">
        <v>804</v>
      </c>
      <c r="GA158" t="s">
        <v>805</v>
      </c>
      <c r="GB158" t="s">
        <v>1615</v>
      </c>
      <c r="GC158" t="s">
        <v>796</v>
      </c>
      <c r="GD158" t="s">
        <v>796</v>
      </c>
      <c r="GE158" t="s">
        <v>865</v>
      </c>
      <c r="GF158" t="s">
        <v>796</v>
      </c>
      <c r="GG158" t="s">
        <v>707</v>
      </c>
      <c r="GH158" t="s">
        <v>795</v>
      </c>
      <c r="GI158" t="s">
        <v>804</v>
      </c>
      <c r="GJ158" t="s">
        <v>805</v>
      </c>
      <c r="GK158" t="s">
        <v>1615</v>
      </c>
      <c r="GL158" t="s">
        <v>1594</v>
      </c>
      <c r="GM158" t="s">
        <v>1616</v>
      </c>
      <c r="GN158" t="s">
        <v>177</v>
      </c>
      <c r="GO158" t="s">
        <v>703</v>
      </c>
      <c r="GP158" t="s">
        <v>815</v>
      </c>
      <c r="GQ158" t="s">
        <v>880</v>
      </c>
      <c r="GR158" t="s">
        <v>792</v>
      </c>
      <c r="GS158" t="s">
        <v>703</v>
      </c>
      <c r="GT158" t="s">
        <v>870</v>
      </c>
      <c r="GU158" t="s">
        <v>796</v>
      </c>
      <c r="GV158" t="s">
        <v>796</v>
      </c>
      <c r="GW158" t="s">
        <v>795</v>
      </c>
      <c r="GX158" t="s">
        <v>707</v>
      </c>
      <c r="GY158" t="s">
        <v>703</v>
      </c>
      <c r="GZ158" t="s">
        <v>858</v>
      </c>
      <c r="HA158" t="s">
        <v>882</v>
      </c>
      <c r="HB158" t="s">
        <v>883</v>
      </c>
      <c r="HC158" t="s">
        <v>389</v>
      </c>
      <c r="HD158" t="s">
        <v>792</v>
      </c>
      <c r="HE158" t="s">
        <v>817</v>
      </c>
      <c r="HF158" t="s">
        <v>857</v>
      </c>
      <c r="HG158" t="s">
        <v>792</v>
      </c>
      <c r="HH158" t="s">
        <v>793</v>
      </c>
      <c r="HI158" t="s">
        <v>880</v>
      </c>
      <c r="HJ158" t="s">
        <v>815</v>
      </c>
      <c r="HK158" t="s">
        <v>851</v>
      </c>
      <c r="HL158" t="s">
        <v>873</v>
      </c>
      <c r="HM158" t="s">
        <v>796</v>
      </c>
      <c r="HN158" t="s">
        <v>707</v>
      </c>
      <c r="HO158" t="s">
        <v>865</v>
      </c>
      <c r="HP158" t="s">
        <v>1657</v>
      </c>
      <c r="HQ158" t="s">
        <v>1468</v>
      </c>
      <c r="HR158" t="s">
        <v>1677</v>
      </c>
      <c r="HS158" t="s">
        <v>817</v>
      </c>
      <c r="HT158" t="s">
        <v>804</v>
      </c>
      <c r="HU158" t="s">
        <v>1038</v>
      </c>
      <c r="HV158" t="s">
        <v>792</v>
      </c>
      <c r="HW158" t="s">
        <v>793</v>
      </c>
      <c r="HX158" t="s">
        <v>880</v>
      </c>
      <c r="HY158" t="s">
        <v>703</v>
      </c>
      <c r="HZ158" t="s">
        <v>793</v>
      </c>
      <c r="IA158" t="s">
        <v>860</v>
      </c>
      <c r="IB158" t="s">
        <v>703</v>
      </c>
      <c r="IC158" t="s">
        <v>793</v>
      </c>
      <c r="ID158" t="s">
        <v>871</v>
      </c>
      <c r="IE158" t="s">
        <v>1680</v>
      </c>
      <c r="IF158" t="s">
        <v>860</v>
      </c>
      <c r="IG158" t="s">
        <v>283</v>
      </c>
      <c r="IH158" t="s">
        <v>793</v>
      </c>
      <c r="II158" t="s">
        <v>804</v>
      </c>
      <c r="IJ158" t="s">
        <v>880</v>
      </c>
      <c r="IK158" t="s">
        <v>792</v>
      </c>
      <c r="IL158" t="s">
        <v>793</v>
      </c>
      <c r="IM158" t="s">
        <v>880</v>
      </c>
      <c r="IN158" t="s">
        <v>707</v>
      </c>
      <c r="IO158" t="s">
        <v>707</v>
      </c>
      <c r="IP158" t="s">
        <v>806</v>
      </c>
      <c r="IQ158" t="s">
        <v>792</v>
      </c>
      <c r="IR158" t="s">
        <v>793</v>
      </c>
      <c r="IS158" t="s">
        <v>880</v>
      </c>
      <c r="IT158" t="s">
        <v>1455</v>
      </c>
      <c r="IU158" t="s">
        <v>1679</v>
      </c>
      <c r="IV158" t="s">
        <v>210</v>
      </c>
      <c r="IW158" t="s">
        <v>817</v>
      </c>
      <c r="IX158" t="s">
        <v>701</v>
      </c>
      <c r="IY158" t="s">
        <v>1713</v>
      </c>
      <c r="IZ158" t="s">
        <v>796</v>
      </c>
      <c r="JA158" t="s">
        <v>707</v>
      </c>
      <c r="JB158" t="s">
        <v>865</v>
      </c>
      <c r="JC158" t="s">
        <v>793</v>
      </c>
      <c r="JD158" t="s">
        <v>817</v>
      </c>
      <c r="JE158" t="s">
        <v>1025</v>
      </c>
      <c r="JF158" t="s">
        <v>817</v>
      </c>
      <c r="JG158" t="s">
        <v>810</v>
      </c>
      <c r="JH158" t="s">
        <v>1034</v>
      </c>
      <c r="JI158" t="s">
        <v>879</v>
      </c>
      <c r="JJ158" t="s">
        <v>1714</v>
      </c>
      <c r="JK158" t="s">
        <v>1726</v>
      </c>
      <c r="JL158" t="s">
        <v>793</v>
      </c>
      <c r="JM158" t="s">
        <v>815</v>
      </c>
      <c r="JN158" t="s">
        <v>870</v>
      </c>
      <c r="JO158" t="s">
        <v>796</v>
      </c>
      <c r="JP158" t="s">
        <v>707</v>
      </c>
      <c r="JQ158" t="s">
        <v>865</v>
      </c>
      <c r="JR158" t="s">
        <v>796</v>
      </c>
      <c r="JS158" t="s">
        <v>796</v>
      </c>
      <c r="JT158" t="s">
        <v>795</v>
      </c>
      <c r="JU158" t="s">
        <v>793</v>
      </c>
      <c r="JV158" t="s">
        <v>817</v>
      </c>
      <c r="JW158" t="s">
        <v>1118</v>
      </c>
      <c r="JX158" t="s">
        <v>882</v>
      </c>
      <c r="JY158" t="s">
        <v>883</v>
      </c>
      <c r="JZ158" t="s">
        <v>1744</v>
      </c>
      <c r="KA158" t="s">
        <v>815</v>
      </c>
      <c r="KB158" t="s">
        <v>800</v>
      </c>
      <c r="KC158" t="s">
        <v>1078</v>
      </c>
      <c r="KD158" t="s">
        <v>707</v>
      </c>
      <c r="KE158" t="s">
        <v>703</v>
      </c>
      <c r="KF158" t="s">
        <v>858</v>
      </c>
      <c r="KG158" t="s">
        <v>792</v>
      </c>
      <c r="KH158" t="s">
        <v>793</v>
      </c>
      <c r="KI158" t="s">
        <v>866</v>
      </c>
      <c r="KJ158" t="s">
        <v>817</v>
      </c>
      <c r="KK158" t="s">
        <v>851</v>
      </c>
      <c r="KL158" t="s">
        <v>869</v>
      </c>
      <c r="KM158" t="s">
        <v>1026</v>
      </c>
      <c r="KN158" t="s">
        <v>1593</v>
      </c>
      <c r="KO158" t="s">
        <v>620</v>
      </c>
      <c r="KP158" t="s">
        <v>793</v>
      </c>
      <c r="KQ158" t="s">
        <v>851</v>
      </c>
      <c r="KR158" t="s">
        <v>852</v>
      </c>
      <c r="KS158" t="s">
        <v>792</v>
      </c>
      <c r="KT158" t="s">
        <v>817</v>
      </c>
      <c r="KU158" t="s">
        <v>857</v>
      </c>
      <c r="KV158" t="s">
        <v>796</v>
      </c>
      <c r="KW158" t="s">
        <v>796</v>
      </c>
      <c r="KX158" t="s">
        <v>795</v>
      </c>
      <c r="KY158" t="s">
        <v>792</v>
      </c>
      <c r="KZ158" t="s">
        <v>792</v>
      </c>
      <c r="LA158" t="s">
        <v>879</v>
      </c>
      <c r="LB158" t="s">
        <v>1159</v>
      </c>
      <c r="LC158" t="s">
        <v>1486</v>
      </c>
      <c r="LD158" t="s">
        <v>1775</v>
      </c>
      <c r="LE158" t="s">
        <v>792</v>
      </c>
      <c r="LF158" t="s">
        <v>703</v>
      </c>
      <c r="LG158" t="s">
        <v>870</v>
      </c>
      <c r="LH158" t="s">
        <v>796</v>
      </c>
      <c r="LI158" t="s">
        <v>707</v>
      </c>
      <c r="LJ158" t="s">
        <v>865</v>
      </c>
      <c r="LK158" t="s">
        <v>703</v>
      </c>
      <c r="LL158" t="s">
        <v>703</v>
      </c>
      <c r="LM158" t="s">
        <v>806</v>
      </c>
      <c r="LN158" t="s">
        <v>792</v>
      </c>
      <c r="LO158" t="s">
        <v>792</v>
      </c>
      <c r="LP158" t="s">
        <v>879</v>
      </c>
      <c r="LQ158" t="s">
        <v>1778</v>
      </c>
      <c r="LR158" t="s">
        <v>883</v>
      </c>
      <c r="LS158" t="s">
        <v>263</v>
      </c>
      <c r="LT158" t="s">
        <v>817</v>
      </c>
      <c r="LU158" t="s">
        <v>815</v>
      </c>
      <c r="LV158" t="s">
        <v>1201</v>
      </c>
      <c r="LW158" t="s">
        <v>796</v>
      </c>
      <c r="LX158" t="s">
        <v>707</v>
      </c>
      <c r="LY158" t="s">
        <v>865</v>
      </c>
      <c r="LZ158" t="s">
        <v>703</v>
      </c>
      <c r="MA158" t="s">
        <v>703</v>
      </c>
      <c r="MB158" t="s">
        <v>806</v>
      </c>
      <c r="MC158" t="s">
        <v>817</v>
      </c>
      <c r="MD158" t="s">
        <v>817</v>
      </c>
      <c r="ME158" t="s">
        <v>879</v>
      </c>
      <c r="MF158" t="s">
        <v>1795</v>
      </c>
      <c r="MG158" t="s">
        <v>1028</v>
      </c>
      <c r="MH158" t="s">
        <v>622</v>
      </c>
      <c r="MI158" t="s">
        <v>793</v>
      </c>
      <c r="MJ158" t="s">
        <v>817</v>
      </c>
      <c r="MK158" t="s">
        <v>1118</v>
      </c>
      <c r="ML158" t="s">
        <v>792</v>
      </c>
      <c r="MM158" t="s">
        <v>703</v>
      </c>
      <c r="MN158" t="s">
        <v>870</v>
      </c>
      <c r="MO158" t="s">
        <v>796</v>
      </c>
      <c r="MP158" t="s">
        <v>796</v>
      </c>
      <c r="MQ158" t="s">
        <v>795</v>
      </c>
      <c r="MR158" t="s">
        <v>792</v>
      </c>
      <c r="MS158" t="s">
        <v>792</v>
      </c>
      <c r="MT158" t="s">
        <v>879</v>
      </c>
      <c r="MU158" t="s">
        <v>884</v>
      </c>
      <c r="MV158" t="s">
        <v>806</v>
      </c>
      <c r="MW158" t="s">
        <v>493</v>
      </c>
      <c r="MX158" t="s">
        <v>815</v>
      </c>
      <c r="MY158" t="s">
        <v>800</v>
      </c>
      <c r="MZ158" t="s">
        <v>1078</v>
      </c>
      <c r="NA158" t="s">
        <v>796</v>
      </c>
      <c r="NB158" t="s">
        <v>707</v>
      </c>
      <c r="NC158" t="s">
        <v>865</v>
      </c>
      <c r="ND158" t="s">
        <v>697</v>
      </c>
      <c r="NE158" t="s">
        <v>1023</v>
      </c>
      <c r="NF158" t="s">
        <v>860</v>
      </c>
      <c r="NG158" t="s">
        <v>815</v>
      </c>
      <c r="NH158" t="s">
        <v>859</v>
      </c>
      <c r="NI158" t="s">
        <v>870</v>
      </c>
      <c r="NJ158" t="s">
        <v>1657</v>
      </c>
      <c r="NK158" t="s">
        <v>1468</v>
      </c>
      <c r="NL158" t="s">
        <v>600</v>
      </c>
      <c r="NM158" t="s">
        <v>792</v>
      </c>
      <c r="NN158" t="s">
        <v>792</v>
      </c>
      <c r="NO158" t="s">
        <v>879</v>
      </c>
      <c r="NP158" t="s">
        <v>796</v>
      </c>
      <c r="NQ158" t="s">
        <v>796</v>
      </c>
      <c r="NR158" t="s">
        <v>865</v>
      </c>
      <c r="NS158" t="s">
        <v>796</v>
      </c>
      <c r="NT158" t="s">
        <v>796</v>
      </c>
      <c r="NU158" t="s">
        <v>795</v>
      </c>
      <c r="NV158" t="s">
        <v>792</v>
      </c>
      <c r="NW158" t="s">
        <v>792</v>
      </c>
      <c r="NX158" t="s">
        <v>879</v>
      </c>
      <c r="NY158" t="s">
        <v>884</v>
      </c>
      <c r="NZ158" t="s">
        <v>806</v>
      </c>
    </row>
    <row r="159" spans="1:390" ht="15.75" hidden="1" customHeight="1" x14ac:dyDescent="0.25">
      <c r="A159" t="s">
        <v>139</v>
      </c>
      <c r="B159" t="s">
        <v>697</v>
      </c>
      <c r="C159" t="s">
        <v>826</v>
      </c>
      <c r="D159" t="s">
        <v>850</v>
      </c>
      <c r="E159" t="s">
        <v>793</v>
      </c>
      <c r="F159" t="s">
        <v>851</v>
      </c>
      <c r="G159" t="s">
        <v>852</v>
      </c>
      <c r="H159" t="s">
        <v>707</v>
      </c>
      <c r="I159" t="s">
        <v>707</v>
      </c>
      <c r="J159" t="s">
        <v>806</v>
      </c>
      <c r="K159" t="s">
        <v>804</v>
      </c>
      <c r="L159" t="s">
        <v>853</v>
      </c>
      <c r="M159" t="s">
        <v>854</v>
      </c>
      <c r="N159" t="s">
        <v>855</v>
      </c>
      <c r="O159" t="s">
        <v>856</v>
      </c>
      <c r="P159" t="s">
        <v>451</v>
      </c>
      <c r="Q159" t="s">
        <v>805</v>
      </c>
      <c r="R159" t="s">
        <v>1005</v>
      </c>
      <c r="S159" t="s">
        <v>1024</v>
      </c>
      <c r="T159" t="s">
        <v>707</v>
      </c>
      <c r="U159" t="s">
        <v>703</v>
      </c>
      <c r="V159" t="s">
        <v>858</v>
      </c>
      <c r="W159" t="s">
        <v>793</v>
      </c>
      <c r="X159" t="s">
        <v>817</v>
      </c>
      <c r="Y159" t="s">
        <v>1025</v>
      </c>
      <c r="Z159" t="s">
        <v>800</v>
      </c>
      <c r="AA159" t="s">
        <v>853</v>
      </c>
      <c r="AB159" t="s">
        <v>870</v>
      </c>
      <c r="AC159" t="s">
        <v>1026</v>
      </c>
      <c r="AD159" t="s">
        <v>856</v>
      </c>
      <c r="AE159" t="s">
        <v>591</v>
      </c>
      <c r="AF159" t="s">
        <v>792</v>
      </c>
      <c r="AG159" t="s">
        <v>703</v>
      </c>
      <c r="AH159" t="s">
        <v>870</v>
      </c>
      <c r="AI159" t="s">
        <v>707</v>
      </c>
      <c r="AJ159" t="s">
        <v>707</v>
      </c>
      <c r="AK159" t="s">
        <v>879</v>
      </c>
      <c r="AL159" t="s">
        <v>796</v>
      </c>
      <c r="AM159" t="s">
        <v>796</v>
      </c>
      <c r="AN159" t="s">
        <v>795</v>
      </c>
      <c r="AO159" t="s">
        <v>707</v>
      </c>
      <c r="AP159" t="s">
        <v>792</v>
      </c>
      <c r="AQ159" t="s">
        <v>880</v>
      </c>
      <c r="AR159" t="s">
        <v>1087</v>
      </c>
      <c r="AS159" t="s">
        <v>1028</v>
      </c>
      <c r="AT159" t="s">
        <v>480</v>
      </c>
      <c r="AU159" t="s">
        <v>804</v>
      </c>
      <c r="AV159" t="s">
        <v>1023</v>
      </c>
      <c r="AW159" t="s">
        <v>880</v>
      </c>
      <c r="AX159" t="s">
        <v>792</v>
      </c>
      <c r="AY159" t="s">
        <v>792</v>
      </c>
      <c r="AZ159" t="s">
        <v>879</v>
      </c>
      <c r="BA159" t="s">
        <v>851</v>
      </c>
      <c r="BB159" t="s">
        <v>851</v>
      </c>
      <c r="BC159" t="s">
        <v>806</v>
      </c>
      <c r="BD159" t="s">
        <v>815</v>
      </c>
      <c r="BE159" t="s">
        <v>701</v>
      </c>
      <c r="BF159" t="s">
        <v>1115</v>
      </c>
      <c r="BG159" t="s">
        <v>1116</v>
      </c>
      <c r="BH159" t="s">
        <v>1117</v>
      </c>
      <c r="BI159" t="s">
        <v>1144</v>
      </c>
      <c r="BJ159" t="s">
        <v>792</v>
      </c>
      <c r="BK159" t="s">
        <v>792</v>
      </c>
      <c r="BL159" t="s">
        <v>879</v>
      </c>
      <c r="BM159" t="s">
        <v>707</v>
      </c>
      <c r="BN159" t="s">
        <v>707</v>
      </c>
      <c r="BO159" t="s">
        <v>879</v>
      </c>
      <c r="BP159" t="s">
        <v>796</v>
      </c>
      <c r="BQ159" t="s">
        <v>796</v>
      </c>
      <c r="BR159" t="s">
        <v>795</v>
      </c>
      <c r="BS159" t="s">
        <v>707</v>
      </c>
      <c r="BT159" t="s">
        <v>707</v>
      </c>
      <c r="BU159" t="s">
        <v>879</v>
      </c>
      <c r="BV159" t="s">
        <v>881</v>
      </c>
      <c r="BW159" t="s">
        <v>1162</v>
      </c>
      <c r="BX159" t="s">
        <v>1186</v>
      </c>
      <c r="BY159" t="s">
        <v>792</v>
      </c>
      <c r="BZ159" t="s">
        <v>817</v>
      </c>
      <c r="CA159" t="s">
        <v>857</v>
      </c>
      <c r="CB159" t="s">
        <v>796</v>
      </c>
      <c r="CC159" t="s">
        <v>707</v>
      </c>
      <c r="CD159" t="s">
        <v>865</v>
      </c>
      <c r="CE159" t="s">
        <v>796</v>
      </c>
      <c r="CF159" t="s">
        <v>796</v>
      </c>
      <c r="CG159" t="s">
        <v>795</v>
      </c>
      <c r="CH159" t="s">
        <v>792</v>
      </c>
      <c r="CI159" t="s">
        <v>793</v>
      </c>
      <c r="CJ159" t="s">
        <v>880</v>
      </c>
      <c r="CK159" t="s">
        <v>1118</v>
      </c>
      <c r="CL159" t="s">
        <v>1202</v>
      </c>
      <c r="CM159" t="s">
        <v>59</v>
      </c>
      <c r="CN159" t="s">
        <v>817</v>
      </c>
      <c r="CO159" t="s">
        <v>804</v>
      </c>
      <c r="CP159" t="s">
        <v>1038</v>
      </c>
      <c r="CQ159" t="s">
        <v>707</v>
      </c>
      <c r="CR159" t="s">
        <v>793</v>
      </c>
      <c r="CS159" t="s">
        <v>875</v>
      </c>
      <c r="CT159" t="s">
        <v>796</v>
      </c>
      <c r="CU159" t="s">
        <v>796</v>
      </c>
      <c r="CV159" t="s">
        <v>795</v>
      </c>
      <c r="CW159" t="s">
        <v>793</v>
      </c>
      <c r="CX159" t="s">
        <v>793</v>
      </c>
      <c r="CY159" t="s">
        <v>879</v>
      </c>
      <c r="CZ159" t="s">
        <v>1455</v>
      </c>
      <c r="DA159" t="s">
        <v>1456</v>
      </c>
      <c r="DB159" t="s">
        <v>104</v>
      </c>
      <c r="DC159" t="s">
        <v>707</v>
      </c>
      <c r="DD159" t="s">
        <v>792</v>
      </c>
      <c r="DE159" t="s">
        <v>880</v>
      </c>
      <c r="DF159" t="s">
        <v>796</v>
      </c>
      <c r="DG159" t="s">
        <v>796</v>
      </c>
      <c r="DH159" t="s">
        <v>865</v>
      </c>
      <c r="DI159" t="s">
        <v>796</v>
      </c>
      <c r="DJ159" t="s">
        <v>796</v>
      </c>
      <c r="DK159" t="s">
        <v>795</v>
      </c>
      <c r="DL159" t="s">
        <v>707</v>
      </c>
      <c r="DM159" t="s">
        <v>792</v>
      </c>
      <c r="DN159" t="s">
        <v>880</v>
      </c>
      <c r="DO159" t="s">
        <v>879</v>
      </c>
      <c r="DP159" t="s">
        <v>866</v>
      </c>
      <c r="DQ159" t="s">
        <v>121</v>
      </c>
      <c r="DR159" t="s">
        <v>817</v>
      </c>
      <c r="DS159" t="s">
        <v>853</v>
      </c>
      <c r="DT159" t="s">
        <v>858</v>
      </c>
      <c r="DU159" t="s">
        <v>703</v>
      </c>
      <c r="DV159" t="s">
        <v>851</v>
      </c>
      <c r="DW159" t="s">
        <v>1115</v>
      </c>
      <c r="DX159" t="s">
        <v>793</v>
      </c>
      <c r="DY159" t="s">
        <v>815</v>
      </c>
      <c r="DZ159" t="s">
        <v>883</v>
      </c>
      <c r="EA159" t="s">
        <v>792</v>
      </c>
      <c r="EB159" t="s">
        <v>804</v>
      </c>
      <c r="EC159" t="s">
        <v>875</v>
      </c>
      <c r="ED159" t="s">
        <v>1460</v>
      </c>
      <c r="EE159" t="s">
        <v>1082</v>
      </c>
      <c r="EF159" t="s">
        <v>501</v>
      </c>
      <c r="EG159" t="s">
        <v>703</v>
      </c>
      <c r="EH159" t="s">
        <v>793</v>
      </c>
      <c r="EI159" t="s">
        <v>871</v>
      </c>
      <c r="EJ159" t="s">
        <v>707</v>
      </c>
      <c r="EK159" t="s">
        <v>792</v>
      </c>
      <c r="EL159" t="s">
        <v>880</v>
      </c>
      <c r="EM159" t="s">
        <v>796</v>
      </c>
      <c r="EN159" t="s">
        <v>796</v>
      </c>
      <c r="EO159" t="s">
        <v>795</v>
      </c>
      <c r="EP159" t="s">
        <v>792</v>
      </c>
      <c r="EQ159" t="s">
        <v>792</v>
      </c>
      <c r="ER159" t="s">
        <v>879</v>
      </c>
      <c r="ES159" t="s">
        <v>1542</v>
      </c>
      <c r="ET159" t="s">
        <v>1543</v>
      </c>
      <c r="EU159" t="s">
        <v>327</v>
      </c>
      <c r="EV159" t="s">
        <v>703</v>
      </c>
      <c r="EW159" t="s">
        <v>859</v>
      </c>
      <c r="EX159" t="s">
        <v>858</v>
      </c>
      <c r="EY159" t="s">
        <v>796</v>
      </c>
      <c r="EZ159" t="s">
        <v>707</v>
      </c>
      <c r="FA159" t="s">
        <v>865</v>
      </c>
      <c r="FB159" t="s">
        <v>703</v>
      </c>
      <c r="FC159" t="s">
        <v>815</v>
      </c>
      <c r="FD159" t="s">
        <v>866</v>
      </c>
      <c r="FE159" t="s">
        <v>703</v>
      </c>
      <c r="FF159" t="s">
        <v>804</v>
      </c>
      <c r="FG159" t="s">
        <v>1454</v>
      </c>
      <c r="FH159" t="s">
        <v>879</v>
      </c>
      <c r="FI159" t="s">
        <v>885</v>
      </c>
      <c r="FJ159" t="s">
        <v>165</v>
      </c>
      <c r="FK159" t="s">
        <v>703</v>
      </c>
      <c r="FL159" t="s">
        <v>793</v>
      </c>
      <c r="FM159" t="s">
        <v>871</v>
      </c>
      <c r="FN159" t="s">
        <v>796</v>
      </c>
      <c r="FO159" t="s">
        <v>796</v>
      </c>
      <c r="FP159" t="s">
        <v>865</v>
      </c>
      <c r="FQ159" t="s">
        <v>792</v>
      </c>
      <c r="FR159" t="s">
        <v>792</v>
      </c>
      <c r="FS159" t="s">
        <v>806</v>
      </c>
      <c r="FT159" t="s">
        <v>703</v>
      </c>
      <c r="FU159" t="s">
        <v>793</v>
      </c>
      <c r="FV159" t="s">
        <v>871</v>
      </c>
      <c r="FW159" t="s">
        <v>884</v>
      </c>
      <c r="FX159" t="s">
        <v>860</v>
      </c>
      <c r="FY159" t="s">
        <v>437</v>
      </c>
      <c r="FZ159" t="s">
        <v>851</v>
      </c>
      <c r="GA159" t="s">
        <v>853</v>
      </c>
      <c r="GB159" t="s">
        <v>1031</v>
      </c>
      <c r="GC159" t="s">
        <v>792</v>
      </c>
      <c r="GD159" t="s">
        <v>804</v>
      </c>
      <c r="GE159" t="s">
        <v>875</v>
      </c>
      <c r="GF159" t="s">
        <v>703</v>
      </c>
      <c r="GG159" t="s">
        <v>793</v>
      </c>
      <c r="GH159" t="s">
        <v>860</v>
      </c>
      <c r="GI159" t="s">
        <v>817</v>
      </c>
      <c r="GJ159" t="s">
        <v>851</v>
      </c>
      <c r="GK159" t="s">
        <v>869</v>
      </c>
      <c r="GL159" t="s">
        <v>1617</v>
      </c>
      <c r="GM159" t="s">
        <v>1033</v>
      </c>
      <c r="GN159" t="s">
        <v>124</v>
      </c>
      <c r="GO159" t="s">
        <v>703</v>
      </c>
      <c r="GP159" t="s">
        <v>815</v>
      </c>
      <c r="GQ159" t="s">
        <v>880</v>
      </c>
      <c r="GR159" t="s">
        <v>796</v>
      </c>
      <c r="GS159" t="s">
        <v>796</v>
      </c>
      <c r="GT159" t="s">
        <v>865</v>
      </c>
      <c r="GU159" t="s">
        <v>707</v>
      </c>
      <c r="GV159" t="s">
        <v>707</v>
      </c>
      <c r="GW159" t="s">
        <v>806</v>
      </c>
      <c r="GX159" t="s">
        <v>703</v>
      </c>
      <c r="GY159" t="s">
        <v>815</v>
      </c>
      <c r="GZ159" t="s">
        <v>880</v>
      </c>
      <c r="HA159" t="s">
        <v>1636</v>
      </c>
      <c r="HB159" t="s">
        <v>866</v>
      </c>
      <c r="HC159" t="s">
        <v>388</v>
      </c>
      <c r="HD159" t="s">
        <v>804</v>
      </c>
      <c r="HE159" t="s">
        <v>697</v>
      </c>
      <c r="HF159" t="s">
        <v>870</v>
      </c>
      <c r="HG159" t="s">
        <v>792</v>
      </c>
      <c r="HH159" t="s">
        <v>703</v>
      </c>
      <c r="HI159" t="s">
        <v>870</v>
      </c>
      <c r="HJ159" t="s">
        <v>851</v>
      </c>
      <c r="HK159" t="s">
        <v>851</v>
      </c>
      <c r="HL159" t="s">
        <v>806</v>
      </c>
      <c r="HM159" t="s">
        <v>815</v>
      </c>
      <c r="HN159" t="s">
        <v>859</v>
      </c>
      <c r="HO159" t="s">
        <v>870</v>
      </c>
      <c r="HP159" t="s">
        <v>1658</v>
      </c>
      <c r="HQ159" t="s">
        <v>860</v>
      </c>
      <c r="HR159" t="s">
        <v>408</v>
      </c>
      <c r="HS159" t="s">
        <v>793</v>
      </c>
      <c r="HT159" t="s">
        <v>800</v>
      </c>
      <c r="HU159" t="s">
        <v>857</v>
      </c>
      <c r="HV159" t="s">
        <v>792</v>
      </c>
      <c r="HW159" t="s">
        <v>792</v>
      </c>
      <c r="HX159" t="s">
        <v>879</v>
      </c>
      <c r="HY159" t="s">
        <v>792</v>
      </c>
      <c r="HZ159" t="s">
        <v>792</v>
      </c>
      <c r="IA159" t="s">
        <v>806</v>
      </c>
      <c r="IB159" t="s">
        <v>792</v>
      </c>
      <c r="IC159" t="s">
        <v>804</v>
      </c>
      <c r="ID159" t="s">
        <v>875</v>
      </c>
      <c r="IE159" t="s">
        <v>1032</v>
      </c>
      <c r="IF159" t="s">
        <v>866</v>
      </c>
      <c r="IG159" t="s">
        <v>198</v>
      </c>
      <c r="IH159" t="s">
        <v>851</v>
      </c>
      <c r="II159" t="s">
        <v>853</v>
      </c>
      <c r="IJ159" t="s">
        <v>1031</v>
      </c>
      <c r="IK159" t="s">
        <v>796</v>
      </c>
      <c r="IL159" t="s">
        <v>792</v>
      </c>
      <c r="IM159" t="s">
        <v>865</v>
      </c>
      <c r="IN159" t="s">
        <v>707</v>
      </c>
      <c r="IO159" t="s">
        <v>707</v>
      </c>
      <c r="IP159" t="s">
        <v>806</v>
      </c>
      <c r="IQ159" t="s">
        <v>851</v>
      </c>
      <c r="IR159" t="s">
        <v>810</v>
      </c>
      <c r="IS159" t="s">
        <v>1696</v>
      </c>
      <c r="IT159" t="s">
        <v>879</v>
      </c>
      <c r="IU159" t="s">
        <v>863</v>
      </c>
      <c r="IV159" t="s">
        <v>590</v>
      </c>
      <c r="IW159" t="s">
        <v>703</v>
      </c>
      <c r="IX159" t="s">
        <v>804</v>
      </c>
      <c r="IY159" t="s">
        <v>1454</v>
      </c>
      <c r="IZ159" t="s">
        <v>796</v>
      </c>
      <c r="JA159" t="s">
        <v>792</v>
      </c>
      <c r="JB159" t="s">
        <v>865</v>
      </c>
      <c r="JC159" t="s">
        <v>792</v>
      </c>
      <c r="JD159" t="s">
        <v>792</v>
      </c>
      <c r="JE159" t="s">
        <v>806</v>
      </c>
      <c r="JF159" t="s">
        <v>703</v>
      </c>
      <c r="JG159" t="s">
        <v>815</v>
      </c>
      <c r="JH159" t="s">
        <v>880</v>
      </c>
      <c r="JI159" t="s">
        <v>879</v>
      </c>
      <c r="JJ159" t="s">
        <v>1520</v>
      </c>
      <c r="JK159" t="s">
        <v>379</v>
      </c>
      <c r="JL159" t="s">
        <v>792</v>
      </c>
      <c r="JM159" t="s">
        <v>793</v>
      </c>
      <c r="JN159" t="s">
        <v>880</v>
      </c>
      <c r="JO159" t="s">
        <v>796</v>
      </c>
      <c r="JP159" t="s">
        <v>796</v>
      </c>
      <c r="JQ159" t="s">
        <v>865</v>
      </c>
      <c r="JR159" t="s">
        <v>796</v>
      </c>
      <c r="JS159" t="s">
        <v>796</v>
      </c>
      <c r="JT159" t="s">
        <v>795</v>
      </c>
      <c r="JU159" t="s">
        <v>792</v>
      </c>
      <c r="JV159" t="s">
        <v>793</v>
      </c>
      <c r="JW159" t="s">
        <v>880</v>
      </c>
      <c r="JX159" t="s">
        <v>879</v>
      </c>
      <c r="JY159" t="s">
        <v>866</v>
      </c>
      <c r="JZ159" t="s">
        <v>359</v>
      </c>
      <c r="KA159" t="s">
        <v>792</v>
      </c>
      <c r="KB159" t="s">
        <v>815</v>
      </c>
      <c r="KC159" t="s">
        <v>858</v>
      </c>
      <c r="KD159" t="s">
        <v>796</v>
      </c>
      <c r="KE159" t="s">
        <v>707</v>
      </c>
      <c r="KF159" t="s">
        <v>865</v>
      </c>
      <c r="KG159" t="s">
        <v>792</v>
      </c>
      <c r="KH159" t="s">
        <v>792</v>
      </c>
      <c r="KI159" t="s">
        <v>806</v>
      </c>
      <c r="KJ159" t="s">
        <v>792</v>
      </c>
      <c r="KK159" t="s">
        <v>817</v>
      </c>
      <c r="KL159" t="s">
        <v>857</v>
      </c>
      <c r="KM159" t="s">
        <v>879</v>
      </c>
      <c r="KN159" t="s">
        <v>885</v>
      </c>
      <c r="KO159" t="s">
        <v>456</v>
      </c>
      <c r="KP159" t="s">
        <v>851</v>
      </c>
      <c r="KQ159" t="s">
        <v>1023</v>
      </c>
      <c r="KR159" t="s">
        <v>1662</v>
      </c>
      <c r="KS159" t="s">
        <v>796</v>
      </c>
      <c r="KT159" t="s">
        <v>796</v>
      </c>
      <c r="KU159" t="s">
        <v>865</v>
      </c>
      <c r="KV159" t="s">
        <v>792</v>
      </c>
      <c r="KW159" t="s">
        <v>792</v>
      </c>
      <c r="KX159" t="s">
        <v>806</v>
      </c>
      <c r="KY159" t="s">
        <v>851</v>
      </c>
      <c r="KZ159" t="s">
        <v>1023</v>
      </c>
      <c r="LA159" t="s">
        <v>1662</v>
      </c>
      <c r="LB159" t="s">
        <v>879</v>
      </c>
      <c r="LC159" t="s">
        <v>1077</v>
      </c>
      <c r="LD159" t="s">
        <v>454</v>
      </c>
      <c r="LE159" t="s">
        <v>815</v>
      </c>
      <c r="LF159" t="s">
        <v>821</v>
      </c>
      <c r="LG159" t="s">
        <v>1779</v>
      </c>
      <c r="LH159" t="s">
        <v>792</v>
      </c>
      <c r="LI159" t="s">
        <v>793</v>
      </c>
      <c r="LJ159" t="s">
        <v>880</v>
      </c>
      <c r="LK159" t="s">
        <v>796</v>
      </c>
      <c r="LL159" t="s">
        <v>796</v>
      </c>
      <c r="LM159" t="s">
        <v>795</v>
      </c>
      <c r="LN159" t="s">
        <v>793</v>
      </c>
      <c r="LO159" t="s">
        <v>810</v>
      </c>
      <c r="LP159" t="s">
        <v>1368</v>
      </c>
      <c r="LQ159" t="s">
        <v>1780</v>
      </c>
      <c r="LR159" t="s">
        <v>1781</v>
      </c>
      <c r="LS159" t="s">
        <v>597</v>
      </c>
      <c r="LT159" t="s">
        <v>817</v>
      </c>
      <c r="LU159" t="s">
        <v>805</v>
      </c>
      <c r="LV159" t="s">
        <v>1564</v>
      </c>
      <c r="LW159" t="s">
        <v>792</v>
      </c>
      <c r="LX159" t="s">
        <v>815</v>
      </c>
      <c r="LY159" t="s">
        <v>858</v>
      </c>
      <c r="LZ159" t="s">
        <v>796</v>
      </c>
      <c r="MA159" t="s">
        <v>796</v>
      </c>
      <c r="MB159" t="s">
        <v>795</v>
      </c>
      <c r="MC159" t="s">
        <v>703</v>
      </c>
      <c r="MD159" t="s">
        <v>817</v>
      </c>
      <c r="ME159" t="s">
        <v>1078</v>
      </c>
      <c r="MF159" t="s">
        <v>1776</v>
      </c>
      <c r="MG159" t="s">
        <v>896</v>
      </c>
      <c r="MH159" t="s">
        <v>465</v>
      </c>
      <c r="MI159" t="s">
        <v>817</v>
      </c>
      <c r="MJ159" t="s">
        <v>805</v>
      </c>
      <c r="MK159" t="s">
        <v>1564</v>
      </c>
      <c r="ML159" t="s">
        <v>792</v>
      </c>
      <c r="MM159" t="s">
        <v>817</v>
      </c>
      <c r="MN159" t="s">
        <v>857</v>
      </c>
      <c r="MO159" t="s">
        <v>793</v>
      </c>
      <c r="MP159" t="s">
        <v>793</v>
      </c>
      <c r="MQ159" t="s">
        <v>806</v>
      </c>
      <c r="MR159" t="s">
        <v>703</v>
      </c>
      <c r="MS159" t="s">
        <v>815</v>
      </c>
      <c r="MT159" t="s">
        <v>880</v>
      </c>
      <c r="MU159" t="s">
        <v>1594</v>
      </c>
      <c r="MV159" t="s">
        <v>896</v>
      </c>
      <c r="MW159" t="s">
        <v>494</v>
      </c>
      <c r="MX159" t="s">
        <v>859</v>
      </c>
      <c r="MY159" t="s">
        <v>853</v>
      </c>
      <c r="MZ159" t="s">
        <v>1078</v>
      </c>
      <c r="NA159" t="s">
        <v>707</v>
      </c>
      <c r="NB159" t="s">
        <v>703</v>
      </c>
      <c r="NC159" t="s">
        <v>858</v>
      </c>
      <c r="ND159" t="s">
        <v>703</v>
      </c>
      <c r="NE159" t="s">
        <v>793</v>
      </c>
      <c r="NF159" t="s">
        <v>860</v>
      </c>
      <c r="NG159" t="s">
        <v>804</v>
      </c>
      <c r="NH159" t="s">
        <v>697</v>
      </c>
      <c r="NI159" t="s">
        <v>870</v>
      </c>
      <c r="NJ159" t="s">
        <v>1827</v>
      </c>
      <c r="NK159" t="s">
        <v>1679</v>
      </c>
      <c r="NL159" t="s">
        <v>277</v>
      </c>
      <c r="NM159" t="s">
        <v>792</v>
      </c>
      <c r="NN159" t="s">
        <v>793</v>
      </c>
      <c r="NO159" t="s">
        <v>880</v>
      </c>
      <c r="NP159" t="s">
        <v>796</v>
      </c>
      <c r="NQ159" t="s">
        <v>707</v>
      </c>
      <c r="NR159" t="s">
        <v>865</v>
      </c>
      <c r="NS159" t="s">
        <v>796</v>
      </c>
      <c r="NT159" t="s">
        <v>796</v>
      </c>
      <c r="NU159" t="s">
        <v>795</v>
      </c>
      <c r="NV159" t="s">
        <v>792</v>
      </c>
      <c r="NW159" t="s">
        <v>703</v>
      </c>
      <c r="NX159" t="s">
        <v>870</v>
      </c>
      <c r="NY159" t="s">
        <v>879</v>
      </c>
      <c r="NZ159" t="s">
        <v>866</v>
      </c>
    </row>
    <row r="160" spans="1:390" ht="15.75" hidden="1" customHeight="1" x14ac:dyDescent="0.25">
      <c r="A160" t="s">
        <v>140</v>
      </c>
      <c r="B160" t="s">
        <v>815</v>
      </c>
      <c r="C160" t="s">
        <v>853</v>
      </c>
      <c r="D160" t="s">
        <v>857</v>
      </c>
      <c r="E160" t="s">
        <v>792</v>
      </c>
      <c r="F160" t="s">
        <v>815</v>
      </c>
      <c r="G160" t="s">
        <v>858</v>
      </c>
      <c r="H160" t="s">
        <v>859</v>
      </c>
      <c r="I160" t="s">
        <v>697</v>
      </c>
      <c r="J160" t="s">
        <v>860</v>
      </c>
      <c r="K160" t="s">
        <v>793</v>
      </c>
      <c r="L160" t="s">
        <v>859</v>
      </c>
      <c r="M160" t="s">
        <v>861</v>
      </c>
      <c r="N160" t="s">
        <v>862</v>
      </c>
      <c r="O160" t="s">
        <v>863</v>
      </c>
      <c r="P160" t="s">
        <v>342</v>
      </c>
      <c r="Q160" t="s">
        <v>851</v>
      </c>
      <c r="R160" t="s">
        <v>853</v>
      </c>
      <c r="S160" t="s">
        <v>1031</v>
      </c>
      <c r="T160" t="s">
        <v>792</v>
      </c>
      <c r="U160" t="s">
        <v>817</v>
      </c>
      <c r="V160" t="s">
        <v>857</v>
      </c>
      <c r="W160" t="s">
        <v>792</v>
      </c>
      <c r="X160" t="s">
        <v>792</v>
      </c>
      <c r="Y160" t="s">
        <v>806</v>
      </c>
      <c r="Z160" t="s">
        <v>817</v>
      </c>
      <c r="AA160" t="s">
        <v>800</v>
      </c>
      <c r="AB160" t="s">
        <v>880</v>
      </c>
      <c r="AC160" t="s">
        <v>1032</v>
      </c>
      <c r="AD160" t="s">
        <v>1033</v>
      </c>
      <c r="AE160" t="s">
        <v>1064</v>
      </c>
      <c r="AF160" t="s">
        <v>703</v>
      </c>
      <c r="AG160" t="s">
        <v>817</v>
      </c>
      <c r="AH160" t="s">
        <v>1078</v>
      </c>
      <c r="AI160" t="s">
        <v>707</v>
      </c>
      <c r="AJ160" t="s">
        <v>703</v>
      </c>
      <c r="AK160" t="s">
        <v>858</v>
      </c>
      <c r="AL160" t="s">
        <v>796</v>
      </c>
      <c r="AM160" t="s">
        <v>796</v>
      </c>
      <c r="AN160" t="s">
        <v>795</v>
      </c>
      <c r="AO160" t="s">
        <v>792</v>
      </c>
      <c r="AP160" t="s">
        <v>792</v>
      </c>
      <c r="AQ160" t="s">
        <v>879</v>
      </c>
      <c r="AR160" t="s">
        <v>1085</v>
      </c>
      <c r="AS160" t="s">
        <v>1086</v>
      </c>
      <c r="AT160" t="s">
        <v>486</v>
      </c>
      <c r="AU160" t="s">
        <v>792</v>
      </c>
      <c r="AV160" t="s">
        <v>703</v>
      </c>
      <c r="AW160" t="s">
        <v>870</v>
      </c>
      <c r="AX160" t="s">
        <v>796</v>
      </c>
      <c r="AY160" t="s">
        <v>796</v>
      </c>
      <c r="AZ160" t="s">
        <v>865</v>
      </c>
      <c r="BA160" t="s">
        <v>792</v>
      </c>
      <c r="BB160" t="s">
        <v>792</v>
      </c>
      <c r="BC160" t="s">
        <v>806</v>
      </c>
      <c r="BD160" t="s">
        <v>792</v>
      </c>
      <c r="BE160" t="s">
        <v>703</v>
      </c>
      <c r="BF160" t="s">
        <v>870</v>
      </c>
      <c r="BG160" t="s">
        <v>884</v>
      </c>
      <c r="BH160" t="s">
        <v>883</v>
      </c>
      <c r="BI160" t="s">
        <v>508</v>
      </c>
      <c r="BJ160" t="s">
        <v>800</v>
      </c>
      <c r="BK160" t="s">
        <v>1062</v>
      </c>
      <c r="BL160" t="s">
        <v>1154</v>
      </c>
      <c r="BM160" t="s">
        <v>796</v>
      </c>
      <c r="BN160" t="s">
        <v>703</v>
      </c>
      <c r="BO160" t="s">
        <v>865</v>
      </c>
      <c r="BP160" t="s">
        <v>853</v>
      </c>
      <c r="BQ160" t="s">
        <v>853</v>
      </c>
      <c r="BR160" t="s">
        <v>806</v>
      </c>
      <c r="BS160" t="s">
        <v>800</v>
      </c>
      <c r="BT160" t="s">
        <v>1005</v>
      </c>
      <c r="BU160" t="s">
        <v>1155</v>
      </c>
      <c r="BV160" t="s">
        <v>1087</v>
      </c>
      <c r="BW160" t="s">
        <v>1156</v>
      </c>
      <c r="BX160" t="s">
        <v>531</v>
      </c>
      <c r="BY160" t="s">
        <v>796</v>
      </c>
      <c r="BZ160" t="s">
        <v>796</v>
      </c>
      <c r="CA160" t="s">
        <v>865</v>
      </c>
      <c r="CB160" t="s">
        <v>796</v>
      </c>
      <c r="CC160" t="s">
        <v>796</v>
      </c>
      <c r="CD160" t="s">
        <v>865</v>
      </c>
      <c r="CE160" t="s">
        <v>796</v>
      </c>
      <c r="CF160" t="s">
        <v>796</v>
      </c>
      <c r="CG160" t="s">
        <v>795</v>
      </c>
      <c r="CH160" t="s">
        <v>796</v>
      </c>
      <c r="CI160" t="s">
        <v>796</v>
      </c>
      <c r="CJ160" t="s">
        <v>865</v>
      </c>
      <c r="CK160" t="s">
        <v>865</v>
      </c>
      <c r="CL160" t="s">
        <v>795</v>
      </c>
      <c r="CM160" t="s">
        <v>547</v>
      </c>
      <c r="CN160" t="s">
        <v>703</v>
      </c>
      <c r="CO160" t="s">
        <v>793</v>
      </c>
      <c r="CP160" t="s">
        <v>871</v>
      </c>
      <c r="CQ160" t="s">
        <v>796</v>
      </c>
      <c r="CR160" t="s">
        <v>796</v>
      </c>
      <c r="CS160" t="s">
        <v>865</v>
      </c>
      <c r="CT160" t="s">
        <v>703</v>
      </c>
      <c r="CU160" t="s">
        <v>793</v>
      </c>
      <c r="CV160" t="s">
        <v>860</v>
      </c>
      <c r="CW160" t="s">
        <v>703</v>
      </c>
      <c r="CX160" t="s">
        <v>793</v>
      </c>
      <c r="CY160" t="s">
        <v>871</v>
      </c>
      <c r="CZ160" t="s">
        <v>1457</v>
      </c>
      <c r="DA160" t="s">
        <v>860</v>
      </c>
      <c r="DB160" t="s">
        <v>530</v>
      </c>
      <c r="DC160" t="s">
        <v>793</v>
      </c>
      <c r="DD160" t="s">
        <v>817</v>
      </c>
      <c r="DE160" t="s">
        <v>1118</v>
      </c>
      <c r="DF160" t="s">
        <v>796</v>
      </c>
      <c r="DG160" t="s">
        <v>707</v>
      </c>
      <c r="DH160" t="s">
        <v>865</v>
      </c>
      <c r="DI160" t="s">
        <v>796</v>
      </c>
      <c r="DJ160" t="s">
        <v>796</v>
      </c>
      <c r="DK160" t="s">
        <v>795</v>
      </c>
      <c r="DL160" t="s">
        <v>793</v>
      </c>
      <c r="DM160" t="s">
        <v>793</v>
      </c>
      <c r="DN160" t="s">
        <v>879</v>
      </c>
      <c r="DO160" t="s">
        <v>1487</v>
      </c>
      <c r="DP160" t="s">
        <v>1025</v>
      </c>
      <c r="DQ160" t="s">
        <v>126</v>
      </c>
      <c r="DR160" t="s">
        <v>817</v>
      </c>
      <c r="DS160" t="s">
        <v>697</v>
      </c>
      <c r="DT160" t="s">
        <v>1515</v>
      </c>
      <c r="DU160" t="s">
        <v>703</v>
      </c>
      <c r="DV160" t="s">
        <v>793</v>
      </c>
      <c r="DW160" t="s">
        <v>871</v>
      </c>
      <c r="DX160" t="s">
        <v>796</v>
      </c>
      <c r="DY160" t="s">
        <v>796</v>
      </c>
      <c r="DZ160" t="s">
        <v>795</v>
      </c>
      <c r="EA160" t="s">
        <v>792</v>
      </c>
      <c r="EB160" t="s">
        <v>804</v>
      </c>
      <c r="EC160" t="s">
        <v>875</v>
      </c>
      <c r="ED160" t="s">
        <v>1516</v>
      </c>
      <c r="EE160" t="s">
        <v>1172</v>
      </c>
      <c r="EF160" t="s">
        <v>309</v>
      </c>
      <c r="EG160" t="s">
        <v>804</v>
      </c>
      <c r="EH160" t="s">
        <v>803</v>
      </c>
      <c r="EI160" t="s">
        <v>1544</v>
      </c>
      <c r="EJ160" t="s">
        <v>793</v>
      </c>
      <c r="EK160" t="s">
        <v>859</v>
      </c>
      <c r="EL160" t="s">
        <v>861</v>
      </c>
      <c r="EM160" t="s">
        <v>792</v>
      </c>
      <c r="EN160" t="s">
        <v>792</v>
      </c>
      <c r="EO160" t="s">
        <v>806</v>
      </c>
      <c r="EP160" t="s">
        <v>793</v>
      </c>
      <c r="EQ160" t="s">
        <v>800</v>
      </c>
      <c r="ER160" t="s">
        <v>857</v>
      </c>
      <c r="ES160" t="s">
        <v>1545</v>
      </c>
      <c r="ET160" t="s">
        <v>1033</v>
      </c>
      <c r="EU160" t="s">
        <v>333</v>
      </c>
      <c r="EV160" t="s">
        <v>793</v>
      </c>
      <c r="EW160" t="s">
        <v>804</v>
      </c>
      <c r="EX160" t="s">
        <v>880</v>
      </c>
      <c r="EY160" t="s">
        <v>707</v>
      </c>
      <c r="EZ160" t="s">
        <v>793</v>
      </c>
      <c r="FA160" t="s">
        <v>875</v>
      </c>
      <c r="FB160" t="s">
        <v>796</v>
      </c>
      <c r="FC160" t="s">
        <v>796</v>
      </c>
      <c r="FD160" t="s">
        <v>795</v>
      </c>
      <c r="FE160" t="s">
        <v>703</v>
      </c>
      <c r="FF160" t="s">
        <v>793</v>
      </c>
      <c r="FG160" t="s">
        <v>871</v>
      </c>
      <c r="FH160" t="s">
        <v>1567</v>
      </c>
      <c r="FI160" t="s">
        <v>1117</v>
      </c>
      <c r="FJ160" t="s">
        <v>160</v>
      </c>
      <c r="FK160" t="s">
        <v>851</v>
      </c>
      <c r="FL160" t="s">
        <v>821</v>
      </c>
      <c r="FM160" t="s">
        <v>1076</v>
      </c>
      <c r="FN160" t="s">
        <v>792</v>
      </c>
      <c r="FO160" t="s">
        <v>804</v>
      </c>
      <c r="FP160" t="s">
        <v>875</v>
      </c>
      <c r="FQ160" t="s">
        <v>707</v>
      </c>
      <c r="FR160" t="s">
        <v>707</v>
      </c>
      <c r="FS160" t="s">
        <v>806</v>
      </c>
      <c r="FT160" t="s">
        <v>817</v>
      </c>
      <c r="FU160" t="s">
        <v>859</v>
      </c>
      <c r="FV160" t="s">
        <v>1155</v>
      </c>
      <c r="FW160" t="s">
        <v>879</v>
      </c>
      <c r="FX160" t="s">
        <v>863</v>
      </c>
      <c r="FY160" t="s">
        <v>435</v>
      </c>
      <c r="FZ160" t="s">
        <v>815</v>
      </c>
      <c r="GA160" t="s">
        <v>853</v>
      </c>
      <c r="GB160" t="s">
        <v>857</v>
      </c>
      <c r="GC160" t="s">
        <v>792</v>
      </c>
      <c r="GD160" t="s">
        <v>851</v>
      </c>
      <c r="GE160" t="s">
        <v>1080</v>
      </c>
      <c r="GF160" t="s">
        <v>796</v>
      </c>
      <c r="GG160" t="s">
        <v>796</v>
      </c>
      <c r="GH160" t="s">
        <v>795</v>
      </c>
      <c r="GI160" t="s">
        <v>793</v>
      </c>
      <c r="GJ160" t="s">
        <v>804</v>
      </c>
      <c r="GK160" t="s">
        <v>880</v>
      </c>
      <c r="GL160" t="s">
        <v>1618</v>
      </c>
      <c r="GM160" t="s">
        <v>863</v>
      </c>
      <c r="GN160" t="s">
        <v>174</v>
      </c>
      <c r="GO160" t="s">
        <v>851</v>
      </c>
      <c r="GP160" t="s">
        <v>701</v>
      </c>
      <c r="GQ160" t="s">
        <v>880</v>
      </c>
      <c r="GR160" t="s">
        <v>793</v>
      </c>
      <c r="GS160" t="s">
        <v>817</v>
      </c>
      <c r="GT160" t="s">
        <v>1118</v>
      </c>
      <c r="GU160" t="s">
        <v>851</v>
      </c>
      <c r="GV160" t="s">
        <v>804</v>
      </c>
      <c r="GW160" t="s">
        <v>1543</v>
      </c>
      <c r="GX160" t="s">
        <v>703</v>
      </c>
      <c r="GY160" t="s">
        <v>859</v>
      </c>
      <c r="GZ160" t="s">
        <v>858</v>
      </c>
      <c r="HA160" t="s">
        <v>1453</v>
      </c>
      <c r="HB160" t="s">
        <v>856</v>
      </c>
      <c r="HC160" t="s">
        <v>391</v>
      </c>
      <c r="HD160" t="s">
        <v>859</v>
      </c>
      <c r="HE160" t="s">
        <v>805</v>
      </c>
      <c r="HF160" t="s">
        <v>867</v>
      </c>
      <c r="HG160" t="s">
        <v>796</v>
      </c>
      <c r="HH160" t="s">
        <v>707</v>
      </c>
      <c r="HI160" t="s">
        <v>865</v>
      </c>
      <c r="HJ160" t="s">
        <v>796</v>
      </c>
      <c r="HK160" t="s">
        <v>707</v>
      </c>
      <c r="HL160" t="s">
        <v>795</v>
      </c>
      <c r="HM160" t="s">
        <v>859</v>
      </c>
      <c r="HN160" t="s">
        <v>800</v>
      </c>
      <c r="HO160" t="s">
        <v>1659</v>
      </c>
      <c r="HP160" t="s">
        <v>1660</v>
      </c>
      <c r="HQ160" t="s">
        <v>1661</v>
      </c>
      <c r="HR160" t="s">
        <v>402</v>
      </c>
      <c r="HS160" t="s">
        <v>851</v>
      </c>
      <c r="HT160" t="s">
        <v>821</v>
      </c>
      <c r="HU160" t="s">
        <v>1076</v>
      </c>
      <c r="HV160" t="s">
        <v>707</v>
      </c>
      <c r="HW160" t="s">
        <v>703</v>
      </c>
      <c r="HX160" t="s">
        <v>858</v>
      </c>
      <c r="HY160" t="s">
        <v>703</v>
      </c>
      <c r="HZ160" t="s">
        <v>793</v>
      </c>
      <c r="IA160" t="s">
        <v>860</v>
      </c>
      <c r="IB160" t="s">
        <v>815</v>
      </c>
      <c r="IC160" t="s">
        <v>701</v>
      </c>
      <c r="ID160" t="s">
        <v>1115</v>
      </c>
      <c r="IE160" t="s">
        <v>1681</v>
      </c>
      <c r="IF160" t="s">
        <v>1077</v>
      </c>
      <c r="IG160" t="s">
        <v>193</v>
      </c>
      <c r="IH160" t="s">
        <v>851</v>
      </c>
      <c r="II160" t="s">
        <v>853</v>
      </c>
      <c r="IJ160" t="s">
        <v>1031</v>
      </c>
      <c r="IK160" t="s">
        <v>796</v>
      </c>
      <c r="IL160" t="s">
        <v>707</v>
      </c>
      <c r="IM160" t="s">
        <v>865</v>
      </c>
      <c r="IN160" t="s">
        <v>792</v>
      </c>
      <c r="IO160" t="s">
        <v>792</v>
      </c>
      <c r="IP160" t="s">
        <v>806</v>
      </c>
      <c r="IQ160" t="s">
        <v>851</v>
      </c>
      <c r="IR160" t="s">
        <v>701</v>
      </c>
      <c r="IS160" t="s">
        <v>880</v>
      </c>
      <c r="IT160" t="s">
        <v>1489</v>
      </c>
      <c r="IU160" t="s">
        <v>863</v>
      </c>
      <c r="IV160" t="s">
        <v>215</v>
      </c>
      <c r="IW160" t="s">
        <v>792</v>
      </c>
      <c r="IX160" t="s">
        <v>793</v>
      </c>
      <c r="IY160" t="s">
        <v>880</v>
      </c>
      <c r="IZ160" t="s">
        <v>796</v>
      </c>
      <c r="JA160" t="s">
        <v>796</v>
      </c>
      <c r="JB160" t="s">
        <v>865</v>
      </c>
      <c r="JC160" t="s">
        <v>796</v>
      </c>
      <c r="JD160" t="s">
        <v>796</v>
      </c>
      <c r="JE160" t="s">
        <v>795</v>
      </c>
      <c r="JF160" t="s">
        <v>792</v>
      </c>
      <c r="JG160" t="s">
        <v>793</v>
      </c>
      <c r="JH160" t="s">
        <v>880</v>
      </c>
      <c r="JI160" t="s">
        <v>879</v>
      </c>
      <c r="JJ160" t="s">
        <v>866</v>
      </c>
      <c r="JK160" t="s">
        <v>419</v>
      </c>
      <c r="JL160" t="s">
        <v>859</v>
      </c>
      <c r="JM160" t="s">
        <v>1009</v>
      </c>
      <c r="JN160" t="s">
        <v>1683</v>
      </c>
      <c r="JO160" t="s">
        <v>792</v>
      </c>
      <c r="JP160" t="s">
        <v>817</v>
      </c>
      <c r="JQ160" t="s">
        <v>857</v>
      </c>
      <c r="JR160" t="s">
        <v>707</v>
      </c>
      <c r="JS160" t="s">
        <v>707</v>
      </c>
      <c r="JT160" t="s">
        <v>806</v>
      </c>
      <c r="JU160" t="s">
        <v>851</v>
      </c>
      <c r="JV160" t="s">
        <v>853</v>
      </c>
      <c r="JW160" t="s">
        <v>1031</v>
      </c>
      <c r="JX160" t="s">
        <v>1732</v>
      </c>
      <c r="JY160" t="s">
        <v>866</v>
      </c>
      <c r="JZ160" t="s">
        <v>231</v>
      </c>
      <c r="KA160" t="s">
        <v>792</v>
      </c>
      <c r="KB160" t="s">
        <v>817</v>
      </c>
      <c r="KC160" t="s">
        <v>857</v>
      </c>
      <c r="KD160" t="s">
        <v>796</v>
      </c>
      <c r="KE160" t="s">
        <v>707</v>
      </c>
      <c r="KF160" t="s">
        <v>865</v>
      </c>
      <c r="KG160" t="s">
        <v>707</v>
      </c>
      <c r="KH160" t="s">
        <v>707</v>
      </c>
      <c r="KI160" t="s">
        <v>806</v>
      </c>
      <c r="KJ160" t="s">
        <v>792</v>
      </c>
      <c r="KK160" t="s">
        <v>793</v>
      </c>
      <c r="KL160" t="s">
        <v>880</v>
      </c>
      <c r="KM160" t="s">
        <v>879</v>
      </c>
      <c r="KN160" t="s">
        <v>1202</v>
      </c>
      <c r="KO160" t="s">
        <v>619</v>
      </c>
      <c r="KP160" t="s">
        <v>792</v>
      </c>
      <c r="KQ160" t="s">
        <v>817</v>
      </c>
      <c r="KR160" t="s">
        <v>857</v>
      </c>
      <c r="KS160" t="s">
        <v>796</v>
      </c>
      <c r="KT160" t="s">
        <v>707</v>
      </c>
      <c r="KU160" t="s">
        <v>865</v>
      </c>
      <c r="KV160" t="s">
        <v>796</v>
      </c>
      <c r="KW160" t="s">
        <v>796</v>
      </c>
      <c r="KX160" t="s">
        <v>795</v>
      </c>
      <c r="KY160" t="s">
        <v>792</v>
      </c>
      <c r="KZ160" t="s">
        <v>793</v>
      </c>
      <c r="LA160" t="s">
        <v>880</v>
      </c>
      <c r="LB160" t="s">
        <v>1118</v>
      </c>
      <c r="LC160" t="s">
        <v>1202</v>
      </c>
      <c r="LD160" t="s">
        <v>248</v>
      </c>
      <c r="LE160" t="s">
        <v>707</v>
      </c>
      <c r="LF160" t="s">
        <v>817</v>
      </c>
      <c r="LG160" t="s">
        <v>876</v>
      </c>
      <c r="LH160" t="s">
        <v>796</v>
      </c>
      <c r="LI160" t="s">
        <v>796</v>
      </c>
      <c r="LJ160" t="s">
        <v>865</v>
      </c>
      <c r="LK160" t="s">
        <v>707</v>
      </c>
      <c r="LL160" t="s">
        <v>792</v>
      </c>
      <c r="LM160" t="s">
        <v>866</v>
      </c>
      <c r="LN160" t="s">
        <v>707</v>
      </c>
      <c r="LO160" t="s">
        <v>817</v>
      </c>
      <c r="LP160" t="s">
        <v>876</v>
      </c>
      <c r="LQ160" t="s">
        <v>1078</v>
      </c>
      <c r="LR160" t="s">
        <v>1596</v>
      </c>
      <c r="LS160" t="s">
        <v>257</v>
      </c>
      <c r="LT160" t="s">
        <v>703</v>
      </c>
      <c r="LU160" t="s">
        <v>815</v>
      </c>
      <c r="LV160" t="s">
        <v>880</v>
      </c>
      <c r="LW160" t="s">
        <v>792</v>
      </c>
      <c r="LX160" t="s">
        <v>793</v>
      </c>
      <c r="LY160" t="s">
        <v>880</v>
      </c>
      <c r="LZ160" t="s">
        <v>792</v>
      </c>
      <c r="MA160" t="s">
        <v>792</v>
      </c>
      <c r="MB160" t="s">
        <v>806</v>
      </c>
      <c r="MC160" t="s">
        <v>707</v>
      </c>
      <c r="MD160" t="s">
        <v>792</v>
      </c>
      <c r="ME160" t="s">
        <v>880</v>
      </c>
      <c r="MF160" t="s">
        <v>1087</v>
      </c>
      <c r="MG160" t="s">
        <v>883</v>
      </c>
      <c r="MH160" t="s">
        <v>470</v>
      </c>
      <c r="MI160" t="s">
        <v>703</v>
      </c>
      <c r="MJ160" t="s">
        <v>815</v>
      </c>
      <c r="MK160" t="s">
        <v>880</v>
      </c>
      <c r="ML160" t="s">
        <v>796</v>
      </c>
      <c r="MM160" t="s">
        <v>796</v>
      </c>
      <c r="MN160" t="s">
        <v>865</v>
      </c>
      <c r="MO160" t="s">
        <v>792</v>
      </c>
      <c r="MP160" t="s">
        <v>792</v>
      </c>
      <c r="MQ160" t="s">
        <v>806</v>
      </c>
      <c r="MR160" t="s">
        <v>703</v>
      </c>
      <c r="MS160" t="s">
        <v>815</v>
      </c>
      <c r="MT160" t="s">
        <v>880</v>
      </c>
      <c r="MU160" t="s">
        <v>882</v>
      </c>
      <c r="MV160" t="s">
        <v>866</v>
      </c>
      <c r="MW160" t="s">
        <v>299</v>
      </c>
      <c r="MX160" t="s">
        <v>815</v>
      </c>
      <c r="MY160" t="s">
        <v>804</v>
      </c>
      <c r="MZ160" t="s">
        <v>871</v>
      </c>
      <c r="NA160" t="s">
        <v>796</v>
      </c>
      <c r="NB160" t="s">
        <v>707</v>
      </c>
      <c r="NC160" t="s">
        <v>865</v>
      </c>
      <c r="ND160" t="s">
        <v>796</v>
      </c>
      <c r="NE160" t="s">
        <v>796</v>
      </c>
      <c r="NF160" t="s">
        <v>795</v>
      </c>
      <c r="NG160" t="s">
        <v>815</v>
      </c>
      <c r="NH160" t="s">
        <v>851</v>
      </c>
      <c r="NI160" t="s">
        <v>1452</v>
      </c>
      <c r="NJ160" t="s">
        <v>1026</v>
      </c>
      <c r="NK160" t="s">
        <v>860</v>
      </c>
      <c r="NL160" t="s">
        <v>279</v>
      </c>
      <c r="NM160" t="s">
        <v>703</v>
      </c>
      <c r="NN160" t="s">
        <v>815</v>
      </c>
      <c r="NO160" t="s">
        <v>880</v>
      </c>
      <c r="NP160" t="s">
        <v>796</v>
      </c>
      <c r="NQ160" t="s">
        <v>796</v>
      </c>
      <c r="NR160" t="s">
        <v>865</v>
      </c>
      <c r="NS160" t="s">
        <v>796</v>
      </c>
      <c r="NT160" t="s">
        <v>796</v>
      </c>
      <c r="NU160" t="s">
        <v>795</v>
      </c>
      <c r="NV160" t="s">
        <v>703</v>
      </c>
      <c r="NW160" t="s">
        <v>815</v>
      </c>
      <c r="NX160" t="s">
        <v>880</v>
      </c>
      <c r="NY160" t="s">
        <v>879</v>
      </c>
      <c r="NZ160" t="s">
        <v>866</v>
      </c>
    </row>
    <row r="161" spans="1:390" ht="15.75" hidden="1" customHeight="1" x14ac:dyDescent="0.25">
      <c r="A161" t="s">
        <v>138</v>
      </c>
      <c r="B161" t="s">
        <v>859</v>
      </c>
      <c r="C161" t="s">
        <v>701</v>
      </c>
      <c r="D161" t="s">
        <v>864</v>
      </c>
      <c r="E161" t="s">
        <v>796</v>
      </c>
      <c r="F161" t="s">
        <v>703</v>
      </c>
      <c r="G161" t="s">
        <v>865</v>
      </c>
      <c r="H161" t="s">
        <v>707</v>
      </c>
      <c r="I161" t="s">
        <v>792</v>
      </c>
      <c r="J161" t="s">
        <v>866</v>
      </c>
      <c r="K161" t="s">
        <v>859</v>
      </c>
      <c r="L161" t="s">
        <v>805</v>
      </c>
      <c r="M161" t="s">
        <v>867</v>
      </c>
      <c r="N161" t="s">
        <v>868</v>
      </c>
      <c r="O161" t="s">
        <v>856</v>
      </c>
      <c r="P161" t="s">
        <v>340</v>
      </c>
      <c r="Q161" t="s">
        <v>859</v>
      </c>
      <c r="R161" t="s">
        <v>1005</v>
      </c>
      <c r="S161" t="s">
        <v>880</v>
      </c>
      <c r="T161" t="s">
        <v>703</v>
      </c>
      <c r="U161" t="s">
        <v>800</v>
      </c>
      <c r="V161" t="s">
        <v>1027</v>
      </c>
      <c r="W161" t="s">
        <v>817</v>
      </c>
      <c r="X161" t="s">
        <v>815</v>
      </c>
      <c r="Y161" t="s">
        <v>1028</v>
      </c>
      <c r="Z161" t="s">
        <v>815</v>
      </c>
      <c r="AA161" t="s">
        <v>804</v>
      </c>
      <c r="AB161" t="s">
        <v>871</v>
      </c>
      <c r="AC161" t="s">
        <v>1029</v>
      </c>
      <c r="AD161" t="s">
        <v>1030</v>
      </c>
      <c r="AE161" t="s">
        <v>1060</v>
      </c>
      <c r="AF161" t="s">
        <v>792</v>
      </c>
      <c r="AG161" t="s">
        <v>851</v>
      </c>
      <c r="AH161" t="s">
        <v>1080</v>
      </c>
      <c r="AI161" t="s">
        <v>792</v>
      </c>
      <c r="AJ161" t="s">
        <v>703</v>
      </c>
      <c r="AK161" t="s">
        <v>870</v>
      </c>
      <c r="AL161" t="s">
        <v>792</v>
      </c>
      <c r="AM161" t="s">
        <v>792</v>
      </c>
      <c r="AN161" t="s">
        <v>806</v>
      </c>
      <c r="AO161" t="s">
        <v>796</v>
      </c>
      <c r="AP161" t="s">
        <v>793</v>
      </c>
      <c r="AQ161" t="s">
        <v>865</v>
      </c>
      <c r="AR161" t="s">
        <v>1081</v>
      </c>
      <c r="AS161" t="s">
        <v>1082</v>
      </c>
      <c r="AT161" t="s">
        <v>482</v>
      </c>
      <c r="AU161" t="s">
        <v>703</v>
      </c>
      <c r="AV161" t="s">
        <v>815</v>
      </c>
      <c r="AW161" t="s">
        <v>880</v>
      </c>
      <c r="AX161" t="s">
        <v>792</v>
      </c>
      <c r="AY161" t="s">
        <v>703</v>
      </c>
      <c r="AZ161" t="s">
        <v>870</v>
      </c>
      <c r="BA161" t="s">
        <v>707</v>
      </c>
      <c r="BB161" t="s">
        <v>707</v>
      </c>
      <c r="BC161" t="s">
        <v>806</v>
      </c>
      <c r="BD161" t="s">
        <v>707</v>
      </c>
      <c r="BE161" t="s">
        <v>703</v>
      </c>
      <c r="BF161" t="s">
        <v>858</v>
      </c>
      <c r="BG161" t="s">
        <v>1026</v>
      </c>
      <c r="BH161" t="s">
        <v>883</v>
      </c>
      <c r="BI161" t="s">
        <v>513</v>
      </c>
      <c r="BJ161" t="s">
        <v>793</v>
      </c>
      <c r="BK161" t="s">
        <v>859</v>
      </c>
      <c r="BL161" t="s">
        <v>861</v>
      </c>
      <c r="BM161" t="s">
        <v>703</v>
      </c>
      <c r="BN161" t="s">
        <v>817</v>
      </c>
      <c r="BO161" t="s">
        <v>1078</v>
      </c>
      <c r="BP161" t="s">
        <v>796</v>
      </c>
      <c r="BQ161" t="s">
        <v>796</v>
      </c>
      <c r="BR161" t="s">
        <v>795</v>
      </c>
      <c r="BS161" t="s">
        <v>707</v>
      </c>
      <c r="BT161" t="s">
        <v>793</v>
      </c>
      <c r="BU161" t="s">
        <v>875</v>
      </c>
      <c r="BV161" t="s">
        <v>1161</v>
      </c>
      <c r="BW161" t="s">
        <v>1128</v>
      </c>
      <c r="BX161" t="s">
        <v>176</v>
      </c>
      <c r="BY161" t="s">
        <v>851</v>
      </c>
      <c r="BZ161" t="s">
        <v>1005</v>
      </c>
      <c r="CA161" t="s">
        <v>1197</v>
      </c>
      <c r="CB161" t="s">
        <v>707</v>
      </c>
      <c r="CC161" t="s">
        <v>815</v>
      </c>
      <c r="CD161" t="s">
        <v>1035</v>
      </c>
      <c r="CE161" t="s">
        <v>793</v>
      </c>
      <c r="CF161" t="s">
        <v>793</v>
      </c>
      <c r="CG161" t="s">
        <v>806</v>
      </c>
      <c r="CH161" t="s">
        <v>815</v>
      </c>
      <c r="CI161" t="s">
        <v>697</v>
      </c>
      <c r="CJ161" t="s">
        <v>880</v>
      </c>
      <c r="CK161" t="s">
        <v>1075</v>
      </c>
      <c r="CL161" t="s">
        <v>1037</v>
      </c>
      <c r="CM161" t="s">
        <v>195</v>
      </c>
      <c r="CN161" t="s">
        <v>793</v>
      </c>
      <c r="CO161" t="s">
        <v>851</v>
      </c>
      <c r="CP161" t="s">
        <v>852</v>
      </c>
      <c r="CQ161" t="s">
        <v>707</v>
      </c>
      <c r="CR161" t="s">
        <v>792</v>
      </c>
      <c r="CS161" t="s">
        <v>880</v>
      </c>
      <c r="CT161" t="s">
        <v>796</v>
      </c>
      <c r="CU161" t="s">
        <v>796</v>
      </c>
      <c r="CV161" t="s">
        <v>795</v>
      </c>
      <c r="CW161" t="s">
        <v>703</v>
      </c>
      <c r="CX161" t="s">
        <v>817</v>
      </c>
      <c r="CY161" t="s">
        <v>1078</v>
      </c>
      <c r="CZ161" t="s">
        <v>1458</v>
      </c>
      <c r="DA161" t="s">
        <v>856</v>
      </c>
      <c r="DB161" t="s">
        <v>95</v>
      </c>
      <c r="DC161" t="s">
        <v>859</v>
      </c>
      <c r="DD161" t="s">
        <v>821</v>
      </c>
      <c r="DE161" t="s">
        <v>1194</v>
      </c>
      <c r="DF161" t="s">
        <v>703</v>
      </c>
      <c r="DG161" t="s">
        <v>804</v>
      </c>
      <c r="DH161" t="s">
        <v>1454</v>
      </c>
      <c r="DI161" t="s">
        <v>796</v>
      </c>
      <c r="DJ161" t="s">
        <v>796</v>
      </c>
      <c r="DK161" t="s">
        <v>795</v>
      </c>
      <c r="DL161" t="s">
        <v>815</v>
      </c>
      <c r="DM161" t="s">
        <v>859</v>
      </c>
      <c r="DN161" t="s">
        <v>870</v>
      </c>
      <c r="DO161" t="s">
        <v>1488</v>
      </c>
      <c r="DP161" t="s">
        <v>1196</v>
      </c>
      <c r="DQ161" t="s">
        <v>122</v>
      </c>
      <c r="DR161" t="s">
        <v>792</v>
      </c>
      <c r="DS161" t="s">
        <v>859</v>
      </c>
      <c r="DT161" t="s">
        <v>1517</v>
      </c>
      <c r="DU161" t="s">
        <v>707</v>
      </c>
      <c r="DV161" t="s">
        <v>851</v>
      </c>
      <c r="DW161" t="s">
        <v>1083</v>
      </c>
      <c r="DX161" t="s">
        <v>793</v>
      </c>
      <c r="DY161" t="s">
        <v>817</v>
      </c>
      <c r="DZ161" t="s">
        <v>1025</v>
      </c>
      <c r="EA161" t="s">
        <v>707</v>
      </c>
      <c r="EB161" t="s">
        <v>792</v>
      </c>
      <c r="EC161" t="s">
        <v>880</v>
      </c>
      <c r="ED161" t="s">
        <v>879</v>
      </c>
      <c r="EE161" t="s">
        <v>1518</v>
      </c>
      <c r="EF161" t="s">
        <v>310</v>
      </c>
      <c r="EG161" t="s">
        <v>800</v>
      </c>
      <c r="EH161" t="s">
        <v>1005</v>
      </c>
      <c r="EI161" t="s">
        <v>1155</v>
      </c>
      <c r="EJ161" t="s">
        <v>817</v>
      </c>
      <c r="EK161" t="s">
        <v>804</v>
      </c>
      <c r="EL161" t="s">
        <v>1038</v>
      </c>
      <c r="EM161" t="s">
        <v>796</v>
      </c>
      <c r="EN161" t="s">
        <v>796</v>
      </c>
      <c r="EO161" t="s">
        <v>795</v>
      </c>
      <c r="EP161" t="s">
        <v>817</v>
      </c>
      <c r="EQ161" t="s">
        <v>800</v>
      </c>
      <c r="ER161" t="s">
        <v>880</v>
      </c>
      <c r="ES161" t="s">
        <v>1546</v>
      </c>
      <c r="ET161" t="s">
        <v>1456</v>
      </c>
      <c r="EU161" t="s">
        <v>608</v>
      </c>
      <c r="EV161" t="s">
        <v>817</v>
      </c>
      <c r="EW161" t="s">
        <v>853</v>
      </c>
      <c r="EX161" t="s">
        <v>858</v>
      </c>
      <c r="EY161" t="s">
        <v>707</v>
      </c>
      <c r="EZ161" t="s">
        <v>815</v>
      </c>
      <c r="FA161" t="s">
        <v>1035</v>
      </c>
      <c r="FB161" t="s">
        <v>707</v>
      </c>
      <c r="FC161" t="s">
        <v>707</v>
      </c>
      <c r="FD161" t="s">
        <v>806</v>
      </c>
      <c r="FE161" t="s">
        <v>793</v>
      </c>
      <c r="FF161" t="s">
        <v>859</v>
      </c>
      <c r="FG161" t="s">
        <v>861</v>
      </c>
      <c r="FH161" t="s">
        <v>1118</v>
      </c>
      <c r="FI161" t="s">
        <v>1568</v>
      </c>
      <c r="FJ161" t="s">
        <v>1586</v>
      </c>
      <c r="FK161" t="s">
        <v>804</v>
      </c>
      <c r="FL161" t="s">
        <v>810</v>
      </c>
      <c r="FM161" t="s">
        <v>877</v>
      </c>
      <c r="FN161" t="s">
        <v>707</v>
      </c>
      <c r="FO161" t="s">
        <v>792</v>
      </c>
      <c r="FP161" t="s">
        <v>880</v>
      </c>
      <c r="FQ161" t="s">
        <v>817</v>
      </c>
      <c r="FR161" t="s">
        <v>817</v>
      </c>
      <c r="FS161" t="s">
        <v>806</v>
      </c>
      <c r="FT161" t="s">
        <v>851</v>
      </c>
      <c r="FU161" t="s">
        <v>805</v>
      </c>
      <c r="FV161" t="s">
        <v>1591</v>
      </c>
      <c r="FW161" t="s">
        <v>1592</v>
      </c>
      <c r="FX161" t="s">
        <v>1593</v>
      </c>
      <c r="FY161" t="s">
        <v>296</v>
      </c>
      <c r="FZ161" t="s">
        <v>703</v>
      </c>
      <c r="GA161" t="s">
        <v>817</v>
      </c>
      <c r="GB161" t="s">
        <v>1078</v>
      </c>
      <c r="GC161" t="s">
        <v>796</v>
      </c>
      <c r="GD161" t="s">
        <v>796</v>
      </c>
      <c r="GE161" t="s">
        <v>865</v>
      </c>
      <c r="GF161" t="s">
        <v>707</v>
      </c>
      <c r="GG161" t="s">
        <v>793</v>
      </c>
      <c r="GH161" t="s">
        <v>886</v>
      </c>
      <c r="GI161" t="s">
        <v>703</v>
      </c>
      <c r="GJ161" t="s">
        <v>817</v>
      </c>
      <c r="GK161" t="s">
        <v>1078</v>
      </c>
      <c r="GL161" t="s">
        <v>1085</v>
      </c>
      <c r="GM161" t="s">
        <v>1468</v>
      </c>
      <c r="GN161" t="s">
        <v>175</v>
      </c>
      <c r="GO161" t="s">
        <v>851</v>
      </c>
      <c r="GP161" t="s">
        <v>805</v>
      </c>
      <c r="GQ161" t="s">
        <v>1591</v>
      </c>
      <c r="GR161" t="s">
        <v>707</v>
      </c>
      <c r="GS161" t="s">
        <v>792</v>
      </c>
      <c r="GT161" t="s">
        <v>880</v>
      </c>
      <c r="GU161" t="s">
        <v>793</v>
      </c>
      <c r="GV161" t="s">
        <v>793</v>
      </c>
      <c r="GW161" t="s">
        <v>806</v>
      </c>
      <c r="GX161" t="s">
        <v>815</v>
      </c>
      <c r="GY161" t="s">
        <v>859</v>
      </c>
      <c r="GZ161" t="s">
        <v>870</v>
      </c>
      <c r="HA161" t="s">
        <v>1637</v>
      </c>
      <c r="HB161" t="s">
        <v>1160</v>
      </c>
      <c r="HC161" t="s">
        <v>147</v>
      </c>
      <c r="HD161" t="s">
        <v>815</v>
      </c>
      <c r="HE161" t="s">
        <v>800</v>
      </c>
      <c r="HF161" t="s">
        <v>1078</v>
      </c>
      <c r="HG161" t="s">
        <v>796</v>
      </c>
      <c r="HH161" t="s">
        <v>796</v>
      </c>
      <c r="HI161" t="s">
        <v>865</v>
      </c>
      <c r="HJ161" t="s">
        <v>796</v>
      </c>
      <c r="HK161" t="s">
        <v>796</v>
      </c>
      <c r="HL161" t="s">
        <v>795</v>
      </c>
      <c r="HM161" t="s">
        <v>815</v>
      </c>
      <c r="HN161" t="s">
        <v>800</v>
      </c>
      <c r="HO161" t="s">
        <v>1078</v>
      </c>
      <c r="HP161" t="s">
        <v>1032</v>
      </c>
      <c r="HQ161" t="s">
        <v>1468</v>
      </c>
      <c r="HR161" t="s">
        <v>411</v>
      </c>
      <c r="HS161" t="s">
        <v>707</v>
      </c>
      <c r="HT161" t="s">
        <v>793</v>
      </c>
      <c r="HU161" t="s">
        <v>875</v>
      </c>
      <c r="HV161" t="s">
        <v>796</v>
      </c>
      <c r="HW161" t="s">
        <v>792</v>
      </c>
      <c r="HX161" t="s">
        <v>865</v>
      </c>
      <c r="HY161" t="s">
        <v>707</v>
      </c>
      <c r="HZ161" t="s">
        <v>792</v>
      </c>
      <c r="IA161" t="s">
        <v>866</v>
      </c>
      <c r="IB161" t="s">
        <v>707</v>
      </c>
      <c r="IC161" t="s">
        <v>792</v>
      </c>
      <c r="ID161" t="s">
        <v>880</v>
      </c>
      <c r="IE161" t="s">
        <v>871</v>
      </c>
      <c r="IF161" t="s">
        <v>886</v>
      </c>
      <c r="IG161" t="s">
        <v>589</v>
      </c>
      <c r="IH161" t="s">
        <v>707</v>
      </c>
      <c r="II161" t="s">
        <v>703</v>
      </c>
      <c r="IJ161" t="s">
        <v>858</v>
      </c>
      <c r="IK161" t="s">
        <v>796</v>
      </c>
      <c r="IL161" t="s">
        <v>707</v>
      </c>
      <c r="IM161" t="s">
        <v>865</v>
      </c>
      <c r="IN161" t="s">
        <v>793</v>
      </c>
      <c r="IO161" t="s">
        <v>817</v>
      </c>
      <c r="IP161" t="s">
        <v>1025</v>
      </c>
      <c r="IQ161" t="s">
        <v>707</v>
      </c>
      <c r="IR161" t="s">
        <v>792</v>
      </c>
      <c r="IS161" t="s">
        <v>880</v>
      </c>
      <c r="IT161" t="s">
        <v>884</v>
      </c>
      <c r="IU161" t="s">
        <v>885</v>
      </c>
      <c r="IV161" t="s">
        <v>211</v>
      </c>
      <c r="IW161" t="s">
        <v>793</v>
      </c>
      <c r="IX161" t="s">
        <v>859</v>
      </c>
      <c r="IY161" t="s">
        <v>861</v>
      </c>
      <c r="IZ161" t="s">
        <v>707</v>
      </c>
      <c r="JA161" t="s">
        <v>707</v>
      </c>
      <c r="JB161" t="s">
        <v>879</v>
      </c>
      <c r="JC161" t="s">
        <v>793</v>
      </c>
      <c r="JD161" t="s">
        <v>793</v>
      </c>
      <c r="JE161" t="s">
        <v>806</v>
      </c>
      <c r="JF161" t="s">
        <v>703</v>
      </c>
      <c r="JG161" t="s">
        <v>804</v>
      </c>
      <c r="JH161" t="s">
        <v>1454</v>
      </c>
      <c r="JI161" t="s">
        <v>1029</v>
      </c>
      <c r="JJ161" t="s">
        <v>866</v>
      </c>
      <c r="JK161" t="s">
        <v>420</v>
      </c>
      <c r="JL161" t="s">
        <v>815</v>
      </c>
      <c r="JM161" t="s">
        <v>701</v>
      </c>
      <c r="JN161" t="s">
        <v>1115</v>
      </c>
      <c r="JO161" t="s">
        <v>703</v>
      </c>
      <c r="JP161" t="s">
        <v>815</v>
      </c>
      <c r="JQ161" t="s">
        <v>880</v>
      </c>
      <c r="JR161" t="s">
        <v>793</v>
      </c>
      <c r="JS161" t="s">
        <v>817</v>
      </c>
      <c r="JT161" t="s">
        <v>1025</v>
      </c>
      <c r="JU161" t="s">
        <v>703</v>
      </c>
      <c r="JV161" t="s">
        <v>804</v>
      </c>
      <c r="JW161" t="s">
        <v>1454</v>
      </c>
      <c r="JX161" t="s">
        <v>868</v>
      </c>
      <c r="JY161" t="s">
        <v>1172</v>
      </c>
      <c r="JZ161" t="s">
        <v>1745</v>
      </c>
      <c r="KA161" t="s">
        <v>793</v>
      </c>
      <c r="KB161" t="s">
        <v>851</v>
      </c>
      <c r="KC161" t="s">
        <v>852</v>
      </c>
      <c r="KD161" t="s">
        <v>796</v>
      </c>
      <c r="KE161" t="s">
        <v>796</v>
      </c>
      <c r="KF161" t="s">
        <v>865</v>
      </c>
      <c r="KG161" t="s">
        <v>796</v>
      </c>
      <c r="KH161" t="s">
        <v>796</v>
      </c>
      <c r="KI161" t="s">
        <v>795</v>
      </c>
      <c r="KJ161" t="s">
        <v>793</v>
      </c>
      <c r="KK161" t="s">
        <v>851</v>
      </c>
      <c r="KL161" t="s">
        <v>852</v>
      </c>
      <c r="KM161" t="s">
        <v>1081</v>
      </c>
      <c r="KN161" t="s">
        <v>1199</v>
      </c>
      <c r="KO161" t="s">
        <v>459</v>
      </c>
      <c r="KP161" t="s">
        <v>796</v>
      </c>
      <c r="KQ161" t="s">
        <v>792</v>
      </c>
      <c r="KR161" t="s">
        <v>865</v>
      </c>
      <c r="KS161" t="s">
        <v>796</v>
      </c>
      <c r="KT161" t="s">
        <v>796</v>
      </c>
      <c r="KU161" t="s">
        <v>865</v>
      </c>
      <c r="KV161" t="s">
        <v>707</v>
      </c>
      <c r="KW161" t="s">
        <v>793</v>
      </c>
      <c r="KX161" t="s">
        <v>886</v>
      </c>
      <c r="KY161" t="s">
        <v>796</v>
      </c>
      <c r="KZ161" t="s">
        <v>792</v>
      </c>
      <c r="LA161" t="s">
        <v>865</v>
      </c>
      <c r="LB161" t="s">
        <v>880</v>
      </c>
      <c r="LC161" t="s">
        <v>795</v>
      </c>
      <c r="LD161" t="s">
        <v>595</v>
      </c>
      <c r="LE161" t="s">
        <v>792</v>
      </c>
      <c r="LF161" t="s">
        <v>851</v>
      </c>
      <c r="LG161" t="s">
        <v>1080</v>
      </c>
      <c r="LH161" t="s">
        <v>796</v>
      </c>
      <c r="LI161" t="s">
        <v>792</v>
      </c>
      <c r="LJ161" t="s">
        <v>865</v>
      </c>
      <c r="LK161" t="s">
        <v>703</v>
      </c>
      <c r="LL161" t="s">
        <v>793</v>
      </c>
      <c r="LM161" t="s">
        <v>860</v>
      </c>
      <c r="LN161" t="s">
        <v>792</v>
      </c>
      <c r="LO161" t="s">
        <v>817</v>
      </c>
      <c r="LP161" t="s">
        <v>857</v>
      </c>
      <c r="LQ161" t="s">
        <v>879</v>
      </c>
      <c r="LR161" t="s">
        <v>1782</v>
      </c>
      <c r="LS161" t="s">
        <v>265</v>
      </c>
      <c r="LT161" t="s">
        <v>796</v>
      </c>
      <c r="LU161" t="s">
        <v>796</v>
      </c>
      <c r="LV161" t="s">
        <v>865</v>
      </c>
      <c r="LW161" t="s">
        <v>796</v>
      </c>
      <c r="LX161" t="s">
        <v>796</v>
      </c>
      <c r="LY161" t="s">
        <v>865</v>
      </c>
      <c r="LZ161" t="s">
        <v>796</v>
      </c>
      <c r="MA161" t="s">
        <v>796</v>
      </c>
      <c r="MB161" t="s">
        <v>795</v>
      </c>
      <c r="MC161" t="s">
        <v>796</v>
      </c>
      <c r="MD161" t="s">
        <v>796</v>
      </c>
      <c r="ME161" t="s">
        <v>865</v>
      </c>
      <c r="MF161" t="s">
        <v>865</v>
      </c>
      <c r="MG161" t="s">
        <v>795</v>
      </c>
      <c r="MH161" t="s">
        <v>474</v>
      </c>
      <c r="MI161" t="s">
        <v>793</v>
      </c>
      <c r="MJ161" t="s">
        <v>817</v>
      </c>
      <c r="MK161" t="s">
        <v>1118</v>
      </c>
      <c r="ML161" t="s">
        <v>796</v>
      </c>
      <c r="MM161" t="s">
        <v>796</v>
      </c>
      <c r="MN161" t="s">
        <v>865</v>
      </c>
      <c r="MO161" t="s">
        <v>796</v>
      </c>
      <c r="MP161" t="s">
        <v>792</v>
      </c>
      <c r="MQ161" t="s">
        <v>795</v>
      </c>
      <c r="MR161" t="s">
        <v>793</v>
      </c>
      <c r="MS161" t="s">
        <v>817</v>
      </c>
      <c r="MT161" t="s">
        <v>1118</v>
      </c>
      <c r="MU161" t="s">
        <v>1487</v>
      </c>
      <c r="MV161" t="s">
        <v>1025</v>
      </c>
      <c r="MW161" t="s">
        <v>405</v>
      </c>
      <c r="MX161" t="s">
        <v>815</v>
      </c>
      <c r="MY161" t="s">
        <v>859</v>
      </c>
      <c r="MZ161" t="s">
        <v>870</v>
      </c>
      <c r="NA161" t="s">
        <v>792</v>
      </c>
      <c r="NB161" t="s">
        <v>817</v>
      </c>
      <c r="NC161" t="s">
        <v>857</v>
      </c>
      <c r="ND161" t="s">
        <v>796</v>
      </c>
      <c r="NE161" t="s">
        <v>796</v>
      </c>
      <c r="NF161" t="s">
        <v>795</v>
      </c>
      <c r="NG161" t="s">
        <v>793</v>
      </c>
      <c r="NH161" t="s">
        <v>793</v>
      </c>
      <c r="NI161" t="s">
        <v>879</v>
      </c>
      <c r="NJ161" t="s">
        <v>1828</v>
      </c>
      <c r="NK161" t="s">
        <v>1829</v>
      </c>
      <c r="NL161" t="s">
        <v>274</v>
      </c>
      <c r="NM161" t="s">
        <v>703</v>
      </c>
      <c r="NN161" t="s">
        <v>810</v>
      </c>
      <c r="NO161" t="s">
        <v>874</v>
      </c>
      <c r="NP161" t="s">
        <v>707</v>
      </c>
      <c r="NQ161" t="s">
        <v>817</v>
      </c>
      <c r="NR161" t="s">
        <v>876</v>
      </c>
      <c r="NS161" t="s">
        <v>703</v>
      </c>
      <c r="NT161" t="s">
        <v>703</v>
      </c>
      <c r="NU161" t="s">
        <v>806</v>
      </c>
      <c r="NV161" t="s">
        <v>792</v>
      </c>
      <c r="NW161" t="s">
        <v>804</v>
      </c>
      <c r="NX161" t="s">
        <v>875</v>
      </c>
      <c r="NY161" t="s">
        <v>1848</v>
      </c>
      <c r="NZ161" t="s">
        <v>1849</v>
      </c>
    </row>
    <row r="162" spans="1:390" ht="15.75" hidden="1" customHeight="1" x14ac:dyDescent="0.25">
      <c r="A162" t="s">
        <v>151</v>
      </c>
      <c r="B162" t="s">
        <v>707</v>
      </c>
      <c r="C162" t="s">
        <v>792</v>
      </c>
      <c r="D162" t="s">
        <v>880</v>
      </c>
      <c r="E162" t="s">
        <v>707</v>
      </c>
      <c r="F162" t="s">
        <v>707</v>
      </c>
      <c r="G162" t="s">
        <v>879</v>
      </c>
      <c r="H162" t="s">
        <v>792</v>
      </c>
      <c r="I162" t="s">
        <v>792</v>
      </c>
      <c r="J162" t="s">
        <v>806</v>
      </c>
      <c r="K162" t="s">
        <v>796</v>
      </c>
      <c r="L162" t="s">
        <v>707</v>
      </c>
      <c r="M162" t="s">
        <v>865</v>
      </c>
      <c r="N162" t="s">
        <v>881</v>
      </c>
      <c r="O162" t="s">
        <v>860</v>
      </c>
      <c r="P162" t="s">
        <v>540</v>
      </c>
      <c r="Q162" t="s">
        <v>707</v>
      </c>
      <c r="R162" t="s">
        <v>703</v>
      </c>
      <c r="S162" t="s">
        <v>858</v>
      </c>
      <c r="T162" t="s">
        <v>796</v>
      </c>
      <c r="U162" t="s">
        <v>792</v>
      </c>
      <c r="V162" t="s">
        <v>865</v>
      </c>
      <c r="W162" t="s">
        <v>796</v>
      </c>
      <c r="X162" t="s">
        <v>796</v>
      </c>
      <c r="Y162" t="s">
        <v>795</v>
      </c>
      <c r="Z162" t="s">
        <v>707</v>
      </c>
      <c r="AA162" t="s">
        <v>707</v>
      </c>
      <c r="AB162" t="s">
        <v>879</v>
      </c>
      <c r="AC162" t="s">
        <v>870</v>
      </c>
      <c r="AD162" t="s">
        <v>885</v>
      </c>
      <c r="AE162" t="s">
        <v>226</v>
      </c>
      <c r="AF162" t="s">
        <v>817</v>
      </c>
      <c r="AG162" t="s">
        <v>810</v>
      </c>
      <c r="AH162" t="s">
        <v>1034</v>
      </c>
      <c r="AI162" t="s">
        <v>703</v>
      </c>
      <c r="AJ162" t="s">
        <v>817</v>
      </c>
      <c r="AK162" t="s">
        <v>1078</v>
      </c>
      <c r="AL162" t="s">
        <v>703</v>
      </c>
      <c r="AM162" t="s">
        <v>815</v>
      </c>
      <c r="AN162" t="s">
        <v>866</v>
      </c>
      <c r="AO162" t="s">
        <v>792</v>
      </c>
      <c r="AP162" t="s">
        <v>804</v>
      </c>
      <c r="AQ162" t="s">
        <v>875</v>
      </c>
      <c r="AR162" t="s">
        <v>1079</v>
      </c>
      <c r="AS162" t="s">
        <v>866</v>
      </c>
      <c r="AT162" t="s">
        <v>77</v>
      </c>
      <c r="AU162" t="s">
        <v>707</v>
      </c>
      <c r="AV162" t="s">
        <v>851</v>
      </c>
      <c r="AW162" t="s">
        <v>1083</v>
      </c>
      <c r="AX162" t="s">
        <v>796</v>
      </c>
      <c r="AY162" t="s">
        <v>796</v>
      </c>
      <c r="AZ162" t="s">
        <v>865</v>
      </c>
      <c r="BA162" t="s">
        <v>707</v>
      </c>
      <c r="BB162" t="s">
        <v>707</v>
      </c>
      <c r="BC162" t="s">
        <v>806</v>
      </c>
      <c r="BD162" t="s">
        <v>707</v>
      </c>
      <c r="BE162" t="s">
        <v>851</v>
      </c>
      <c r="BF162" t="s">
        <v>1083</v>
      </c>
      <c r="BG162" t="s">
        <v>1115</v>
      </c>
      <c r="BH162" t="s">
        <v>1084</v>
      </c>
      <c r="BI162" t="s">
        <v>509</v>
      </c>
      <c r="BJ162" t="s">
        <v>800</v>
      </c>
      <c r="BK162" t="s">
        <v>1009</v>
      </c>
      <c r="BL162" t="s">
        <v>880</v>
      </c>
      <c r="BM162" t="s">
        <v>707</v>
      </c>
      <c r="BN162" t="s">
        <v>707</v>
      </c>
      <c r="BO162" t="s">
        <v>879</v>
      </c>
      <c r="BP162" t="s">
        <v>817</v>
      </c>
      <c r="BQ162" t="s">
        <v>815</v>
      </c>
      <c r="BR162" t="s">
        <v>1028</v>
      </c>
      <c r="BS162" t="s">
        <v>859</v>
      </c>
      <c r="BT162" t="s">
        <v>803</v>
      </c>
      <c r="BU162" t="s">
        <v>1157</v>
      </c>
      <c r="BV162" t="s">
        <v>1158</v>
      </c>
      <c r="BW162" t="s">
        <v>1033</v>
      </c>
      <c r="BX162" t="s">
        <v>527</v>
      </c>
      <c r="BY162" t="s">
        <v>793</v>
      </c>
      <c r="BZ162" t="s">
        <v>851</v>
      </c>
      <c r="CA162" t="s">
        <v>852</v>
      </c>
      <c r="CB162" t="s">
        <v>796</v>
      </c>
      <c r="CC162" t="s">
        <v>796</v>
      </c>
      <c r="CD162" t="s">
        <v>865</v>
      </c>
      <c r="CE162" t="s">
        <v>793</v>
      </c>
      <c r="CF162" t="s">
        <v>793</v>
      </c>
      <c r="CG162" t="s">
        <v>806</v>
      </c>
      <c r="CH162" t="s">
        <v>793</v>
      </c>
      <c r="CI162" t="s">
        <v>851</v>
      </c>
      <c r="CJ162" t="s">
        <v>852</v>
      </c>
      <c r="CK162" t="s">
        <v>1198</v>
      </c>
      <c r="CL162" t="s">
        <v>1199</v>
      </c>
      <c r="CM162" t="s">
        <v>75</v>
      </c>
      <c r="CN162" t="s">
        <v>851</v>
      </c>
      <c r="CO162" t="s">
        <v>853</v>
      </c>
      <c r="CP162" t="s">
        <v>1031</v>
      </c>
      <c r="CQ162" t="s">
        <v>703</v>
      </c>
      <c r="CR162" t="s">
        <v>793</v>
      </c>
      <c r="CS162" t="s">
        <v>871</v>
      </c>
      <c r="CT162" t="s">
        <v>796</v>
      </c>
      <c r="CU162" t="s">
        <v>796</v>
      </c>
      <c r="CV162" t="s">
        <v>795</v>
      </c>
      <c r="CW162" t="s">
        <v>793</v>
      </c>
      <c r="CX162" t="s">
        <v>805</v>
      </c>
      <c r="CY162" t="s">
        <v>1459</v>
      </c>
      <c r="CZ162" t="s">
        <v>1460</v>
      </c>
      <c r="DA162" t="s">
        <v>1199</v>
      </c>
      <c r="DB162" t="s">
        <v>125</v>
      </c>
      <c r="DC162" t="s">
        <v>815</v>
      </c>
      <c r="DD162" t="s">
        <v>701</v>
      </c>
      <c r="DE162" t="s">
        <v>1115</v>
      </c>
      <c r="DF162" t="s">
        <v>792</v>
      </c>
      <c r="DG162" t="s">
        <v>817</v>
      </c>
      <c r="DH162" t="s">
        <v>857</v>
      </c>
      <c r="DI162" t="s">
        <v>793</v>
      </c>
      <c r="DJ162" t="s">
        <v>817</v>
      </c>
      <c r="DK162" t="s">
        <v>1025</v>
      </c>
      <c r="DL162" t="s">
        <v>793</v>
      </c>
      <c r="DM162" t="s">
        <v>859</v>
      </c>
      <c r="DN162" t="s">
        <v>861</v>
      </c>
      <c r="DO162" t="s">
        <v>1458</v>
      </c>
      <c r="DP162" t="s">
        <v>866</v>
      </c>
      <c r="DQ162" t="s">
        <v>131</v>
      </c>
      <c r="DR162" t="s">
        <v>792</v>
      </c>
      <c r="DS162" t="s">
        <v>793</v>
      </c>
      <c r="DT162" t="s">
        <v>880</v>
      </c>
      <c r="DU162" t="s">
        <v>796</v>
      </c>
      <c r="DV162" t="s">
        <v>707</v>
      </c>
      <c r="DW162" t="s">
        <v>865</v>
      </c>
      <c r="DX162" t="s">
        <v>796</v>
      </c>
      <c r="DY162" t="s">
        <v>796</v>
      </c>
      <c r="DZ162" t="s">
        <v>795</v>
      </c>
      <c r="EA162" t="s">
        <v>792</v>
      </c>
      <c r="EB162" t="s">
        <v>703</v>
      </c>
      <c r="EC162" t="s">
        <v>870</v>
      </c>
      <c r="ED162" t="s">
        <v>879</v>
      </c>
      <c r="EE162" t="s">
        <v>866</v>
      </c>
      <c r="EF162" t="s">
        <v>343</v>
      </c>
      <c r="EG162" t="s">
        <v>804</v>
      </c>
      <c r="EH162" t="s">
        <v>701</v>
      </c>
      <c r="EI162" t="s">
        <v>852</v>
      </c>
      <c r="EJ162" t="s">
        <v>703</v>
      </c>
      <c r="EK162" t="s">
        <v>815</v>
      </c>
      <c r="EL162" t="s">
        <v>880</v>
      </c>
      <c r="EM162" t="s">
        <v>796</v>
      </c>
      <c r="EN162" t="s">
        <v>796</v>
      </c>
      <c r="EO162" t="s">
        <v>795</v>
      </c>
      <c r="EP162" t="s">
        <v>817</v>
      </c>
      <c r="EQ162" t="s">
        <v>804</v>
      </c>
      <c r="ER162" t="s">
        <v>1038</v>
      </c>
      <c r="ES162" t="s">
        <v>868</v>
      </c>
      <c r="ET162" t="s">
        <v>1160</v>
      </c>
      <c r="EU162" t="s">
        <v>326</v>
      </c>
      <c r="EV162" t="s">
        <v>792</v>
      </c>
      <c r="EW162" t="s">
        <v>804</v>
      </c>
      <c r="EX162" t="s">
        <v>875</v>
      </c>
      <c r="EY162" t="s">
        <v>796</v>
      </c>
      <c r="EZ162" t="s">
        <v>707</v>
      </c>
      <c r="FA162" t="s">
        <v>865</v>
      </c>
      <c r="FB162" t="s">
        <v>851</v>
      </c>
      <c r="FC162" t="s">
        <v>804</v>
      </c>
      <c r="FD162" t="s">
        <v>1543</v>
      </c>
      <c r="FE162" t="s">
        <v>792</v>
      </c>
      <c r="FF162" t="s">
        <v>851</v>
      </c>
      <c r="FG162" t="s">
        <v>1080</v>
      </c>
      <c r="FH162" t="s">
        <v>1455</v>
      </c>
      <c r="FI162" t="s">
        <v>886</v>
      </c>
      <c r="FJ162" t="s">
        <v>158</v>
      </c>
      <c r="FK162" t="s">
        <v>851</v>
      </c>
      <c r="FL162" t="s">
        <v>805</v>
      </c>
      <c r="FM162" t="s">
        <v>1591</v>
      </c>
      <c r="FN162" t="s">
        <v>796</v>
      </c>
      <c r="FO162" t="s">
        <v>796</v>
      </c>
      <c r="FP162" t="s">
        <v>865</v>
      </c>
      <c r="FQ162" t="s">
        <v>792</v>
      </c>
      <c r="FR162" t="s">
        <v>815</v>
      </c>
      <c r="FS162" t="s">
        <v>885</v>
      </c>
      <c r="FT162" t="s">
        <v>851</v>
      </c>
      <c r="FU162" t="s">
        <v>805</v>
      </c>
      <c r="FV162" t="s">
        <v>1591</v>
      </c>
      <c r="FW162" t="s">
        <v>1594</v>
      </c>
      <c r="FX162" t="s">
        <v>856</v>
      </c>
      <c r="FY162" t="s">
        <v>369</v>
      </c>
      <c r="FZ162" t="s">
        <v>792</v>
      </c>
      <c r="GA162" t="s">
        <v>703</v>
      </c>
      <c r="GB162" t="s">
        <v>870</v>
      </c>
      <c r="GC162" t="s">
        <v>796</v>
      </c>
      <c r="GD162" t="s">
        <v>707</v>
      </c>
      <c r="GE162" t="s">
        <v>865</v>
      </c>
      <c r="GF162" t="s">
        <v>796</v>
      </c>
      <c r="GG162" t="s">
        <v>796</v>
      </c>
      <c r="GH162" t="s">
        <v>795</v>
      </c>
      <c r="GI162" t="s">
        <v>792</v>
      </c>
      <c r="GJ162" t="s">
        <v>792</v>
      </c>
      <c r="GK162" t="s">
        <v>879</v>
      </c>
      <c r="GL162" t="s">
        <v>882</v>
      </c>
      <c r="GM162" t="s">
        <v>883</v>
      </c>
      <c r="GN162" t="s">
        <v>58</v>
      </c>
      <c r="GO162" t="s">
        <v>817</v>
      </c>
      <c r="GP162" t="s">
        <v>853</v>
      </c>
      <c r="GQ162" t="s">
        <v>858</v>
      </c>
      <c r="GR162" t="s">
        <v>796</v>
      </c>
      <c r="GS162" t="s">
        <v>703</v>
      </c>
      <c r="GT162" t="s">
        <v>865</v>
      </c>
      <c r="GU162" t="s">
        <v>800</v>
      </c>
      <c r="GV162" t="s">
        <v>810</v>
      </c>
      <c r="GW162" t="s">
        <v>1638</v>
      </c>
      <c r="GX162" t="s">
        <v>817</v>
      </c>
      <c r="GY162" t="s">
        <v>697</v>
      </c>
      <c r="GZ162" t="s">
        <v>1515</v>
      </c>
      <c r="HA162" t="s">
        <v>882</v>
      </c>
      <c r="HB162" t="s">
        <v>885</v>
      </c>
      <c r="HC162" t="s">
        <v>397</v>
      </c>
      <c r="HD162" t="s">
        <v>796</v>
      </c>
      <c r="HE162" t="s">
        <v>707</v>
      </c>
      <c r="HF162" t="s">
        <v>865</v>
      </c>
      <c r="HG162" t="s">
        <v>796</v>
      </c>
      <c r="HH162" t="s">
        <v>707</v>
      </c>
      <c r="HI162" t="s">
        <v>865</v>
      </c>
      <c r="HJ162" t="s">
        <v>796</v>
      </c>
      <c r="HK162" t="s">
        <v>796</v>
      </c>
      <c r="HL162" t="s">
        <v>795</v>
      </c>
      <c r="HM162" t="s">
        <v>796</v>
      </c>
      <c r="HN162" t="s">
        <v>796</v>
      </c>
      <c r="HO162" t="s">
        <v>865</v>
      </c>
      <c r="HP162" t="s">
        <v>865</v>
      </c>
      <c r="HQ162" t="s">
        <v>795</v>
      </c>
      <c r="HR162" t="s">
        <v>615</v>
      </c>
      <c r="HS162" t="s">
        <v>796</v>
      </c>
      <c r="HT162" t="s">
        <v>796</v>
      </c>
      <c r="HU162" t="s">
        <v>865</v>
      </c>
      <c r="HV162" t="s">
        <v>796</v>
      </c>
      <c r="HW162" t="s">
        <v>796</v>
      </c>
      <c r="HX162" t="s">
        <v>865</v>
      </c>
      <c r="HY162" t="s">
        <v>796</v>
      </c>
      <c r="HZ162" t="s">
        <v>796</v>
      </c>
      <c r="IA162" t="s">
        <v>795</v>
      </c>
      <c r="IB162" t="s">
        <v>796</v>
      </c>
      <c r="IC162" t="s">
        <v>796</v>
      </c>
      <c r="ID162" t="s">
        <v>865</v>
      </c>
      <c r="IE162" t="s">
        <v>865</v>
      </c>
      <c r="IF162" t="s">
        <v>795</v>
      </c>
      <c r="IG162" t="s">
        <v>443</v>
      </c>
      <c r="IH162" t="s">
        <v>703</v>
      </c>
      <c r="II162" t="s">
        <v>800</v>
      </c>
      <c r="IJ162" t="s">
        <v>1027</v>
      </c>
      <c r="IK162" t="s">
        <v>792</v>
      </c>
      <c r="IL162" t="s">
        <v>815</v>
      </c>
      <c r="IM162" t="s">
        <v>858</v>
      </c>
      <c r="IN162" t="s">
        <v>796</v>
      </c>
      <c r="IO162" t="s">
        <v>796</v>
      </c>
      <c r="IP162" t="s">
        <v>795</v>
      </c>
      <c r="IQ162" t="s">
        <v>707</v>
      </c>
      <c r="IR162" t="s">
        <v>793</v>
      </c>
      <c r="IS162" t="s">
        <v>875</v>
      </c>
      <c r="IT162" t="s">
        <v>1118</v>
      </c>
      <c r="IU162" t="s">
        <v>1202</v>
      </c>
      <c r="IV162" t="s">
        <v>146</v>
      </c>
      <c r="IW162" t="s">
        <v>817</v>
      </c>
      <c r="IX162" t="s">
        <v>800</v>
      </c>
      <c r="IY162" t="s">
        <v>880</v>
      </c>
      <c r="IZ162" t="s">
        <v>707</v>
      </c>
      <c r="JA162" t="s">
        <v>703</v>
      </c>
      <c r="JB162" t="s">
        <v>858</v>
      </c>
      <c r="JC162" t="s">
        <v>796</v>
      </c>
      <c r="JD162" t="s">
        <v>796</v>
      </c>
      <c r="JE162" t="s">
        <v>795</v>
      </c>
      <c r="JF162" t="s">
        <v>793</v>
      </c>
      <c r="JG162" t="s">
        <v>851</v>
      </c>
      <c r="JH162" t="s">
        <v>852</v>
      </c>
      <c r="JI162" t="s">
        <v>1265</v>
      </c>
      <c r="JJ162" t="s">
        <v>896</v>
      </c>
      <c r="JK162" t="s">
        <v>424</v>
      </c>
      <c r="JL162" t="s">
        <v>707</v>
      </c>
      <c r="JM162" t="s">
        <v>817</v>
      </c>
      <c r="JN162" t="s">
        <v>876</v>
      </c>
      <c r="JO162" t="s">
        <v>796</v>
      </c>
      <c r="JP162" t="s">
        <v>707</v>
      </c>
      <c r="JQ162" t="s">
        <v>865</v>
      </c>
      <c r="JR162" t="s">
        <v>792</v>
      </c>
      <c r="JS162" t="s">
        <v>817</v>
      </c>
      <c r="JT162" t="s">
        <v>1202</v>
      </c>
      <c r="JU162" t="s">
        <v>707</v>
      </c>
      <c r="JV162" t="s">
        <v>793</v>
      </c>
      <c r="JW162" t="s">
        <v>875</v>
      </c>
      <c r="JX162" t="s">
        <v>1118</v>
      </c>
      <c r="JY162" t="s">
        <v>1596</v>
      </c>
      <c r="JZ162" t="s">
        <v>113</v>
      </c>
      <c r="KA162" t="s">
        <v>703</v>
      </c>
      <c r="KB162" t="s">
        <v>804</v>
      </c>
      <c r="KC162" t="s">
        <v>1454</v>
      </c>
      <c r="KD162" t="s">
        <v>792</v>
      </c>
      <c r="KE162" t="s">
        <v>793</v>
      </c>
      <c r="KF162" t="s">
        <v>880</v>
      </c>
      <c r="KG162" t="s">
        <v>792</v>
      </c>
      <c r="KH162" t="s">
        <v>792</v>
      </c>
      <c r="KI162" t="s">
        <v>806</v>
      </c>
      <c r="KJ162" t="s">
        <v>707</v>
      </c>
      <c r="KK162" t="s">
        <v>793</v>
      </c>
      <c r="KL162" t="s">
        <v>875</v>
      </c>
      <c r="KM162" t="s">
        <v>1200</v>
      </c>
      <c r="KN162" t="s">
        <v>866</v>
      </c>
      <c r="KO162" t="s">
        <v>621</v>
      </c>
      <c r="KP162" t="s">
        <v>792</v>
      </c>
      <c r="KQ162" t="s">
        <v>817</v>
      </c>
      <c r="KR162" t="s">
        <v>857</v>
      </c>
      <c r="KS162" t="s">
        <v>707</v>
      </c>
      <c r="KT162" t="s">
        <v>703</v>
      </c>
      <c r="KU162" t="s">
        <v>858</v>
      </c>
      <c r="KV162" t="s">
        <v>796</v>
      </c>
      <c r="KW162" t="s">
        <v>796</v>
      </c>
      <c r="KX162" t="s">
        <v>795</v>
      </c>
      <c r="KY162" t="s">
        <v>707</v>
      </c>
      <c r="KZ162" t="s">
        <v>792</v>
      </c>
      <c r="LA162" t="s">
        <v>880</v>
      </c>
      <c r="LB162" t="s">
        <v>879</v>
      </c>
      <c r="LC162" t="s">
        <v>866</v>
      </c>
      <c r="LD162" t="s">
        <v>828</v>
      </c>
      <c r="LE162" t="s">
        <v>1002</v>
      </c>
      <c r="LF162" t="s">
        <v>1072</v>
      </c>
      <c r="LG162" t="s">
        <v>1783</v>
      </c>
      <c r="LH162" t="s">
        <v>815</v>
      </c>
      <c r="LI162" t="s">
        <v>821</v>
      </c>
      <c r="LJ162" t="s">
        <v>1779</v>
      </c>
      <c r="LK162" t="s">
        <v>826</v>
      </c>
      <c r="LL162" t="s">
        <v>1104</v>
      </c>
      <c r="LM162" t="s">
        <v>1784</v>
      </c>
      <c r="LN162" t="s">
        <v>1104</v>
      </c>
      <c r="LO162" t="s">
        <v>1785</v>
      </c>
      <c r="LP162" t="s">
        <v>1786</v>
      </c>
      <c r="LQ162" t="s">
        <v>1787</v>
      </c>
      <c r="LR162" t="s">
        <v>1037</v>
      </c>
      <c r="LS162" t="s">
        <v>596</v>
      </c>
      <c r="LT162" t="s">
        <v>815</v>
      </c>
      <c r="LU162" t="s">
        <v>1023</v>
      </c>
      <c r="LV162" t="s">
        <v>1454</v>
      </c>
      <c r="LW162" t="s">
        <v>707</v>
      </c>
      <c r="LX162" t="s">
        <v>703</v>
      </c>
      <c r="LY162" t="s">
        <v>858</v>
      </c>
      <c r="LZ162" t="s">
        <v>851</v>
      </c>
      <c r="MA162" t="s">
        <v>804</v>
      </c>
      <c r="MB162" t="s">
        <v>1543</v>
      </c>
      <c r="MC162" t="s">
        <v>817</v>
      </c>
      <c r="MD162" t="s">
        <v>810</v>
      </c>
      <c r="ME162" t="s">
        <v>1034</v>
      </c>
      <c r="MF162" t="s">
        <v>1200</v>
      </c>
      <c r="MG162" t="s">
        <v>1781</v>
      </c>
      <c r="MH162" t="s">
        <v>467</v>
      </c>
      <c r="MI162" t="s">
        <v>804</v>
      </c>
      <c r="MJ162" t="s">
        <v>697</v>
      </c>
      <c r="MK162" t="s">
        <v>870</v>
      </c>
      <c r="ML162" t="s">
        <v>796</v>
      </c>
      <c r="MM162" t="s">
        <v>703</v>
      </c>
      <c r="MN162" t="s">
        <v>865</v>
      </c>
      <c r="MO162" t="s">
        <v>792</v>
      </c>
      <c r="MP162" t="s">
        <v>817</v>
      </c>
      <c r="MQ162" t="s">
        <v>1202</v>
      </c>
      <c r="MR162" t="s">
        <v>804</v>
      </c>
      <c r="MS162" t="s">
        <v>859</v>
      </c>
      <c r="MT162" t="s">
        <v>1812</v>
      </c>
      <c r="MU162" t="s">
        <v>1026</v>
      </c>
      <c r="MV162" t="s">
        <v>883</v>
      </c>
      <c r="MW162" t="s">
        <v>497</v>
      </c>
      <c r="MX162" t="s">
        <v>792</v>
      </c>
      <c r="MY162" t="s">
        <v>792</v>
      </c>
      <c r="MZ162" t="s">
        <v>879</v>
      </c>
      <c r="NA162" t="s">
        <v>796</v>
      </c>
      <c r="NB162" t="s">
        <v>796</v>
      </c>
      <c r="NC162" t="s">
        <v>865</v>
      </c>
      <c r="ND162" t="s">
        <v>796</v>
      </c>
      <c r="NE162" t="s">
        <v>796</v>
      </c>
      <c r="NF162" t="s">
        <v>795</v>
      </c>
      <c r="NG162" t="s">
        <v>792</v>
      </c>
      <c r="NH162" t="s">
        <v>792</v>
      </c>
      <c r="NI162" t="s">
        <v>879</v>
      </c>
      <c r="NJ162" t="s">
        <v>884</v>
      </c>
      <c r="NK162" t="s">
        <v>806</v>
      </c>
      <c r="NL162" t="s">
        <v>276</v>
      </c>
      <c r="NM162" t="s">
        <v>792</v>
      </c>
      <c r="NN162" t="s">
        <v>804</v>
      </c>
      <c r="NO162" t="s">
        <v>875</v>
      </c>
      <c r="NP162" t="s">
        <v>792</v>
      </c>
      <c r="NQ162" t="s">
        <v>815</v>
      </c>
      <c r="NR162" t="s">
        <v>858</v>
      </c>
      <c r="NS162" t="s">
        <v>792</v>
      </c>
      <c r="NT162" t="s">
        <v>793</v>
      </c>
      <c r="NU162" t="s">
        <v>866</v>
      </c>
      <c r="NV162" t="s">
        <v>796</v>
      </c>
      <c r="NW162" t="s">
        <v>792</v>
      </c>
      <c r="NX162" t="s">
        <v>865</v>
      </c>
      <c r="NY162" t="s">
        <v>879</v>
      </c>
      <c r="NZ162" t="s">
        <v>1520</v>
      </c>
    </row>
    <row r="163" spans="1:390" ht="15.75" hidden="1" customHeight="1" x14ac:dyDescent="0.25">
      <c r="A163" t="s">
        <v>556</v>
      </c>
      <c r="B163" t="s">
        <v>707</v>
      </c>
      <c r="C163" t="s">
        <v>707</v>
      </c>
      <c r="D163" t="s">
        <v>879</v>
      </c>
      <c r="E163" t="s">
        <v>796</v>
      </c>
      <c r="F163" t="s">
        <v>796</v>
      </c>
      <c r="G163" t="s">
        <v>865</v>
      </c>
      <c r="H163" t="s">
        <v>796</v>
      </c>
      <c r="I163" t="s">
        <v>796</v>
      </c>
      <c r="J163" t="s">
        <v>795</v>
      </c>
      <c r="K163" t="s">
        <v>707</v>
      </c>
      <c r="L163" t="s">
        <v>707</v>
      </c>
      <c r="M163" t="s">
        <v>879</v>
      </c>
      <c r="N163" t="s">
        <v>884</v>
      </c>
      <c r="O163" t="s">
        <v>806</v>
      </c>
      <c r="P163" t="s">
        <v>319</v>
      </c>
      <c r="Q163" t="s">
        <v>707</v>
      </c>
      <c r="R163" t="s">
        <v>792</v>
      </c>
      <c r="S163" t="s">
        <v>880</v>
      </c>
      <c r="T163" t="s">
        <v>796</v>
      </c>
      <c r="U163" t="s">
        <v>796</v>
      </c>
      <c r="V163" t="s">
        <v>865</v>
      </c>
      <c r="W163" t="s">
        <v>796</v>
      </c>
      <c r="X163" t="s">
        <v>707</v>
      </c>
      <c r="Y163" t="s">
        <v>795</v>
      </c>
      <c r="Z163" t="s">
        <v>707</v>
      </c>
      <c r="AA163" t="s">
        <v>792</v>
      </c>
      <c r="AB163" t="s">
        <v>880</v>
      </c>
      <c r="AC163" t="s">
        <v>879</v>
      </c>
      <c r="AD163" t="s">
        <v>866</v>
      </c>
      <c r="AE163" t="s">
        <v>225</v>
      </c>
      <c r="AF163" t="s">
        <v>804</v>
      </c>
      <c r="AG163" t="s">
        <v>1005</v>
      </c>
      <c r="AH163" t="s">
        <v>861</v>
      </c>
      <c r="AI163" t="s">
        <v>707</v>
      </c>
      <c r="AJ163" t="s">
        <v>793</v>
      </c>
      <c r="AK163" t="s">
        <v>875</v>
      </c>
      <c r="AL163" t="s">
        <v>792</v>
      </c>
      <c r="AM163" t="s">
        <v>792</v>
      </c>
      <c r="AN163" t="s">
        <v>806</v>
      </c>
      <c r="AO163" t="s">
        <v>851</v>
      </c>
      <c r="AP163" t="s">
        <v>701</v>
      </c>
      <c r="AQ163" t="s">
        <v>880</v>
      </c>
      <c r="AR163" t="s">
        <v>1075</v>
      </c>
      <c r="AS163" t="s">
        <v>863</v>
      </c>
      <c r="AT163" t="s">
        <v>487</v>
      </c>
      <c r="AU163" t="s">
        <v>796</v>
      </c>
      <c r="AV163" t="s">
        <v>792</v>
      </c>
      <c r="AW163" t="s">
        <v>865</v>
      </c>
      <c r="AX163" t="s">
        <v>796</v>
      </c>
      <c r="AY163" t="s">
        <v>707</v>
      </c>
      <c r="AZ163" t="s">
        <v>865</v>
      </c>
      <c r="BA163" t="s">
        <v>796</v>
      </c>
      <c r="BB163" t="s">
        <v>796</v>
      </c>
      <c r="BC163" t="s">
        <v>795</v>
      </c>
      <c r="BD163" t="s">
        <v>796</v>
      </c>
      <c r="BE163" t="s">
        <v>707</v>
      </c>
      <c r="BF163" t="s">
        <v>865</v>
      </c>
      <c r="BG163" t="s">
        <v>865</v>
      </c>
      <c r="BH163" t="s">
        <v>795</v>
      </c>
      <c r="BI163" t="s">
        <v>629</v>
      </c>
      <c r="BJ163" t="s">
        <v>792</v>
      </c>
      <c r="BK163" t="s">
        <v>793</v>
      </c>
      <c r="BL163" t="s">
        <v>880</v>
      </c>
      <c r="BM163" t="s">
        <v>796</v>
      </c>
      <c r="BN163" t="s">
        <v>796</v>
      </c>
      <c r="BO163" t="s">
        <v>865</v>
      </c>
      <c r="BP163" t="s">
        <v>792</v>
      </c>
      <c r="BQ163" t="s">
        <v>792</v>
      </c>
      <c r="BR163" t="s">
        <v>806</v>
      </c>
      <c r="BS163" t="s">
        <v>792</v>
      </c>
      <c r="BT163" t="s">
        <v>793</v>
      </c>
      <c r="BU163" t="s">
        <v>880</v>
      </c>
      <c r="BV163" t="s">
        <v>1026</v>
      </c>
      <c r="BW163" t="s">
        <v>866</v>
      </c>
      <c r="BX163" t="s">
        <v>532</v>
      </c>
      <c r="BY163" t="s">
        <v>707</v>
      </c>
      <c r="BZ163" t="s">
        <v>707</v>
      </c>
      <c r="CA163" t="s">
        <v>879</v>
      </c>
      <c r="CB163" t="s">
        <v>796</v>
      </c>
      <c r="CC163" t="s">
        <v>796</v>
      </c>
      <c r="CD163" t="s">
        <v>865</v>
      </c>
      <c r="CE163" t="s">
        <v>796</v>
      </c>
      <c r="CF163" t="s">
        <v>796</v>
      </c>
      <c r="CG163" t="s">
        <v>795</v>
      </c>
      <c r="CH163" t="s">
        <v>707</v>
      </c>
      <c r="CI163" t="s">
        <v>707</v>
      </c>
      <c r="CJ163" t="s">
        <v>879</v>
      </c>
      <c r="CK163" t="s">
        <v>884</v>
      </c>
      <c r="CL163" t="s">
        <v>806</v>
      </c>
      <c r="CM163" t="s">
        <v>81</v>
      </c>
      <c r="CN163" t="s">
        <v>793</v>
      </c>
      <c r="CO163" t="s">
        <v>815</v>
      </c>
      <c r="CP163" t="s">
        <v>870</v>
      </c>
      <c r="CQ163" t="s">
        <v>796</v>
      </c>
      <c r="CR163" t="s">
        <v>796</v>
      </c>
      <c r="CS163" t="s">
        <v>865</v>
      </c>
      <c r="CT163" t="s">
        <v>796</v>
      </c>
      <c r="CU163" t="s">
        <v>707</v>
      </c>
      <c r="CV163" t="s">
        <v>795</v>
      </c>
      <c r="CW163" t="s">
        <v>793</v>
      </c>
      <c r="CX163" t="s">
        <v>815</v>
      </c>
      <c r="CY163" t="s">
        <v>870</v>
      </c>
      <c r="CZ163" t="s">
        <v>882</v>
      </c>
      <c r="DA163" t="s">
        <v>883</v>
      </c>
      <c r="DB163" t="s">
        <v>155</v>
      </c>
      <c r="DC163" t="s">
        <v>815</v>
      </c>
      <c r="DD163" t="s">
        <v>853</v>
      </c>
      <c r="DE163" t="s">
        <v>857</v>
      </c>
      <c r="DF163" t="s">
        <v>793</v>
      </c>
      <c r="DG163" t="s">
        <v>859</v>
      </c>
      <c r="DH163" t="s">
        <v>861</v>
      </c>
      <c r="DI163" t="s">
        <v>796</v>
      </c>
      <c r="DJ163" t="s">
        <v>796</v>
      </c>
      <c r="DK163" t="s">
        <v>795</v>
      </c>
      <c r="DL163" t="s">
        <v>792</v>
      </c>
      <c r="DM163" t="s">
        <v>815</v>
      </c>
      <c r="DN163" t="s">
        <v>858</v>
      </c>
      <c r="DO163" t="s">
        <v>1489</v>
      </c>
      <c r="DP163" t="s">
        <v>1033</v>
      </c>
      <c r="DQ163" t="s">
        <v>498</v>
      </c>
      <c r="DR163" t="s">
        <v>703</v>
      </c>
      <c r="DS163" t="s">
        <v>804</v>
      </c>
      <c r="DT163" t="s">
        <v>1454</v>
      </c>
      <c r="DU163" t="s">
        <v>796</v>
      </c>
      <c r="DV163" t="s">
        <v>792</v>
      </c>
      <c r="DW163" t="s">
        <v>865</v>
      </c>
      <c r="DX163" t="s">
        <v>707</v>
      </c>
      <c r="DY163" t="s">
        <v>707</v>
      </c>
      <c r="DZ163" t="s">
        <v>806</v>
      </c>
      <c r="EA163" t="s">
        <v>703</v>
      </c>
      <c r="EB163" t="s">
        <v>815</v>
      </c>
      <c r="EC163" t="s">
        <v>880</v>
      </c>
      <c r="ED163" t="s">
        <v>1519</v>
      </c>
      <c r="EE163" t="s">
        <v>1520</v>
      </c>
      <c r="EF163" t="s">
        <v>313</v>
      </c>
      <c r="EG163" t="s">
        <v>851</v>
      </c>
      <c r="EH163" t="s">
        <v>821</v>
      </c>
      <c r="EI163" t="s">
        <v>1076</v>
      </c>
      <c r="EJ163" t="s">
        <v>792</v>
      </c>
      <c r="EK163" t="s">
        <v>851</v>
      </c>
      <c r="EL163" t="s">
        <v>1080</v>
      </c>
      <c r="EM163" t="s">
        <v>815</v>
      </c>
      <c r="EN163" t="s">
        <v>815</v>
      </c>
      <c r="EO163" t="s">
        <v>806</v>
      </c>
      <c r="EP163" t="s">
        <v>817</v>
      </c>
      <c r="EQ163" t="s">
        <v>800</v>
      </c>
      <c r="ER163" t="s">
        <v>880</v>
      </c>
      <c r="ES163" t="s">
        <v>1547</v>
      </c>
      <c r="ET163" t="s">
        <v>863</v>
      </c>
      <c r="EU163" t="s">
        <v>330</v>
      </c>
      <c r="EV163" t="s">
        <v>792</v>
      </c>
      <c r="EW163" t="s">
        <v>817</v>
      </c>
      <c r="EX163" t="s">
        <v>857</v>
      </c>
      <c r="EY163" t="s">
        <v>707</v>
      </c>
      <c r="EZ163" t="s">
        <v>792</v>
      </c>
      <c r="FA163" t="s">
        <v>880</v>
      </c>
      <c r="FB163" t="s">
        <v>796</v>
      </c>
      <c r="FC163" t="s">
        <v>796</v>
      </c>
      <c r="FD163" t="s">
        <v>795</v>
      </c>
      <c r="FE163" t="s">
        <v>707</v>
      </c>
      <c r="FF163" t="s">
        <v>703</v>
      </c>
      <c r="FG163" t="s">
        <v>858</v>
      </c>
      <c r="FH163" t="s">
        <v>879</v>
      </c>
      <c r="FI163" t="s">
        <v>866</v>
      </c>
      <c r="FJ163" t="s">
        <v>472</v>
      </c>
      <c r="FK163" t="s">
        <v>703</v>
      </c>
      <c r="FL163" t="s">
        <v>804</v>
      </c>
      <c r="FM163" t="s">
        <v>1454</v>
      </c>
      <c r="FN163" t="s">
        <v>707</v>
      </c>
      <c r="FO163" t="s">
        <v>792</v>
      </c>
      <c r="FP163" t="s">
        <v>880</v>
      </c>
      <c r="FQ163" t="s">
        <v>792</v>
      </c>
      <c r="FR163" t="s">
        <v>792</v>
      </c>
      <c r="FS163" t="s">
        <v>806</v>
      </c>
      <c r="FT163" t="s">
        <v>792</v>
      </c>
      <c r="FU163" t="s">
        <v>815</v>
      </c>
      <c r="FV163" t="s">
        <v>858</v>
      </c>
      <c r="FW163" t="s">
        <v>1567</v>
      </c>
      <c r="FX163" t="s">
        <v>1077</v>
      </c>
      <c r="FY163" t="s">
        <v>357</v>
      </c>
      <c r="FZ163" t="s">
        <v>792</v>
      </c>
      <c r="GA163" t="s">
        <v>804</v>
      </c>
      <c r="GB163" t="s">
        <v>875</v>
      </c>
      <c r="GC163" t="s">
        <v>707</v>
      </c>
      <c r="GD163" t="s">
        <v>793</v>
      </c>
      <c r="GE163" t="s">
        <v>875</v>
      </c>
      <c r="GF163" t="s">
        <v>796</v>
      </c>
      <c r="GG163" t="s">
        <v>796</v>
      </c>
      <c r="GH163" t="s">
        <v>795</v>
      </c>
      <c r="GI163" t="s">
        <v>707</v>
      </c>
      <c r="GJ163" t="s">
        <v>793</v>
      </c>
      <c r="GK163" t="s">
        <v>875</v>
      </c>
      <c r="GL163" t="s">
        <v>1038</v>
      </c>
      <c r="GM163" t="s">
        <v>878</v>
      </c>
      <c r="GN163" t="s">
        <v>182</v>
      </c>
      <c r="GO163" t="s">
        <v>707</v>
      </c>
      <c r="GP163" t="s">
        <v>703</v>
      </c>
      <c r="GQ163" t="s">
        <v>858</v>
      </c>
      <c r="GR163" t="s">
        <v>796</v>
      </c>
      <c r="GS163" t="s">
        <v>796</v>
      </c>
      <c r="GT163" t="s">
        <v>865</v>
      </c>
      <c r="GU163" t="s">
        <v>796</v>
      </c>
      <c r="GV163" t="s">
        <v>796</v>
      </c>
      <c r="GW163" t="s">
        <v>795</v>
      </c>
      <c r="GX163" t="s">
        <v>707</v>
      </c>
      <c r="GY163" t="s">
        <v>703</v>
      </c>
      <c r="GZ163" t="s">
        <v>858</v>
      </c>
      <c r="HA163" t="s">
        <v>870</v>
      </c>
      <c r="HB163" t="s">
        <v>885</v>
      </c>
      <c r="HC163" t="s">
        <v>390</v>
      </c>
      <c r="HD163" t="s">
        <v>851</v>
      </c>
      <c r="HE163" t="s">
        <v>1023</v>
      </c>
      <c r="HF163" t="s">
        <v>1662</v>
      </c>
      <c r="HG163" t="s">
        <v>793</v>
      </c>
      <c r="HH163" t="s">
        <v>800</v>
      </c>
      <c r="HI163" t="s">
        <v>857</v>
      </c>
      <c r="HJ163" t="s">
        <v>792</v>
      </c>
      <c r="HK163" t="s">
        <v>703</v>
      </c>
      <c r="HL163" t="s">
        <v>883</v>
      </c>
      <c r="HM163" t="s">
        <v>703</v>
      </c>
      <c r="HN163" t="s">
        <v>815</v>
      </c>
      <c r="HO163" t="s">
        <v>880</v>
      </c>
      <c r="HP163" t="s">
        <v>1200</v>
      </c>
      <c r="HQ163" t="s">
        <v>1117</v>
      </c>
      <c r="HR163" t="s">
        <v>616</v>
      </c>
      <c r="HS163" t="s">
        <v>707</v>
      </c>
      <c r="HT163" t="s">
        <v>851</v>
      </c>
      <c r="HU163" t="s">
        <v>1083</v>
      </c>
      <c r="HV163" t="s">
        <v>796</v>
      </c>
      <c r="HW163" t="s">
        <v>793</v>
      </c>
      <c r="HX163" t="s">
        <v>865</v>
      </c>
      <c r="HY163" t="s">
        <v>792</v>
      </c>
      <c r="HZ163" t="s">
        <v>793</v>
      </c>
      <c r="IA163" t="s">
        <v>866</v>
      </c>
      <c r="IB163" t="s">
        <v>707</v>
      </c>
      <c r="IC163" t="s">
        <v>703</v>
      </c>
      <c r="ID163" t="s">
        <v>858</v>
      </c>
      <c r="IE163" t="s">
        <v>852</v>
      </c>
      <c r="IF163" t="s">
        <v>1084</v>
      </c>
      <c r="IG163" t="s">
        <v>455</v>
      </c>
      <c r="IH163" t="s">
        <v>793</v>
      </c>
      <c r="II163" t="s">
        <v>810</v>
      </c>
      <c r="IJ163" t="s">
        <v>1368</v>
      </c>
      <c r="IK163" t="s">
        <v>796</v>
      </c>
      <c r="IL163" t="s">
        <v>707</v>
      </c>
      <c r="IM163" t="s">
        <v>865</v>
      </c>
      <c r="IN163" t="s">
        <v>707</v>
      </c>
      <c r="IO163" t="s">
        <v>792</v>
      </c>
      <c r="IP163" t="s">
        <v>866</v>
      </c>
      <c r="IQ163" t="s">
        <v>793</v>
      </c>
      <c r="IR163" t="s">
        <v>697</v>
      </c>
      <c r="IS163" t="s">
        <v>858</v>
      </c>
      <c r="IT163" t="s">
        <v>1561</v>
      </c>
      <c r="IU163" t="s">
        <v>878</v>
      </c>
      <c r="IV163" t="s">
        <v>364</v>
      </c>
      <c r="IW163" t="s">
        <v>792</v>
      </c>
      <c r="IX163" t="s">
        <v>793</v>
      </c>
      <c r="IY163" t="s">
        <v>880</v>
      </c>
      <c r="IZ163" t="s">
        <v>796</v>
      </c>
      <c r="JA163" t="s">
        <v>707</v>
      </c>
      <c r="JB163" t="s">
        <v>865</v>
      </c>
      <c r="JC163" t="s">
        <v>707</v>
      </c>
      <c r="JD163" t="s">
        <v>707</v>
      </c>
      <c r="JE163" t="s">
        <v>806</v>
      </c>
      <c r="JF163" t="s">
        <v>792</v>
      </c>
      <c r="JG163" t="s">
        <v>703</v>
      </c>
      <c r="JH163" t="s">
        <v>870</v>
      </c>
      <c r="JI163" t="s">
        <v>1200</v>
      </c>
      <c r="JJ163" t="s">
        <v>866</v>
      </c>
      <c r="JK163" t="s">
        <v>425</v>
      </c>
      <c r="JL163" t="s">
        <v>707</v>
      </c>
      <c r="JM163" t="s">
        <v>793</v>
      </c>
      <c r="JN163" t="s">
        <v>875</v>
      </c>
      <c r="JO163" t="s">
        <v>796</v>
      </c>
      <c r="JP163" t="s">
        <v>707</v>
      </c>
      <c r="JQ163" t="s">
        <v>865</v>
      </c>
      <c r="JR163" t="s">
        <v>707</v>
      </c>
      <c r="JS163" t="s">
        <v>792</v>
      </c>
      <c r="JT163" t="s">
        <v>866</v>
      </c>
      <c r="JU163" t="s">
        <v>707</v>
      </c>
      <c r="JV163" t="s">
        <v>703</v>
      </c>
      <c r="JW163" t="s">
        <v>858</v>
      </c>
      <c r="JX163" t="s">
        <v>871</v>
      </c>
      <c r="JY163" t="s">
        <v>886</v>
      </c>
      <c r="JZ163" t="s">
        <v>617</v>
      </c>
      <c r="KA163" t="s">
        <v>792</v>
      </c>
      <c r="KB163" t="s">
        <v>804</v>
      </c>
      <c r="KC163" t="s">
        <v>875</v>
      </c>
      <c r="KD163" t="s">
        <v>796</v>
      </c>
      <c r="KE163" t="s">
        <v>703</v>
      </c>
      <c r="KF163" t="s">
        <v>865</v>
      </c>
      <c r="KG163" t="s">
        <v>796</v>
      </c>
      <c r="KH163" t="s">
        <v>796</v>
      </c>
      <c r="KI163" t="s">
        <v>795</v>
      </c>
      <c r="KJ163" t="s">
        <v>792</v>
      </c>
      <c r="KK163" t="s">
        <v>817</v>
      </c>
      <c r="KL163" t="s">
        <v>857</v>
      </c>
      <c r="KM163" t="s">
        <v>880</v>
      </c>
      <c r="KN163" t="s">
        <v>886</v>
      </c>
      <c r="KO163" t="s">
        <v>460</v>
      </c>
      <c r="KP163" t="s">
        <v>707</v>
      </c>
      <c r="KQ163" t="s">
        <v>815</v>
      </c>
      <c r="KR163" t="s">
        <v>1035</v>
      </c>
      <c r="KS163" t="s">
        <v>707</v>
      </c>
      <c r="KT163" t="s">
        <v>817</v>
      </c>
      <c r="KU163" t="s">
        <v>876</v>
      </c>
      <c r="KV163" t="s">
        <v>792</v>
      </c>
      <c r="KW163" t="s">
        <v>792</v>
      </c>
      <c r="KX163" t="s">
        <v>806</v>
      </c>
      <c r="KY163" t="s">
        <v>796</v>
      </c>
      <c r="KZ163" t="s">
        <v>707</v>
      </c>
      <c r="LA163" t="s">
        <v>865</v>
      </c>
      <c r="LB163" t="s">
        <v>1201</v>
      </c>
      <c r="LC163" t="s">
        <v>886</v>
      </c>
      <c r="LS163" t="s">
        <v>260</v>
      </c>
      <c r="LT163" t="s">
        <v>792</v>
      </c>
      <c r="LU163" t="s">
        <v>817</v>
      </c>
      <c r="LV163" t="s">
        <v>857</v>
      </c>
      <c r="LW163" t="s">
        <v>796</v>
      </c>
      <c r="LX163" t="s">
        <v>792</v>
      </c>
      <c r="LY163" t="s">
        <v>865</v>
      </c>
      <c r="LZ163" t="s">
        <v>796</v>
      </c>
      <c r="MA163" t="s">
        <v>792</v>
      </c>
      <c r="MB163" t="s">
        <v>795</v>
      </c>
      <c r="MC163" t="s">
        <v>792</v>
      </c>
      <c r="MD163" t="s">
        <v>703</v>
      </c>
      <c r="ME163" t="s">
        <v>870</v>
      </c>
      <c r="MF163" t="s">
        <v>1118</v>
      </c>
      <c r="MG163" t="s">
        <v>1202</v>
      </c>
      <c r="MH163" t="s">
        <v>469</v>
      </c>
      <c r="MI163" t="s">
        <v>817</v>
      </c>
      <c r="MJ163" t="s">
        <v>701</v>
      </c>
      <c r="MK163" t="s">
        <v>1713</v>
      </c>
      <c r="ML163" t="s">
        <v>796</v>
      </c>
      <c r="MM163" t="s">
        <v>792</v>
      </c>
      <c r="MN163" t="s">
        <v>865</v>
      </c>
      <c r="MO163" t="s">
        <v>793</v>
      </c>
      <c r="MP163" t="s">
        <v>793</v>
      </c>
      <c r="MQ163" t="s">
        <v>806</v>
      </c>
      <c r="MR163" t="s">
        <v>817</v>
      </c>
      <c r="MS163" t="s">
        <v>697</v>
      </c>
      <c r="MT163" t="s">
        <v>1515</v>
      </c>
      <c r="MU163" t="s">
        <v>879</v>
      </c>
      <c r="MV163" t="s">
        <v>1714</v>
      </c>
      <c r="MW163" t="s">
        <v>166</v>
      </c>
      <c r="MX163" t="s">
        <v>703</v>
      </c>
      <c r="MY163" t="s">
        <v>815</v>
      </c>
      <c r="MZ163" t="s">
        <v>880</v>
      </c>
      <c r="NA163" t="s">
        <v>796</v>
      </c>
      <c r="NB163" t="s">
        <v>703</v>
      </c>
      <c r="NC163" t="s">
        <v>865</v>
      </c>
      <c r="ND163" t="s">
        <v>796</v>
      </c>
      <c r="NE163" t="s">
        <v>796</v>
      </c>
      <c r="NF163" t="s">
        <v>795</v>
      </c>
      <c r="NG163" t="s">
        <v>703</v>
      </c>
      <c r="NH163" t="s">
        <v>703</v>
      </c>
      <c r="NI163" t="s">
        <v>879</v>
      </c>
      <c r="NJ163" t="s">
        <v>879</v>
      </c>
      <c r="NK163" t="s">
        <v>866</v>
      </c>
      <c r="NL163" t="s">
        <v>280</v>
      </c>
      <c r="NM163" t="s">
        <v>707</v>
      </c>
      <c r="NN163" t="s">
        <v>817</v>
      </c>
      <c r="NO163" t="s">
        <v>876</v>
      </c>
      <c r="NP163" t="s">
        <v>796</v>
      </c>
      <c r="NQ163" t="s">
        <v>792</v>
      </c>
      <c r="NR163" t="s">
        <v>865</v>
      </c>
      <c r="NS163" t="s">
        <v>707</v>
      </c>
      <c r="NT163" t="s">
        <v>792</v>
      </c>
      <c r="NU163" t="s">
        <v>866</v>
      </c>
      <c r="NV163" t="s">
        <v>707</v>
      </c>
      <c r="NW163" t="s">
        <v>703</v>
      </c>
      <c r="NX163" t="s">
        <v>858</v>
      </c>
      <c r="NY163" t="s">
        <v>1078</v>
      </c>
      <c r="NZ163" t="s">
        <v>1596</v>
      </c>
    </row>
    <row r="164" spans="1:390" ht="15.75" hidden="1" customHeight="1" x14ac:dyDescent="0.25">
      <c r="A164" t="s">
        <v>149</v>
      </c>
      <c r="B164" t="s">
        <v>817</v>
      </c>
      <c r="C164" t="s">
        <v>851</v>
      </c>
      <c r="D164" t="s">
        <v>869</v>
      </c>
      <c r="E164" t="s">
        <v>792</v>
      </c>
      <c r="F164" t="s">
        <v>703</v>
      </c>
      <c r="G164" t="s">
        <v>870</v>
      </c>
      <c r="H164" t="s">
        <v>707</v>
      </c>
      <c r="I164" t="s">
        <v>792</v>
      </c>
      <c r="J164" t="s">
        <v>866</v>
      </c>
      <c r="K164" t="s">
        <v>703</v>
      </c>
      <c r="L164" t="s">
        <v>793</v>
      </c>
      <c r="M164" t="s">
        <v>871</v>
      </c>
      <c r="N164" t="s">
        <v>872</v>
      </c>
      <c r="O164" t="s">
        <v>873</v>
      </c>
      <c r="P164" t="s">
        <v>351</v>
      </c>
      <c r="Q164" t="s">
        <v>792</v>
      </c>
      <c r="R164" t="s">
        <v>804</v>
      </c>
      <c r="S164" t="s">
        <v>875</v>
      </c>
      <c r="T164" t="s">
        <v>796</v>
      </c>
      <c r="U164" t="s">
        <v>793</v>
      </c>
      <c r="V164" t="s">
        <v>865</v>
      </c>
      <c r="W164" t="s">
        <v>707</v>
      </c>
      <c r="X164" t="s">
        <v>792</v>
      </c>
      <c r="Y164" t="s">
        <v>866</v>
      </c>
      <c r="Z164" t="s">
        <v>792</v>
      </c>
      <c r="AA164" t="s">
        <v>793</v>
      </c>
      <c r="AB164" t="s">
        <v>880</v>
      </c>
      <c r="AC164" t="s">
        <v>1038</v>
      </c>
      <c r="AD164" t="s">
        <v>886</v>
      </c>
      <c r="AE164" t="s">
        <v>592</v>
      </c>
      <c r="AF164" t="s">
        <v>792</v>
      </c>
      <c r="AG164" t="s">
        <v>703</v>
      </c>
      <c r="AH164" t="s">
        <v>870</v>
      </c>
      <c r="AI164" t="s">
        <v>796</v>
      </c>
      <c r="AJ164" t="s">
        <v>796</v>
      </c>
      <c r="AK164" t="s">
        <v>865</v>
      </c>
      <c r="AL164" t="s">
        <v>796</v>
      </c>
      <c r="AM164" t="s">
        <v>796</v>
      </c>
      <c r="AN164" t="s">
        <v>795</v>
      </c>
      <c r="AO164" t="s">
        <v>792</v>
      </c>
      <c r="AP164" t="s">
        <v>703</v>
      </c>
      <c r="AQ164" t="s">
        <v>870</v>
      </c>
      <c r="AR164" t="s">
        <v>882</v>
      </c>
      <c r="AS164" t="s">
        <v>883</v>
      </c>
      <c r="AT164" t="s">
        <v>483</v>
      </c>
      <c r="AU164" t="s">
        <v>707</v>
      </c>
      <c r="AV164" t="s">
        <v>793</v>
      </c>
      <c r="AW164" t="s">
        <v>875</v>
      </c>
      <c r="AX164" t="s">
        <v>796</v>
      </c>
      <c r="AY164" t="s">
        <v>796</v>
      </c>
      <c r="AZ164" t="s">
        <v>865</v>
      </c>
      <c r="BA164" t="s">
        <v>796</v>
      </c>
      <c r="BB164" t="s">
        <v>796</v>
      </c>
      <c r="BC164" t="s">
        <v>795</v>
      </c>
      <c r="BD164" t="s">
        <v>707</v>
      </c>
      <c r="BE164" t="s">
        <v>793</v>
      </c>
      <c r="BF164" t="s">
        <v>875</v>
      </c>
      <c r="BG164" t="s">
        <v>880</v>
      </c>
      <c r="BH164" t="s">
        <v>886</v>
      </c>
      <c r="BI164" t="s">
        <v>517</v>
      </c>
      <c r="BJ164" t="s">
        <v>804</v>
      </c>
      <c r="BK164" t="s">
        <v>701</v>
      </c>
      <c r="BL164" t="s">
        <v>852</v>
      </c>
      <c r="BM164" t="s">
        <v>703</v>
      </c>
      <c r="BN164" t="s">
        <v>817</v>
      </c>
      <c r="BO164" t="s">
        <v>1078</v>
      </c>
      <c r="BP164" t="s">
        <v>707</v>
      </c>
      <c r="BQ164" t="s">
        <v>703</v>
      </c>
      <c r="BR164" t="s">
        <v>885</v>
      </c>
      <c r="BS164" t="s">
        <v>817</v>
      </c>
      <c r="BT164" t="s">
        <v>859</v>
      </c>
      <c r="BU164" t="s">
        <v>1155</v>
      </c>
      <c r="BV164" t="s">
        <v>1159</v>
      </c>
      <c r="BW164" t="s">
        <v>1160</v>
      </c>
      <c r="BX164" t="s">
        <v>528</v>
      </c>
      <c r="BY164" t="s">
        <v>792</v>
      </c>
      <c r="BZ164" t="s">
        <v>815</v>
      </c>
      <c r="CA164" t="s">
        <v>858</v>
      </c>
      <c r="CB164" t="s">
        <v>707</v>
      </c>
      <c r="CC164" t="s">
        <v>792</v>
      </c>
      <c r="CD164" t="s">
        <v>880</v>
      </c>
      <c r="CE164" t="s">
        <v>796</v>
      </c>
      <c r="CF164" t="s">
        <v>796</v>
      </c>
      <c r="CG164" t="s">
        <v>795</v>
      </c>
      <c r="CH164" t="s">
        <v>707</v>
      </c>
      <c r="CI164" t="s">
        <v>793</v>
      </c>
      <c r="CJ164" t="s">
        <v>875</v>
      </c>
      <c r="CK164" t="s">
        <v>1201</v>
      </c>
      <c r="CL164" t="s">
        <v>1037</v>
      </c>
      <c r="CM164" t="s">
        <v>87</v>
      </c>
      <c r="CN164" t="s">
        <v>792</v>
      </c>
      <c r="CO164" t="s">
        <v>817</v>
      </c>
      <c r="CP164" t="s">
        <v>857</v>
      </c>
      <c r="CQ164" t="s">
        <v>707</v>
      </c>
      <c r="CR164" t="s">
        <v>792</v>
      </c>
      <c r="CS164" t="s">
        <v>880</v>
      </c>
      <c r="CT164" t="s">
        <v>796</v>
      </c>
      <c r="CU164" t="s">
        <v>796</v>
      </c>
      <c r="CV164" t="s">
        <v>795</v>
      </c>
      <c r="CW164" t="s">
        <v>707</v>
      </c>
      <c r="CX164" t="s">
        <v>703</v>
      </c>
      <c r="CY164" t="s">
        <v>858</v>
      </c>
      <c r="CZ164" t="s">
        <v>879</v>
      </c>
      <c r="DA164" t="s">
        <v>866</v>
      </c>
      <c r="DB164" t="s">
        <v>1478</v>
      </c>
      <c r="DC164" t="s">
        <v>817</v>
      </c>
      <c r="DD164" t="s">
        <v>810</v>
      </c>
      <c r="DE164" t="s">
        <v>1034</v>
      </c>
      <c r="DF164" t="s">
        <v>707</v>
      </c>
      <c r="DG164" t="s">
        <v>815</v>
      </c>
      <c r="DH164" t="s">
        <v>1035</v>
      </c>
      <c r="DI164" t="s">
        <v>792</v>
      </c>
      <c r="DJ164" t="s">
        <v>792</v>
      </c>
      <c r="DK164" t="s">
        <v>806</v>
      </c>
      <c r="DL164" t="s">
        <v>793</v>
      </c>
      <c r="DM164" t="s">
        <v>851</v>
      </c>
      <c r="DN164" t="s">
        <v>852</v>
      </c>
      <c r="DO164" t="s">
        <v>879</v>
      </c>
      <c r="DP164" t="s">
        <v>1037</v>
      </c>
      <c r="DQ164" t="s">
        <v>294</v>
      </c>
      <c r="DR164" t="s">
        <v>792</v>
      </c>
      <c r="DS164" t="s">
        <v>793</v>
      </c>
      <c r="DT164" t="s">
        <v>880</v>
      </c>
      <c r="DU164" t="s">
        <v>796</v>
      </c>
      <c r="DV164" t="s">
        <v>796</v>
      </c>
      <c r="DW164" t="s">
        <v>865</v>
      </c>
      <c r="DX164" t="s">
        <v>796</v>
      </c>
      <c r="DY164" t="s">
        <v>796</v>
      </c>
      <c r="DZ164" t="s">
        <v>795</v>
      </c>
      <c r="EA164" t="s">
        <v>792</v>
      </c>
      <c r="EB164" t="s">
        <v>793</v>
      </c>
      <c r="EC164" t="s">
        <v>880</v>
      </c>
      <c r="ED164" t="s">
        <v>879</v>
      </c>
      <c r="EE164" t="s">
        <v>866</v>
      </c>
      <c r="EF164" t="s">
        <v>349</v>
      </c>
      <c r="EG164" t="s">
        <v>703</v>
      </c>
      <c r="EH164" t="s">
        <v>817</v>
      </c>
      <c r="EI164" t="s">
        <v>1078</v>
      </c>
      <c r="EJ164" t="s">
        <v>796</v>
      </c>
      <c r="EK164" t="s">
        <v>796</v>
      </c>
      <c r="EL164" t="s">
        <v>865</v>
      </c>
      <c r="EM164" t="s">
        <v>796</v>
      </c>
      <c r="EN164" t="s">
        <v>792</v>
      </c>
      <c r="EO164" t="s">
        <v>795</v>
      </c>
      <c r="EP164" t="s">
        <v>703</v>
      </c>
      <c r="EQ164" t="s">
        <v>817</v>
      </c>
      <c r="ER164" t="s">
        <v>1078</v>
      </c>
      <c r="ES164" t="s">
        <v>1032</v>
      </c>
      <c r="ET164" t="s">
        <v>1468</v>
      </c>
      <c r="EU164" t="s">
        <v>609</v>
      </c>
      <c r="EV164" t="s">
        <v>796</v>
      </c>
      <c r="EW164" t="s">
        <v>796</v>
      </c>
      <c r="EX164" t="s">
        <v>865</v>
      </c>
      <c r="EY164" t="s">
        <v>796</v>
      </c>
      <c r="EZ164" t="s">
        <v>796</v>
      </c>
      <c r="FA164" t="s">
        <v>865</v>
      </c>
      <c r="FB164" t="s">
        <v>796</v>
      </c>
      <c r="FC164" t="s">
        <v>796</v>
      </c>
      <c r="FD164" t="s">
        <v>795</v>
      </c>
      <c r="FE164" t="s">
        <v>796</v>
      </c>
      <c r="FF164" t="s">
        <v>796</v>
      </c>
      <c r="FG164" t="s">
        <v>865</v>
      </c>
      <c r="FH164" t="s">
        <v>865</v>
      </c>
      <c r="FI164" t="s">
        <v>795</v>
      </c>
      <c r="FJ164" t="s">
        <v>557</v>
      </c>
      <c r="FK164" t="s">
        <v>703</v>
      </c>
      <c r="FL164" t="s">
        <v>800</v>
      </c>
      <c r="FM164" t="s">
        <v>1027</v>
      </c>
      <c r="FN164" t="s">
        <v>796</v>
      </c>
      <c r="FO164" t="s">
        <v>793</v>
      </c>
      <c r="FP164" t="s">
        <v>865</v>
      </c>
      <c r="FQ164" t="s">
        <v>796</v>
      </c>
      <c r="FR164" t="s">
        <v>796</v>
      </c>
      <c r="FS164" t="s">
        <v>795</v>
      </c>
      <c r="FT164" t="s">
        <v>703</v>
      </c>
      <c r="FU164" t="s">
        <v>815</v>
      </c>
      <c r="FV164" t="s">
        <v>880</v>
      </c>
      <c r="FW164" t="s">
        <v>1078</v>
      </c>
      <c r="FX164" t="s">
        <v>1595</v>
      </c>
      <c r="FY164" t="s">
        <v>360</v>
      </c>
      <c r="FZ164" t="s">
        <v>792</v>
      </c>
      <c r="GA164" t="s">
        <v>793</v>
      </c>
      <c r="GB164" t="s">
        <v>880</v>
      </c>
      <c r="GC164" t="s">
        <v>796</v>
      </c>
      <c r="GD164" t="s">
        <v>707</v>
      </c>
      <c r="GE164" t="s">
        <v>865</v>
      </c>
      <c r="GF164" t="s">
        <v>796</v>
      </c>
      <c r="GG164" t="s">
        <v>792</v>
      </c>
      <c r="GH164" t="s">
        <v>795</v>
      </c>
      <c r="GI164" t="s">
        <v>792</v>
      </c>
      <c r="GJ164" t="s">
        <v>703</v>
      </c>
      <c r="GK164" t="s">
        <v>870</v>
      </c>
      <c r="GL164" t="s">
        <v>879</v>
      </c>
      <c r="GM164" t="s">
        <v>866</v>
      </c>
      <c r="GN164" t="s">
        <v>91</v>
      </c>
      <c r="GO164" t="s">
        <v>817</v>
      </c>
      <c r="GP164" t="s">
        <v>800</v>
      </c>
      <c r="GQ164" t="s">
        <v>880</v>
      </c>
      <c r="GR164" t="s">
        <v>707</v>
      </c>
      <c r="GS164" t="s">
        <v>707</v>
      </c>
      <c r="GT164" t="s">
        <v>879</v>
      </c>
      <c r="GU164" t="s">
        <v>796</v>
      </c>
      <c r="GV164" t="s">
        <v>796</v>
      </c>
      <c r="GW164" t="s">
        <v>795</v>
      </c>
      <c r="GX164" t="s">
        <v>793</v>
      </c>
      <c r="GY164" t="s">
        <v>859</v>
      </c>
      <c r="GZ164" t="s">
        <v>861</v>
      </c>
      <c r="HA164" t="s">
        <v>1265</v>
      </c>
      <c r="HB164" t="s">
        <v>896</v>
      </c>
      <c r="HC164" t="s">
        <v>395</v>
      </c>
      <c r="HD164" t="s">
        <v>792</v>
      </c>
      <c r="HE164" t="s">
        <v>817</v>
      </c>
      <c r="HF164" t="s">
        <v>857</v>
      </c>
      <c r="HG164" t="s">
        <v>796</v>
      </c>
      <c r="HH164" t="s">
        <v>707</v>
      </c>
      <c r="HI164" t="s">
        <v>865</v>
      </c>
      <c r="HJ164" t="s">
        <v>707</v>
      </c>
      <c r="HK164" t="s">
        <v>792</v>
      </c>
      <c r="HL164" t="s">
        <v>866</v>
      </c>
      <c r="HM164" t="s">
        <v>792</v>
      </c>
      <c r="HN164" t="s">
        <v>793</v>
      </c>
      <c r="HO164" t="s">
        <v>880</v>
      </c>
      <c r="HP164" t="s">
        <v>879</v>
      </c>
      <c r="HQ164" t="s">
        <v>1202</v>
      </c>
      <c r="HR164" t="s">
        <v>828</v>
      </c>
      <c r="HS164" t="s">
        <v>1451</v>
      </c>
      <c r="HT164" t="s">
        <v>1682</v>
      </c>
      <c r="HU164" t="s">
        <v>1683</v>
      </c>
      <c r="HV164" t="s">
        <v>805</v>
      </c>
      <c r="HW164" t="s">
        <v>1020</v>
      </c>
      <c r="HX164" t="s">
        <v>1684</v>
      </c>
      <c r="HY164" t="s">
        <v>803</v>
      </c>
      <c r="HZ164" t="s">
        <v>998</v>
      </c>
      <c r="IA164" t="s">
        <v>1620</v>
      </c>
      <c r="IB164" t="s">
        <v>798</v>
      </c>
      <c r="IC164" t="s">
        <v>1125</v>
      </c>
      <c r="ID164" t="s">
        <v>1570</v>
      </c>
      <c r="IE164" t="s">
        <v>1685</v>
      </c>
      <c r="IF164" t="s">
        <v>1497</v>
      </c>
      <c r="IG164" t="s">
        <v>828</v>
      </c>
      <c r="IH164" t="s">
        <v>1165</v>
      </c>
      <c r="II164" t="s">
        <v>1492</v>
      </c>
      <c r="IJ164" t="s">
        <v>1697</v>
      </c>
      <c r="IK164" t="s">
        <v>793</v>
      </c>
      <c r="IL164" t="s">
        <v>1023</v>
      </c>
      <c r="IM164" t="s">
        <v>875</v>
      </c>
      <c r="IN164" t="s">
        <v>800</v>
      </c>
      <c r="IO164" t="s">
        <v>1023</v>
      </c>
      <c r="IP164" t="s">
        <v>1038</v>
      </c>
      <c r="IQ164" t="s">
        <v>1491</v>
      </c>
      <c r="IR164" t="s">
        <v>1698</v>
      </c>
      <c r="IS164" t="s">
        <v>1699</v>
      </c>
      <c r="IT164" t="s">
        <v>1700</v>
      </c>
      <c r="IU164" t="s">
        <v>1046</v>
      </c>
      <c r="IV164" t="s">
        <v>217</v>
      </c>
      <c r="IW164" t="s">
        <v>796</v>
      </c>
      <c r="IX164" t="s">
        <v>792</v>
      </c>
      <c r="IY164" t="s">
        <v>865</v>
      </c>
      <c r="IZ164" t="s">
        <v>796</v>
      </c>
      <c r="JA164" t="s">
        <v>796</v>
      </c>
      <c r="JB164" t="s">
        <v>865</v>
      </c>
      <c r="JC164" t="s">
        <v>796</v>
      </c>
      <c r="JD164" t="s">
        <v>796</v>
      </c>
      <c r="JE164" t="s">
        <v>795</v>
      </c>
      <c r="JF164" t="s">
        <v>796</v>
      </c>
      <c r="JG164" t="s">
        <v>792</v>
      </c>
      <c r="JH164" t="s">
        <v>865</v>
      </c>
      <c r="JI164" t="s">
        <v>865</v>
      </c>
      <c r="JJ164" t="s">
        <v>795</v>
      </c>
      <c r="JK164" t="s">
        <v>422</v>
      </c>
      <c r="JL164" t="s">
        <v>707</v>
      </c>
      <c r="JM164" t="s">
        <v>815</v>
      </c>
      <c r="JN164" t="s">
        <v>1035</v>
      </c>
      <c r="JO164" t="s">
        <v>796</v>
      </c>
      <c r="JP164" t="s">
        <v>707</v>
      </c>
      <c r="JQ164" t="s">
        <v>865</v>
      </c>
      <c r="JR164" t="s">
        <v>796</v>
      </c>
      <c r="JS164" t="s">
        <v>796</v>
      </c>
      <c r="JT164" t="s">
        <v>795</v>
      </c>
      <c r="JU164" t="s">
        <v>707</v>
      </c>
      <c r="JV164" t="s">
        <v>817</v>
      </c>
      <c r="JW164" t="s">
        <v>876</v>
      </c>
      <c r="JX164" t="s">
        <v>858</v>
      </c>
      <c r="JY164" t="s">
        <v>1733</v>
      </c>
      <c r="JZ164" t="s">
        <v>448</v>
      </c>
      <c r="KA164" t="s">
        <v>707</v>
      </c>
      <c r="KB164" t="s">
        <v>703</v>
      </c>
      <c r="KC164" t="s">
        <v>858</v>
      </c>
      <c r="KD164" t="s">
        <v>796</v>
      </c>
      <c r="KE164" t="s">
        <v>796</v>
      </c>
      <c r="KF164" t="s">
        <v>865</v>
      </c>
      <c r="KG164" t="s">
        <v>796</v>
      </c>
      <c r="KH164" t="s">
        <v>796</v>
      </c>
      <c r="KI164" t="s">
        <v>795</v>
      </c>
      <c r="KJ164" t="s">
        <v>707</v>
      </c>
      <c r="KK164" t="s">
        <v>703</v>
      </c>
      <c r="KL164" t="s">
        <v>858</v>
      </c>
      <c r="KM164" t="s">
        <v>870</v>
      </c>
      <c r="KN164" t="s">
        <v>885</v>
      </c>
      <c r="KO164" t="s">
        <v>242</v>
      </c>
      <c r="KP164" t="s">
        <v>793</v>
      </c>
      <c r="KQ164" t="s">
        <v>1023</v>
      </c>
      <c r="KR164" t="s">
        <v>875</v>
      </c>
      <c r="KS164" t="s">
        <v>796</v>
      </c>
      <c r="KT164" t="s">
        <v>817</v>
      </c>
      <c r="KU164" t="s">
        <v>865</v>
      </c>
      <c r="KV164" t="s">
        <v>792</v>
      </c>
      <c r="KW164" t="s">
        <v>703</v>
      </c>
      <c r="KX164" t="s">
        <v>883</v>
      </c>
      <c r="KY164" t="s">
        <v>793</v>
      </c>
      <c r="KZ164" t="s">
        <v>805</v>
      </c>
      <c r="LA164" t="s">
        <v>1459</v>
      </c>
      <c r="LB164" t="s">
        <v>1038</v>
      </c>
      <c r="LC164" t="s">
        <v>886</v>
      </c>
      <c r="LD164" t="s">
        <v>897</v>
      </c>
      <c r="LS164" t="s">
        <v>484</v>
      </c>
      <c r="LT164" t="s">
        <v>703</v>
      </c>
      <c r="LU164" t="s">
        <v>815</v>
      </c>
      <c r="LV164" t="s">
        <v>880</v>
      </c>
      <c r="LW164" t="s">
        <v>792</v>
      </c>
      <c r="LX164" t="s">
        <v>703</v>
      </c>
      <c r="LY164" t="s">
        <v>870</v>
      </c>
      <c r="LZ164" t="s">
        <v>707</v>
      </c>
      <c r="MA164" t="s">
        <v>792</v>
      </c>
      <c r="MB164" t="s">
        <v>866</v>
      </c>
      <c r="MC164" t="s">
        <v>707</v>
      </c>
      <c r="MD164" t="s">
        <v>703</v>
      </c>
      <c r="ME164" t="s">
        <v>858</v>
      </c>
      <c r="MF164" t="s">
        <v>1026</v>
      </c>
      <c r="MG164" t="s">
        <v>883</v>
      </c>
      <c r="MH164" t="s">
        <v>624</v>
      </c>
      <c r="MI164" t="s">
        <v>707</v>
      </c>
      <c r="MJ164" t="s">
        <v>703</v>
      </c>
      <c r="MK164" t="s">
        <v>858</v>
      </c>
      <c r="ML164" t="s">
        <v>796</v>
      </c>
      <c r="MM164" t="s">
        <v>796</v>
      </c>
      <c r="MN164" t="s">
        <v>865</v>
      </c>
      <c r="MO164" t="s">
        <v>796</v>
      </c>
      <c r="MP164" t="s">
        <v>796</v>
      </c>
      <c r="MQ164" t="s">
        <v>795</v>
      </c>
      <c r="MR164" t="s">
        <v>707</v>
      </c>
      <c r="MS164" t="s">
        <v>703</v>
      </c>
      <c r="MT164" t="s">
        <v>858</v>
      </c>
      <c r="MU164" t="s">
        <v>870</v>
      </c>
      <c r="MV164" t="s">
        <v>885</v>
      </c>
      <c r="MW164" t="s">
        <v>625</v>
      </c>
      <c r="MX164" t="s">
        <v>703</v>
      </c>
      <c r="MY164" t="s">
        <v>859</v>
      </c>
      <c r="MZ164" t="s">
        <v>858</v>
      </c>
      <c r="NA164" t="s">
        <v>707</v>
      </c>
      <c r="NB164" t="s">
        <v>793</v>
      </c>
      <c r="NC164" t="s">
        <v>875</v>
      </c>
      <c r="ND164" t="s">
        <v>792</v>
      </c>
      <c r="NE164" t="s">
        <v>792</v>
      </c>
      <c r="NF164" t="s">
        <v>806</v>
      </c>
      <c r="NG164" t="s">
        <v>792</v>
      </c>
      <c r="NH164" t="s">
        <v>817</v>
      </c>
      <c r="NI164" t="s">
        <v>857</v>
      </c>
      <c r="NJ164" t="s">
        <v>879</v>
      </c>
      <c r="NK164" t="s">
        <v>1549</v>
      </c>
      <c r="NL164" t="s">
        <v>599</v>
      </c>
      <c r="NM164" t="s">
        <v>707</v>
      </c>
      <c r="NN164" t="s">
        <v>793</v>
      </c>
      <c r="NO164" t="s">
        <v>875</v>
      </c>
      <c r="NP164" t="s">
        <v>796</v>
      </c>
      <c r="NQ164" t="s">
        <v>796</v>
      </c>
      <c r="NR164" t="s">
        <v>865</v>
      </c>
      <c r="NS164" t="s">
        <v>796</v>
      </c>
      <c r="NT164" t="s">
        <v>796</v>
      </c>
      <c r="NU164" t="s">
        <v>795</v>
      </c>
      <c r="NV164" t="s">
        <v>707</v>
      </c>
      <c r="NW164" t="s">
        <v>793</v>
      </c>
      <c r="NX164" t="s">
        <v>875</v>
      </c>
      <c r="NY164" t="s">
        <v>880</v>
      </c>
      <c r="NZ164" t="s">
        <v>886</v>
      </c>
    </row>
    <row r="165" spans="1:390" ht="15.75" hidden="1" customHeight="1" x14ac:dyDescent="0.25">
      <c r="A165" t="s">
        <v>820</v>
      </c>
      <c r="B165" t="s">
        <v>792</v>
      </c>
      <c r="C165" t="s">
        <v>703</v>
      </c>
      <c r="D165" t="s">
        <v>870</v>
      </c>
      <c r="E165" t="s">
        <v>796</v>
      </c>
      <c r="F165" t="s">
        <v>796</v>
      </c>
      <c r="G165" t="s">
        <v>865</v>
      </c>
      <c r="H165" t="s">
        <v>796</v>
      </c>
      <c r="I165" t="s">
        <v>796</v>
      </c>
      <c r="J165" t="s">
        <v>795</v>
      </c>
      <c r="K165" t="s">
        <v>792</v>
      </c>
      <c r="L165" t="s">
        <v>703</v>
      </c>
      <c r="M165" t="s">
        <v>870</v>
      </c>
      <c r="N165" t="s">
        <v>882</v>
      </c>
      <c r="O165" t="s">
        <v>883</v>
      </c>
      <c r="P165" t="s">
        <v>345</v>
      </c>
      <c r="Q165" t="s">
        <v>707</v>
      </c>
      <c r="R165" t="s">
        <v>703</v>
      </c>
      <c r="S165" t="s">
        <v>858</v>
      </c>
      <c r="T165" t="s">
        <v>796</v>
      </c>
      <c r="U165" t="s">
        <v>792</v>
      </c>
      <c r="V165" t="s">
        <v>865</v>
      </c>
      <c r="W165" t="s">
        <v>796</v>
      </c>
      <c r="X165" t="s">
        <v>796</v>
      </c>
      <c r="Y165" t="s">
        <v>795</v>
      </c>
      <c r="Z165" t="s">
        <v>707</v>
      </c>
      <c r="AA165" t="s">
        <v>707</v>
      </c>
      <c r="AB165" t="s">
        <v>879</v>
      </c>
      <c r="AC165" t="s">
        <v>870</v>
      </c>
      <c r="AD165" t="s">
        <v>885</v>
      </c>
      <c r="AE165" t="s">
        <v>593</v>
      </c>
      <c r="AF165" t="s">
        <v>707</v>
      </c>
      <c r="AG165" t="s">
        <v>851</v>
      </c>
      <c r="AH165" t="s">
        <v>1083</v>
      </c>
      <c r="AI165" t="s">
        <v>796</v>
      </c>
      <c r="AJ165" t="s">
        <v>793</v>
      </c>
      <c r="AK165" t="s">
        <v>865</v>
      </c>
      <c r="AL165" t="s">
        <v>817</v>
      </c>
      <c r="AM165" t="s">
        <v>815</v>
      </c>
      <c r="AN165" t="s">
        <v>1028</v>
      </c>
      <c r="AO165" t="s">
        <v>707</v>
      </c>
      <c r="AP165" t="s">
        <v>703</v>
      </c>
      <c r="AQ165" t="s">
        <v>858</v>
      </c>
      <c r="AR165" t="s">
        <v>879</v>
      </c>
      <c r="AS165" t="s">
        <v>1084</v>
      </c>
      <c r="AT165" t="s">
        <v>485</v>
      </c>
      <c r="AU165" t="s">
        <v>796</v>
      </c>
      <c r="AV165" t="s">
        <v>792</v>
      </c>
      <c r="AW165" t="s">
        <v>865</v>
      </c>
      <c r="AX165" t="s">
        <v>796</v>
      </c>
      <c r="AY165" t="s">
        <v>707</v>
      </c>
      <c r="AZ165" t="s">
        <v>865</v>
      </c>
      <c r="BA165" t="s">
        <v>796</v>
      </c>
      <c r="BB165" t="s">
        <v>796</v>
      </c>
      <c r="BC165" t="s">
        <v>795</v>
      </c>
      <c r="BD165" t="s">
        <v>796</v>
      </c>
      <c r="BE165" t="s">
        <v>707</v>
      </c>
      <c r="BF165" t="s">
        <v>865</v>
      </c>
      <c r="BG165" t="s">
        <v>865</v>
      </c>
      <c r="BH165" t="s">
        <v>795</v>
      </c>
      <c r="BI165" t="s">
        <v>511</v>
      </c>
      <c r="BJ165" t="s">
        <v>793</v>
      </c>
      <c r="BK165" t="s">
        <v>800</v>
      </c>
      <c r="BL165" t="s">
        <v>857</v>
      </c>
      <c r="BM165" t="s">
        <v>792</v>
      </c>
      <c r="BN165" t="s">
        <v>815</v>
      </c>
      <c r="BO165" t="s">
        <v>858</v>
      </c>
      <c r="BP165" t="s">
        <v>796</v>
      </c>
      <c r="BQ165" t="s">
        <v>796</v>
      </c>
      <c r="BR165" t="s">
        <v>795</v>
      </c>
      <c r="BS165" t="s">
        <v>792</v>
      </c>
      <c r="BT165" t="s">
        <v>793</v>
      </c>
      <c r="BU165" t="s">
        <v>880</v>
      </c>
      <c r="BV165" t="s">
        <v>879</v>
      </c>
      <c r="BW165" t="s">
        <v>866</v>
      </c>
      <c r="BX165" t="s">
        <v>516</v>
      </c>
      <c r="BY165" t="s">
        <v>707</v>
      </c>
      <c r="BZ165" t="s">
        <v>804</v>
      </c>
      <c r="CA165" t="s">
        <v>1203</v>
      </c>
      <c r="CB165" t="s">
        <v>796</v>
      </c>
      <c r="CC165" t="s">
        <v>703</v>
      </c>
      <c r="CD165" t="s">
        <v>865</v>
      </c>
      <c r="CE165" t="s">
        <v>796</v>
      </c>
      <c r="CF165" t="s">
        <v>796</v>
      </c>
      <c r="CG165" t="s">
        <v>795</v>
      </c>
      <c r="CH165" t="s">
        <v>707</v>
      </c>
      <c r="CI165" t="s">
        <v>817</v>
      </c>
      <c r="CJ165" t="s">
        <v>876</v>
      </c>
      <c r="CK165" t="s">
        <v>875</v>
      </c>
      <c r="CL165" t="s">
        <v>1204</v>
      </c>
      <c r="CM165" t="s">
        <v>84</v>
      </c>
      <c r="CN165" t="s">
        <v>707</v>
      </c>
      <c r="CO165" t="s">
        <v>804</v>
      </c>
      <c r="CP165" t="s">
        <v>1203</v>
      </c>
      <c r="CQ165" t="s">
        <v>796</v>
      </c>
      <c r="CR165" t="s">
        <v>817</v>
      </c>
      <c r="CS165" t="s">
        <v>865</v>
      </c>
      <c r="CT165" t="s">
        <v>792</v>
      </c>
      <c r="CU165" t="s">
        <v>792</v>
      </c>
      <c r="CV165" t="s">
        <v>806</v>
      </c>
      <c r="CW165" t="s">
        <v>707</v>
      </c>
      <c r="CX165" t="s">
        <v>703</v>
      </c>
      <c r="CY165" t="s">
        <v>858</v>
      </c>
      <c r="CZ165" t="s">
        <v>880</v>
      </c>
      <c r="DA165" t="s">
        <v>1204</v>
      </c>
      <c r="DB165" t="s">
        <v>548</v>
      </c>
      <c r="DC165" t="s">
        <v>796</v>
      </c>
      <c r="DD165" t="s">
        <v>796</v>
      </c>
      <c r="DE165" t="s">
        <v>865</v>
      </c>
      <c r="DF165" t="s">
        <v>796</v>
      </c>
      <c r="DG165" t="s">
        <v>796</v>
      </c>
      <c r="DH165" t="s">
        <v>865</v>
      </c>
      <c r="DI165" t="s">
        <v>796</v>
      </c>
      <c r="DJ165" t="s">
        <v>796</v>
      </c>
      <c r="DK165" t="s">
        <v>795</v>
      </c>
      <c r="DL165" t="s">
        <v>796</v>
      </c>
      <c r="DM165" t="s">
        <v>796</v>
      </c>
      <c r="DN165" t="s">
        <v>865</v>
      </c>
      <c r="DO165" t="s">
        <v>865</v>
      </c>
      <c r="DP165" t="s">
        <v>795</v>
      </c>
      <c r="DQ165" t="s">
        <v>128</v>
      </c>
      <c r="DR165" t="s">
        <v>796</v>
      </c>
      <c r="DS165" t="s">
        <v>793</v>
      </c>
      <c r="DT165" t="s">
        <v>865</v>
      </c>
      <c r="DU165" t="s">
        <v>796</v>
      </c>
      <c r="DV165" t="s">
        <v>796</v>
      </c>
      <c r="DW165" t="s">
        <v>865</v>
      </c>
      <c r="DX165" t="s">
        <v>796</v>
      </c>
      <c r="DY165" t="s">
        <v>796</v>
      </c>
      <c r="DZ165" t="s">
        <v>795</v>
      </c>
      <c r="EA165" t="s">
        <v>796</v>
      </c>
      <c r="EB165" t="s">
        <v>793</v>
      </c>
      <c r="EC165" t="s">
        <v>865</v>
      </c>
      <c r="ED165" t="s">
        <v>865</v>
      </c>
      <c r="EE165" t="s">
        <v>795</v>
      </c>
      <c r="EF165" t="s">
        <v>320</v>
      </c>
      <c r="EG165" t="s">
        <v>703</v>
      </c>
      <c r="EH165" t="s">
        <v>859</v>
      </c>
      <c r="EI165" t="s">
        <v>858</v>
      </c>
      <c r="EJ165" t="s">
        <v>707</v>
      </c>
      <c r="EK165" t="s">
        <v>815</v>
      </c>
      <c r="EL165" t="s">
        <v>1035</v>
      </c>
      <c r="EM165" t="s">
        <v>796</v>
      </c>
      <c r="EN165" t="s">
        <v>796</v>
      </c>
      <c r="EO165" t="s">
        <v>795</v>
      </c>
      <c r="EP165" t="s">
        <v>792</v>
      </c>
      <c r="EQ165" t="s">
        <v>703</v>
      </c>
      <c r="ER165" t="s">
        <v>870</v>
      </c>
      <c r="ES165" t="s">
        <v>1548</v>
      </c>
      <c r="ET165" t="s">
        <v>1549</v>
      </c>
      <c r="EU165" t="s">
        <v>610</v>
      </c>
      <c r="EV165" t="s">
        <v>796</v>
      </c>
      <c r="EW165" t="s">
        <v>792</v>
      </c>
      <c r="EX165" t="s">
        <v>865</v>
      </c>
      <c r="EY165" t="s">
        <v>796</v>
      </c>
      <c r="EZ165" t="s">
        <v>707</v>
      </c>
      <c r="FA165" t="s">
        <v>865</v>
      </c>
      <c r="FB165" t="s">
        <v>707</v>
      </c>
      <c r="FC165" t="s">
        <v>792</v>
      </c>
      <c r="FD165" t="s">
        <v>866</v>
      </c>
      <c r="FE165" t="s">
        <v>796</v>
      </c>
      <c r="FF165" t="s">
        <v>707</v>
      </c>
      <c r="FG165" t="s">
        <v>865</v>
      </c>
      <c r="FH165" t="s">
        <v>880</v>
      </c>
      <c r="FI165" t="s">
        <v>795</v>
      </c>
      <c r="FJ165" t="s">
        <v>1588</v>
      </c>
      <c r="FK165" t="s">
        <v>707</v>
      </c>
      <c r="FL165" t="s">
        <v>817</v>
      </c>
      <c r="FM165" t="s">
        <v>876</v>
      </c>
      <c r="FN165" t="s">
        <v>796</v>
      </c>
      <c r="FO165" t="s">
        <v>707</v>
      </c>
      <c r="FP165" t="s">
        <v>865</v>
      </c>
      <c r="FQ165" t="s">
        <v>703</v>
      </c>
      <c r="FR165" t="s">
        <v>793</v>
      </c>
      <c r="FS165" t="s">
        <v>860</v>
      </c>
      <c r="FT165" t="s">
        <v>707</v>
      </c>
      <c r="FU165" t="s">
        <v>793</v>
      </c>
      <c r="FV165" t="s">
        <v>875</v>
      </c>
      <c r="FW165" t="s">
        <v>879</v>
      </c>
      <c r="FX165" t="s">
        <v>1596</v>
      </c>
      <c r="FY165" t="s">
        <v>218</v>
      </c>
      <c r="FZ165" t="s">
        <v>796</v>
      </c>
      <c r="GA165" t="s">
        <v>707</v>
      </c>
      <c r="GB165" t="s">
        <v>865</v>
      </c>
      <c r="GC165" t="s">
        <v>796</v>
      </c>
      <c r="GD165" t="s">
        <v>796</v>
      </c>
      <c r="GE165" t="s">
        <v>865</v>
      </c>
      <c r="GF165" t="s">
        <v>796</v>
      </c>
      <c r="GG165" t="s">
        <v>796</v>
      </c>
      <c r="GH165" t="s">
        <v>795</v>
      </c>
      <c r="GI165" t="s">
        <v>796</v>
      </c>
      <c r="GJ165" t="s">
        <v>707</v>
      </c>
      <c r="GK165" t="s">
        <v>865</v>
      </c>
      <c r="GL165" t="s">
        <v>865</v>
      </c>
      <c r="GM165" t="s">
        <v>795</v>
      </c>
      <c r="GN165" t="s">
        <v>180</v>
      </c>
      <c r="GO165" t="s">
        <v>703</v>
      </c>
      <c r="GP165" t="s">
        <v>815</v>
      </c>
      <c r="GQ165" t="s">
        <v>880</v>
      </c>
      <c r="GR165" t="s">
        <v>707</v>
      </c>
      <c r="GS165" t="s">
        <v>792</v>
      </c>
      <c r="GT165" t="s">
        <v>880</v>
      </c>
      <c r="GU165" t="s">
        <v>707</v>
      </c>
      <c r="GV165" t="s">
        <v>703</v>
      </c>
      <c r="GW165" t="s">
        <v>885</v>
      </c>
      <c r="GX165" t="s">
        <v>792</v>
      </c>
      <c r="GY165" t="s">
        <v>793</v>
      </c>
      <c r="GZ165" t="s">
        <v>880</v>
      </c>
      <c r="HA165" t="s">
        <v>882</v>
      </c>
      <c r="HB165" t="s">
        <v>1030</v>
      </c>
      <c r="HC165" t="s">
        <v>613</v>
      </c>
      <c r="HD165" t="s">
        <v>793</v>
      </c>
      <c r="HE165" t="s">
        <v>815</v>
      </c>
      <c r="HF165" t="s">
        <v>870</v>
      </c>
      <c r="HG165" t="s">
        <v>707</v>
      </c>
      <c r="HH165" t="s">
        <v>792</v>
      </c>
      <c r="HI165" t="s">
        <v>880</v>
      </c>
      <c r="HJ165" t="s">
        <v>796</v>
      </c>
      <c r="HK165" t="s">
        <v>796</v>
      </c>
      <c r="HL165" t="s">
        <v>795</v>
      </c>
      <c r="HM165" t="s">
        <v>703</v>
      </c>
      <c r="HN165" t="s">
        <v>793</v>
      </c>
      <c r="HO165" t="s">
        <v>871</v>
      </c>
      <c r="HP165" t="s">
        <v>1026</v>
      </c>
      <c r="HQ165" t="s">
        <v>860</v>
      </c>
      <c r="IV165" t="s">
        <v>356</v>
      </c>
      <c r="IW165" t="s">
        <v>707</v>
      </c>
      <c r="IX165" t="s">
        <v>817</v>
      </c>
      <c r="IY165" t="s">
        <v>876</v>
      </c>
      <c r="IZ165" t="s">
        <v>796</v>
      </c>
      <c r="JA165" t="s">
        <v>796</v>
      </c>
      <c r="JB165" t="s">
        <v>865</v>
      </c>
      <c r="JC165" t="s">
        <v>796</v>
      </c>
      <c r="JD165" t="s">
        <v>792</v>
      </c>
      <c r="JE165" t="s">
        <v>795</v>
      </c>
      <c r="JF165" t="s">
        <v>707</v>
      </c>
      <c r="JG165" t="s">
        <v>817</v>
      </c>
      <c r="JH165" t="s">
        <v>876</v>
      </c>
      <c r="JI165" t="s">
        <v>857</v>
      </c>
      <c r="JJ165" t="s">
        <v>1596</v>
      </c>
      <c r="JK165" t="s">
        <v>350</v>
      </c>
      <c r="JL165" t="s">
        <v>796</v>
      </c>
      <c r="JM165" t="s">
        <v>703</v>
      </c>
      <c r="JN165" t="s">
        <v>865</v>
      </c>
      <c r="JO165" t="s">
        <v>796</v>
      </c>
      <c r="JP165" t="s">
        <v>707</v>
      </c>
      <c r="JQ165" t="s">
        <v>865</v>
      </c>
      <c r="JR165" t="s">
        <v>796</v>
      </c>
      <c r="JS165" t="s">
        <v>796</v>
      </c>
      <c r="JT165" t="s">
        <v>795</v>
      </c>
      <c r="JU165" t="s">
        <v>796</v>
      </c>
      <c r="JV165" t="s">
        <v>792</v>
      </c>
      <c r="JW165" t="s">
        <v>865</v>
      </c>
      <c r="JX165" t="s">
        <v>865</v>
      </c>
      <c r="JY165" t="s">
        <v>795</v>
      </c>
      <c r="JZ165" t="s">
        <v>185</v>
      </c>
      <c r="KA165" t="s">
        <v>707</v>
      </c>
      <c r="KB165" t="s">
        <v>851</v>
      </c>
      <c r="KC165" t="s">
        <v>1083</v>
      </c>
      <c r="KD165" t="s">
        <v>796</v>
      </c>
      <c r="KE165" t="s">
        <v>793</v>
      </c>
      <c r="KF165" t="s">
        <v>865</v>
      </c>
      <c r="KG165" t="s">
        <v>796</v>
      </c>
      <c r="KH165" t="s">
        <v>796</v>
      </c>
      <c r="KI165" t="s">
        <v>795</v>
      </c>
      <c r="KJ165" t="s">
        <v>707</v>
      </c>
      <c r="KK165" t="s">
        <v>703</v>
      </c>
      <c r="KL165" t="s">
        <v>858</v>
      </c>
      <c r="KM165" t="s">
        <v>1080</v>
      </c>
      <c r="KN165" t="s">
        <v>1084</v>
      </c>
      <c r="KO165" t="s">
        <v>618</v>
      </c>
      <c r="KP165" t="s">
        <v>707</v>
      </c>
      <c r="KQ165" t="s">
        <v>792</v>
      </c>
      <c r="KR165" t="s">
        <v>880</v>
      </c>
      <c r="KS165" t="s">
        <v>707</v>
      </c>
      <c r="KT165" t="s">
        <v>707</v>
      </c>
      <c r="KU165" t="s">
        <v>879</v>
      </c>
      <c r="KV165" t="s">
        <v>796</v>
      </c>
      <c r="KW165" t="s">
        <v>796</v>
      </c>
      <c r="KX165" t="s">
        <v>795</v>
      </c>
      <c r="KY165" t="s">
        <v>796</v>
      </c>
      <c r="KZ165" t="s">
        <v>707</v>
      </c>
      <c r="LA165" t="s">
        <v>865</v>
      </c>
      <c r="LB165" t="s">
        <v>1026</v>
      </c>
      <c r="LC165" t="s">
        <v>860</v>
      </c>
      <c r="LS165" t="s">
        <v>262</v>
      </c>
      <c r="LT165" t="s">
        <v>793</v>
      </c>
      <c r="LU165" t="s">
        <v>800</v>
      </c>
      <c r="LV165" t="s">
        <v>857</v>
      </c>
      <c r="LW165" t="s">
        <v>796</v>
      </c>
      <c r="LX165" t="s">
        <v>707</v>
      </c>
      <c r="LY165" t="s">
        <v>865</v>
      </c>
      <c r="LZ165" t="s">
        <v>792</v>
      </c>
      <c r="MA165" t="s">
        <v>793</v>
      </c>
      <c r="MB165" t="s">
        <v>866</v>
      </c>
      <c r="MC165" t="s">
        <v>793</v>
      </c>
      <c r="MD165" t="s">
        <v>859</v>
      </c>
      <c r="ME165" t="s">
        <v>861</v>
      </c>
      <c r="MF165" t="s">
        <v>879</v>
      </c>
      <c r="MG165" t="s">
        <v>1202</v>
      </c>
      <c r="MH165" t="s">
        <v>298</v>
      </c>
      <c r="MI165" t="s">
        <v>792</v>
      </c>
      <c r="MJ165" t="s">
        <v>793</v>
      </c>
      <c r="MK165" t="s">
        <v>880</v>
      </c>
      <c r="ML165" t="s">
        <v>796</v>
      </c>
      <c r="MM165" t="s">
        <v>796</v>
      </c>
      <c r="MN165" t="s">
        <v>865</v>
      </c>
      <c r="MO165" t="s">
        <v>796</v>
      </c>
      <c r="MP165" t="s">
        <v>792</v>
      </c>
      <c r="MQ165" t="s">
        <v>795</v>
      </c>
      <c r="MR165" t="s">
        <v>792</v>
      </c>
      <c r="MS165" t="s">
        <v>793</v>
      </c>
      <c r="MT165" t="s">
        <v>880</v>
      </c>
      <c r="MU165" t="s">
        <v>879</v>
      </c>
      <c r="MV165" t="s">
        <v>866</v>
      </c>
      <c r="MW165" t="s">
        <v>500</v>
      </c>
      <c r="MX165" t="s">
        <v>703</v>
      </c>
      <c r="MY165" t="s">
        <v>815</v>
      </c>
      <c r="MZ165" t="s">
        <v>880</v>
      </c>
      <c r="NA165" t="s">
        <v>796</v>
      </c>
      <c r="NB165" t="s">
        <v>796</v>
      </c>
      <c r="NC165" t="s">
        <v>865</v>
      </c>
      <c r="ND165" t="s">
        <v>796</v>
      </c>
      <c r="NE165" t="s">
        <v>796</v>
      </c>
      <c r="NF165" t="s">
        <v>795</v>
      </c>
      <c r="NG165" t="s">
        <v>703</v>
      </c>
      <c r="NH165" t="s">
        <v>815</v>
      </c>
      <c r="NI165" t="s">
        <v>880</v>
      </c>
      <c r="NJ165" t="s">
        <v>879</v>
      </c>
      <c r="NK165" t="s">
        <v>866</v>
      </c>
      <c r="NL165" t="s">
        <v>281</v>
      </c>
      <c r="NM165" t="s">
        <v>796</v>
      </c>
      <c r="NN165" t="s">
        <v>792</v>
      </c>
      <c r="NO165" t="s">
        <v>865</v>
      </c>
      <c r="NP165" t="s">
        <v>796</v>
      </c>
      <c r="NQ165" t="s">
        <v>792</v>
      </c>
      <c r="NR165" t="s">
        <v>865</v>
      </c>
      <c r="NS165" t="s">
        <v>796</v>
      </c>
      <c r="NT165" t="s">
        <v>796</v>
      </c>
      <c r="NU165" t="s">
        <v>795</v>
      </c>
      <c r="NV165" t="s">
        <v>796</v>
      </c>
      <c r="NW165" t="s">
        <v>796</v>
      </c>
      <c r="NX165" t="s">
        <v>865</v>
      </c>
      <c r="NY165" t="s">
        <v>865</v>
      </c>
      <c r="NZ165" t="s">
        <v>795</v>
      </c>
    </row>
    <row r="166" spans="1:390" ht="15.75" hidden="1" customHeight="1" x14ac:dyDescent="0.25">
      <c r="A166" t="s">
        <v>114</v>
      </c>
      <c r="B166" t="s">
        <v>792</v>
      </c>
      <c r="C166" t="s">
        <v>703</v>
      </c>
      <c r="D166" t="s">
        <v>870</v>
      </c>
      <c r="E166" t="s">
        <v>796</v>
      </c>
      <c r="F166" t="s">
        <v>707</v>
      </c>
      <c r="G166" t="s">
        <v>865</v>
      </c>
      <c r="H166" t="s">
        <v>796</v>
      </c>
      <c r="I166" t="s">
        <v>796</v>
      </c>
      <c r="J166" t="s">
        <v>795</v>
      </c>
      <c r="K166" t="s">
        <v>792</v>
      </c>
      <c r="L166" t="s">
        <v>792</v>
      </c>
      <c r="M166" t="s">
        <v>879</v>
      </c>
      <c r="N166" t="s">
        <v>882</v>
      </c>
      <c r="O166" t="s">
        <v>883</v>
      </c>
      <c r="P166" t="s">
        <v>341</v>
      </c>
      <c r="Q166" t="s">
        <v>817</v>
      </c>
      <c r="R166" t="s">
        <v>810</v>
      </c>
      <c r="S166" t="s">
        <v>1034</v>
      </c>
      <c r="T166" t="s">
        <v>707</v>
      </c>
      <c r="U166" t="s">
        <v>815</v>
      </c>
      <c r="V166" t="s">
        <v>1035</v>
      </c>
      <c r="W166" t="s">
        <v>796</v>
      </c>
      <c r="X166" t="s">
        <v>796</v>
      </c>
      <c r="Y166" t="s">
        <v>795</v>
      </c>
      <c r="Z166" t="s">
        <v>793</v>
      </c>
      <c r="AA166" t="s">
        <v>851</v>
      </c>
      <c r="AB166" t="s">
        <v>852</v>
      </c>
      <c r="AC166" t="s">
        <v>1036</v>
      </c>
      <c r="AD166" t="s">
        <v>1037</v>
      </c>
      <c r="AE166" t="s">
        <v>109</v>
      </c>
      <c r="AF166" t="s">
        <v>851</v>
      </c>
      <c r="AG166" t="s">
        <v>821</v>
      </c>
      <c r="AH166" t="s">
        <v>1076</v>
      </c>
      <c r="AI166" t="s">
        <v>707</v>
      </c>
      <c r="AJ166" t="s">
        <v>792</v>
      </c>
      <c r="AK166" t="s">
        <v>880</v>
      </c>
      <c r="AL166" t="s">
        <v>792</v>
      </c>
      <c r="AM166" t="s">
        <v>792</v>
      </c>
      <c r="AN166" t="s">
        <v>806</v>
      </c>
      <c r="AO166" t="s">
        <v>815</v>
      </c>
      <c r="AP166" t="s">
        <v>853</v>
      </c>
      <c r="AQ166" t="s">
        <v>857</v>
      </c>
      <c r="AR166" t="s">
        <v>879</v>
      </c>
      <c r="AS166" t="s">
        <v>1077</v>
      </c>
      <c r="AT166" t="s">
        <v>828</v>
      </c>
      <c r="AU166" t="s">
        <v>1096</v>
      </c>
      <c r="AV166" t="s">
        <v>1122</v>
      </c>
      <c r="AW166" t="s">
        <v>1123</v>
      </c>
      <c r="AX166" t="s">
        <v>810</v>
      </c>
      <c r="AY166" t="s">
        <v>803</v>
      </c>
      <c r="AZ166" t="s">
        <v>1124</v>
      </c>
      <c r="BA166" t="s">
        <v>826</v>
      </c>
      <c r="BB166" t="s">
        <v>826</v>
      </c>
      <c r="BC166" t="s">
        <v>879</v>
      </c>
      <c r="BD166" t="s">
        <v>809</v>
      </c>
      <c r="BE166" t="s">
        <v>1125</v>
      </c>
      <c r="BF166" t="s">
        <v>1126</v>
      </c>
      <c r="BG166" t="s">
        <v>1127</v>
      </c>
      <c r="BH166" t="s">
        <v>1128</v>
      </c>
      <c r="BI166" t="s">
        <v>519</v>
      </c>
      <c r="BJ166" t="s">
        <v>707</v>
      </c>
      <c r="BK166" t="s">
        <v>707</v>
      </c>
      <c r="BL166" t="s">
        <v>879</v>
      </c>
      <c r="BM166" t="s">
        <v>707</v>
      </c>
      <c r="BN166" t="s">
        <v>707</v>
      </c>
      <c r="BO166" t="s">
        <v>879</v>
      </c>
      <c r="BP166" t="s">
        <v>796</v>
      </c>
      <c r="BQ166" t="s">
        <v>796</v>
      </c>
      <c r="BR166" t="s">
        <v>795</v>
      </c>
      <c r="BS166" t="s">
        <v>796</v>
      </c>
      <c r="BT166" t="s">
        <v>796</v>
      </c>
      <c r="BU166" t="s">
        <v>865</v>
      </c>
      <c r="BV166" t="s">
        <v>1163</v>
      </c>
      <c r="BW166" t="s">
        <v>1164</v>
      </c>
      <c r="BX166" t="s">
        <v>828</v>
      </c>
      <c r="BY166" t="s">
        <v>831</v>
      </c>
      <c r="BZ166" t="s">
        <v>1205</v>
      </c>
      <c r="CA166" t="s">
        <v>1206</v>
      </c>
      <c r="CB166" t="s">
        <v>804</v>
      </c>
      <c r="CC166" t="s">
        <v>1020</v>
      </c>
      <c r="CD166" t="s">
        <v>858</v>
      </c>
      <c r="CE166" t="s">
        <v>1023</v>
      </c>
      <c r="CF166" t="s">
        <v>1023</v>
      </c>
      <c r="CG166" t="s">
        <v>879</v>
      </c>
      <c r="CH166" t="s">
        <v>797</v>
      </c>
      <c r="CI166" t="s">
        <v>1207</v>
      </c>
      <c r="CJ166" t="s">
        <v>1208</v>
      </c>
      <c r="CK166" t="s">
        <v>1209</v>
      </c>
      <c r="CL166" t="s">
        <v>1172</v>
      </c>
      <c r="CM166" t="s">
        <v>828</v>
      </c>
      <c r="CN166" t="s">
        <v>1461</v>
      </c>
      <c r="CO166" t="s">
        <v>1462</v>
      </c>
      <c r="CP166" t="s">
        <v>1463</v>
      </c>
      <c r="CQ166" t="s">
        <v>805</v>
      </c>
      <c r="CR166" t="s">
        <v>797</v>
      </c>
      <c r="CS166" t="s">
        <v>1464</v>
      </c>
      <c r="CT166" t="s">
        <v>853</v>
      </c>
      <c r="CU166" t="s">
        <v>1005</v>
      </c>
      <c r="CV166" t="s">
        <v>1201</v>
      </c>
      <c r="CW166" t="s">
        <v>1000</v>
      </c>
      <c r="CX166" t="s">
        <v>1465</v>
      </c>
      <c r="CY166" t="s">
        <v>1466</v>
      </c>
      <c r="CZ166" t="s">
        <v>1467</v>
      </c>
      <c r="DA166" t="s">
        <v>1468</v>
      </c>
      <c r="DB166" t="s">
        <v>102</v>
      </c>
      <c r="DC166" t="s">
        <v>707</v>
      </c>
      <c r="DD166" t="s">
        <v>703</v>
      </c>
      <c r="DE166" t="s">
        <v>858</v>
      </c>
      <c r="DF166" t="s">
        <v>796</v>
      </c>
      <c r="DG166" t="s">
        <v>707</v>
      </c>
      <c r="DH166" t="s">
        <v>865</v>
      </c>
      <c r="DI166" t="s">
        <v>703</v>
      </c>
      <c r="DJ166" t="s">
        <v>793</v>
      </c>
      <c r="DK166" t="s">
        <v>860</v>
      </c>
      <c r="DL166" t="s">
        <v>707</v>
      </c>
      <c r="DM166" t="s">
        <v>792</v>
      </c>
      <c r="DN166" t="s">
        <v>880</v>
      </c>
      <c r="DO166" t="s">
        <v>1087</v>
      </c>
      <c r="DP166" t="s">
        <v>885</v>
      </c>
      <c r="DQ166" t="s">
        <v>828</v>
      </c>
      <c r="DR166" t="s">
        <v>831</v>
      </c>
      <c r="DS166" t="s">
        <v>1462</v>
      </c>
      <c r="DT166" t="s">
        <v>1521</v>
      </c>
      <c r="DU166" t="s">
        <v>851</v>
      </c>
      <c r="DV166" t="s">
        <v>799</v>
      </c>
      <c r="DW166" t="s">
        <v>1522</v>
      </c>
      <c r="DX166" t="s">
        <v>1009</v>
      </c>
      <c r="DY166" t="s">
        <v>1020</v>
      </c>
      <c r="DZ166" t="s">
        <v>1201</v>
      </c>
      <c r="EA166" t="s">
        <v>1004</v>
      </c>
      <c r="EB166" t="s">
        <v>1523</v>
      </c>
      <c r="EC166" t="s">
        <v>880</v>
      </c>
      <c r="ED166" t="s">
        <v>1524</v>
      </c>
      <c r="EE166" t="s">
        <v>1525</v>
      </c>
      <c r="EF166" t="s">
        <v>312</v>
      </c>
      <c r="EG166" t="s">
        <v>703</v>
      </c>
      <c r="EH166" t="s">
        <v>1023</v>
      </c>
      <c r="EI166" t="s">
        <v>1550</v>
      </c>
      <c r="EJ166" t="s">
        <v>792</v>
      </c>
      <c r="EK166" t="s">
        <v>800</v>
      </c>
      <c r="EL166" t="s">
        <v>876</v>
      </c>
      <c r="EM166" t="s">
        <v>817</v>
      </c>
      <c r="EN166" t="s">
        <v>815</v>
      </c>
      <c r="EO166" t="s">
        <v>1028</v>
      </c>
      <c r="EP166" t="s">
        <v>707</v>
      </c>
      <c r="EQ166" t="s">
        <v>815</v>
      </c>
      <c r="ER166" t="s">
        <v>1035</v>
      </c>
      <c r="ES166" t="s">
        <v>1551</v>
      </c>
      <c r="ET166" t="s">
        <v>886</v>
      </c>
      <c r="EU166" t="s">
        <v>828</v>
      </c>
      <c r="EV166" t="s">
        <v>1000</v>
      </c>
      <c r="EW166" t="s">
        <v>1569</v>
      </c>
      <c r="EX166" t="s">
        <v>1570</v>
      </c>
      <c r="EY166" t="s">
        <v>804</v>
      </c>
      <c r="EZ166" t="s">
        <v>1020</v>
      </c>
      <c r="FA166" t="s">
        <v>858</v>
      </c>
      <c r="FB166" t="s">
        <v>798</v>
      </c>
      <c r="FC166" t="s">
        <v>1004</v>
      </c>
      <c r="FD166" t="s">
        <v>1571</v>
      </c>
      <c r="FE166" t="s">
        <v>693</v>
      </c>
      <c r="FF166" t="s">
        <v>893</v>
      </c>
      <c r="FG166" t="s">
        <v>1572</v>
      </c>
      <c r="FH166" t="s">
        <v>1573</v>
      </c>
      <c r="FI166" t="s">
        <v>1525</v>
      </c>
      <c r="FJ166" t="s">
        <v>558</v>
      </c>
      <c r="FK166" t="s">
        <v>796</v>
      </c>
      <c r="FL166" t="s">
        <v>707</v>
      </c>
      <c r="FM166" t="s">
        <v>865</v>
      </c>
      <c r="FN166" t="s">
        <v>796</v>
      </c>
      <c r="FO166" t="s">
        <v>796</v>
      </c>
      <c r="FP166" t="s">
        <v>865</v>
      </c>
      <c r="FQ166" t="s">
        <v>796</v>
      </c>
      <c r="FR166" t="s">
        <v>796</v>
      </c>
      <c r="FS166" t="s">
        <v>795</v>
      </c>
      <c r="FT166" t="s">
        <v>796</v>
      </c>
      <c r="FU166" t="s">
        <v>707</v>
      </c>
      <c r="FV166" t="s">
        <v>865</v>
      </c>
      <c r="FW166" t="s">
        <v>865</v>
      </c>
      <c r="FX166" t="s">
        <v>795</v>
      </c>
      <c r="FY166" t="s">
        <v>828</v>
      </c>
      <c r="FZ166" t="s">
        <v>1482</v>
      </c>
      <c r="GA166" t="s">
        <v>1039</v>
      </c>
      <c r="GB166" t="s">
        <v>1345</v>
      </c>
      <c r="GC166" t="s">
        <v>851</v>
      </c>
      <c r="GD166" t="s">
        <v>693</v>
      </c>
      <c r="GE166" t="s">
        <v>1619</v>
      </c>
      <c r="GF166" t="s">
        <v>803</v>
      </c>
      <c r="GG166" t="s">
        <v>998</v>
      </c>
      <c r="GH166" t="s">
        <v>1620</v>
      </c>
      <c r="GI166" t="s">
        <v>1000</v>
      </c>
      <c r="GJ166" t="s">
        <v>1465</v>
      </c>
      <c r="GK166" t="s">
        <v>1466</v>
      </c>
      <c r="GL166" t="s">
        <v>1621</v>
      </c>
      <c r="GM166" t="s">
        <v>896</v>
      </c>
      <c r="GN166" t="s">
        <v>188</v>
      </c>
      <c r="GO166" t="s">
        <v>796</v>
      </c>
      <c r="GP166" t="s">
        <v>796</v>
      </c>
      <c r="GQ166" t="s">
        <v>865</v>
      </c>
      <c r="GR166" t="s">
        <v>796</v>
      </c>
      <c r="GS166" t="s">
        <v>796</v>
      </c>
      <c r="GT166" t="s">
        <v>865</v>
      </c>
      <c r="GU166" t="s">
        <v>796</v>
      </c>
      <c r="GV166" t="s">
        <v>796</v>
      </c>
      <c r="GW166" t="s">
        <v>795</v>
      </c>
      <c r="GX166" t="s">
        <v>796</v>
      </c>
      <c r="GY166" t="s">
        <v>796</v>
      </c>
      <c r="GZ166" t="s">
        <v>865</v>
      </c>
      <c r="HA166" t="s">
        <v>865</v>
      </c>
      <c r="HB166" t="s">
        <v>795</v>
      </c>
      <c r="HC166" t="s">
        <v>401</v>
      </c>
      <c r="HD166" t="s">
        <v>707</v>
      </c>
      <c r="HE166" t="s">
        <v>792</v>
      </c>
      <c r="HF166" t="s">
        <v>880</v>
      </c>
      <c r="HG166" t="s">
        <v>796</v>
      </c>
      <c r="HH166" t="s">
        <v>796</v>
      </c>
      <c r="HI166" t="s">
        <v>865</v>
      </c>
      <c r="HJ166" t="s">
        <v>792</v>
      </c>
      <c r="HK166" t="s">
        <v>792</v>
      </c>
      <c r="HL166" t="s">
        <v>806</v>
      </c>
      <c r="HM166" t="s">
        <v>707</v>
      </c>
      <c r="HN166" t="s">
        <v>792</v>
      </c>
      <c r="HO166" t="s">
        <v>880</v>
      </c>
      <c r="HP166" t="s">
        <v>884</v>
      </c>
      <c r="HQ166" t="s">
        <v>866</v>
      </c>
      <c r="HR166" t="s">
        <v>897</v>
      </c>
      <c r="IG166" t="s">
        <v>897</v>
      </c>
      <c r="IV166" t="s">
        <v>219</v>
      </c>
      <c r="IW166" t="s">
        <v>707</v>
      </c>
      <c r="IX166" t="s">
        <v>703</v>
      </c>
      <c r="IY166" t="s">
        <v>858</v>
      </c>
      <c r="IZ166" t="s">
        <v>796</v>
      </c>
      <c r="JA166" t="s">
        <v>707</v>
      </c>
      <c r="JB166" t="s">
        <v>865</v>
      </c>
      <c r="JC166" t="s">
        <v>796</v>
      </c>
      <c r="JD166" t="s">
        <v>796</v>
      </c>
      <c r="JE166" t="s">
        <v>795</v>
      </c>
      <c r="JF166" t="s">
        <v>707</v>
      </c>
      <c r="JG166" t="s">
        <v>792</v>
      </c>
      <c r="JH166" t="s">
        <v>880</v>
      </c>
      <c r="JI166" t="s">
        <v>870</v>
      </c>
      <c r="JJ166" t="s">
        <v>885</v>
      </c>
      <c r="JK166" t="s">
        <v>828</v>
      </c>
      <c r="JL166" t="s">
        <v>1451</v>
      </c>
      <c r="JM166" t="s">
        <v>1039</v>
      </c>
      <c r="JN166" t="s">
        <v>1734</v>
      </c>
      <c r="JO166" t="s">
        <v>815</v>
      </c>
      <c r="JP166" t="s">
        <v>1005</v>
      </c>
      <c r="JQ166" t="s">
        <v>858</v>
      </c>
      <c r="JR166" t="s">
        <v>1009</v>
      </c>
      <c r="JS166" t="s">
        <v>693</v>
      </c>
      <c r="JT166" t="s">
        <v>1735</v>
      </c>
      <c r="JU166" t="s">
        <v>791</v>
      </c>
      <c r="JV166" t="s">
        <v>1736</v>
      </c>
      <c r="JW166" t="s">
        <v>1737</v>
      </c>
      <c r="JX166" t="s">
        <v>1738</v>
      </c>
      <c r="JY166" t="s">
        <v>1739</v>
      </c>
      <c r="JZ166" t="s">
        <v>445</v>
      </c>
      <c r="KA166" t="s">
        <v>796</v>
      </c>
      <c r="KB166" t="s">
        <v>792</v>
      </c>
      <c r="KC166" t="s">
        <v>865</v>
      </c>
      <c r="KD166" t="s">
        <v>796</v>
      </c>
      <c r="KE166" t="s">
        <v>796</v>
      </c>
      <c r="KF166" t="s">
        <v>865</v>
      </c>
      <c r="KG166" t="s">
        <v>796</v>
      </c>
      <c r="KH166" t="s">
        <v>796</v>
      </c>
      <c r="KI166" t="s">
        <v>795</v>
      </c>
      <c r="KJ166" t="s">
        <v>796</v>
      </c>
      <c r="KK166" t="s">
        <v>792</v>
      </c>
      <c r="KL166" t="s">
        <v>865</v>
      </c>
      <c r="KM166" t="s">
        <v>865</v>
      </c>
      <c r="KN166" t="s">
        <v>795</v>
      </c>
      <c r="KO166" t="s">
        <v>828</v>
      </c>
      <c r="KP166" t="s">
        <v>1096</v>
      </c>
      <c r="KQ166" t="s">
        <v>888</v>
      </c>
      <c r="KR166" t="s">
        <v>1764</v>
      </c>
      <c r="KS166" t="s">
        <v>815</v>
      </c>
      <c r="KT166" t="s">
        <v>826</v>
      </c>
      <c r="KU166" t="s">
        <v>1765</v>
      </c>
      <c r="KV166" t="s">
        <v>803</v>
      </c>
      <c r="KW166" t="s">
        <v>809</v>
      </c>
      <c r="KX166" t="s">
        <v>1766</v>
      </c>
      <c r="KY166" t="s">
        <v>1004</v>
      </c>
      <c r="KZ166" t="s">
        <v>1767</v>
      </c>
      <c r="LA166" t="s">
        <v>1684</v>
      </c>
      <c r="LB166" t="s">
        <v>1121</v>
      </c>
      <c r="LC166" t="s">
        <v>1739</v>
      </c>
      <c r="LD166" t="s">
        <v>898</v>
      </c>
      <c r="LS166" t="s">
        <v>255</v>
      </c>
      <c r="LT166" t="s">
        <v>793</v>
      </c>
      <c r="LU166" t="s">
        <v>800</v>
      </c>
      <c r="LV166" t="s">
        <v>857</v>
      </c>
      <c r="LW166" t="s">
        <v>796</v>
      </c>
      <c r="LX166" t="s">
        <v>796</v>
      </c>
      <c r="LY166" t="s">
        <v>865</v>
      </c>
      <c r="LZ166" t="s">
        <v>796</v>
      </c>
      <c r="MA166" t="s">
        <v>796</v>
      </c>
      <c r="MB166" t="s">
        <v>795</v>
      </c>
      <c r="MC166" t="s">
        <v>793</v>
      </c>
      <c r="MD166" t="s">
        <v>800</v>
      </c>
      <c r="ME166" t="s">
        <v>857</v>
      </c>
      <c r="MF166" t="s">
        <v>1118</v>
      </c>
      <c r="MG166" t="s">
        <v>1202</v>
      </c>
      <c r="MH166" t="s">
        <v>623</v>
      </c>
      <c r="MI166" t="s">
        <v>703</v>
      </c>
      <c r="MJ166" t="s">
        <v>851</v>
      </c>
      <c r="MK166" t="s">
        <v>1115</v>
      </c>
      <c r="ML166" t="s">
        <v>796</v>
      </c>
      <c r="MM166" t="s">
        <v>796</v>
      </c>
      <c r="MN166" t="s">
        <v>865</v>
      </c>
      <c r="MO166" t="s">
        <v>707</v>
      </c>
      <c r="MP166" t="s">
        <v>792</v>
      </c>
      <c r="MQ166" t="s">
        <v>866</v>
      </c>
      <c r="MR166" t="s">
        <v>703</v>
      </c>
      <c r="MS166" t="s">
        <v>851</v>
      </c>
      <c r="MT166" t="s">
        <v>1115</v>
      </c>
      <c r="MU166" t="s">
        <v>879</v>
      </c>
      <c r="MV166" t="s">
        <v>1082</v>
      </c>
      <c r="MW166" t="s">
        <v>227</v>
      </c>
      <c r="MX166" t="s">
        <v>792</v>
      </c>
      <c r="MY166" t="s">
        <v>851</v>
      </c>
      <c r="MZ166" t="s">
        <v>1080</v>
      </c>
      <c r="NA166" t="s">
        <v>792</v>
      </c>
      <c r="NB166" t="s">
        <v>792</v>
      </c>
      <c r="NC166" t="s">
        <v>879</v>
      </c>
      <c r="ND166" t="s">
        <v>792</v>
      </c>
      <c r="NE166" t="s">
        <v>792</v>
      </c>
      <c r="NF166" t="s">
        <v>806</v>
      </c>
      <c r="NG166" t="s">
        <v>796</v>
      </c>
      <c r="NH166" t="s">
        <v>817</v>
      </c>
      <c r="NI166" t="s">
        <v>865</v>
      </c>
      <c r="NJ166" t="s">
        <v>1081</v>
      </c>
      <c r="NK166" t="s">
        <v>1082</v>
      </c>
      <c r="NL166" t="s">
        <v>828</v>
      </c>
      <c r="NM166" t="s">
        <v>1181</v>
      </c>
      <c r="NN166" t="s">
        <v>1039</v>
      </c>
      <c r="NO166" t="s">
        <v>1850</v>
      </c>
      <c r="NP166" t="s">
        <v>703</v>
      </c>
      <c r="NQ166" t="s">
        <v>1005</v>
      </c>
      <c r="NR166" t="s">
        <v>1035</v>
      </c>
      <c r="NS166" t="s">
        <v>1020</v>
      </c>
      <c r="NT166" t="s">
        <v>693</v>
      </c>
      <c r="NU166" t="s">
        <v>1851</v>
      </c>
      <c r="NV166" t="s">
        <v>1179</v>
      </c>
      <c r="NW166" t="s">
        <v>1736</v>
      </c>
      <c r="NX166" t="s">
        <v>1852</v>
      </c>
      <c r="NY166" t="s">
        <v>1209</v>
      </c>
      <c r="NZ166" t="s">
        <v>1525</v>
      </c>
    </row>
    <row r="167" spans="1:390" ht="15.75" hidden="1" customHeight="1" x14ac:dyDescent="0.25">
      <c r="A167" t="s">
        <v>814</v>
      </c>
      <c r="B167" t="s">
        <v>792</v>
      </c>
      <c r="C167" t="s">
        <v>815</v>
      </c>
      <c r="D167" t="s">
        <v>858</v>
      </c>
      <c r="E167" t="s">
        <v>792</v>
      </c>
      <c r="F167" t="s">
        <v>817</v>
      </c>
      <c r="G167" t="s">
        <v>857</v>
      </c>
      <c r="H167" t="s">
        <v>796</v>
      </c>
      <c r="I167" t="s">
        <v>796</v>
      </c>
      <c r="J167" t="s">
        <v>795</v>
      </c>
      <c r="K167" t="s">
        <v>796</v>
      </c>
      <c r="L167" t="s">
        <v>707</v>
      </c>
      <c r="M167" t="s">
        <v>865</v>
      </c>
      <c r="N167" t="s">
        <v>879</v>
      </c>
      <c r="O167" t="s">
        <v>866</v>
      </c>
      <c r="P167" t="s">
        <v>348</v>
      </c>
      <c r="Q167" t="s">
        <v>707</v>
      </c>
      <c r="R167" t="s">
        <v>703</v>
      </c>
      <c r="S167" t="s">
        <v>858</v>
      </c>
      <c r="T167" t="s">
        <v>796</v>
      </c>
      <c r="U167" t="s">
        <v>707</v>
      </c>
      <c r="V167" t="s">
        <v>865</v>
      </c>
      <c r="W167" t="s">
        <v>796</v>
      </c>
      <c r="X167" t="s">
        <v>796</v>
      </c>
      <c r="Y167" t="s">
        <v>795</v>
      </c>
      <c r="Z167" t="s">
        <v>707</v>
      </c>
      <c r="AA167" t="s">
        <v>792</v>
      </c>
      <c r="AB167" t="s">
        <v>880</v>
      </c>
      <c r="AC167" t="s">
        <v>870</v>
      </c>
      <c r="AD167" t="s">
        <v>885</v>
      </c>
      <c r="AE167" t="s">
        <v>118</v>
      </c>
      <c r="AF167" t="s">
        <v>796</v>
      </c>
      <c r="AG167" t="s">
        <v>707</v>
      </c>
      <c r="AH167" t="s">
        <v>865</v>
      </c>
      <c r="AI167" t="s">
        <v>796</v>
      </c>
      <c r="AJ167" t="s">
        <v>796</v>
      </c>
      <c r="AK167" t="s">
        <v>865</v>
      </c>
      <c r="AL167" t="s">
        <v>796</v>
      </c>
      <c r="AM167" t="s">
        <v>796</v>
      </c>
      <c r="AN167" t="s">
        <v>795</v>
      </c>
      <c r="AO167" t="s">
        <v>796</v>
      </c>
      <c r="AP167" t="s">
        <v>707</v>
      </c>
      <c r="AQ167" t="s">
        <v>865</v>
      </c>
      <c r="AR167" t="s">
        <v>865</v>
      </c>
      <c r="AS167" t="s">
        <v>795</v>
      </c>
      <c r="BI167" t="s">
        <v>249</v>
      </c>
      <c r="BJ167" t="s">
        <v>707</v>
      </c>
      <c r="BK167" t="s">
        <v>793</v>
      </c>
      <c r="BL167" t="s">
        <v>875</v>
      </c>
      <c r="BM167" t="s">
        <v>796</v>
      </c>
      <c r="BN167" t="s">
        <v>796</v>
      </c>
      <c r="BO167" t="s">
        <v>865</v>
      </c>
      <c r="BP167" t="s">
        <v>796</v>
      </c>
      <c r="BQ167" t="s">
        <v>796</v>
      </c>
      <c r="BR167" t="s">
        <v>795</v>
      </c>
      <c r="BS167" t="s">
        <v>707</v>
      </c>
      <c r="BT167" t="s">
        <v>793</v>
      </c>
      <c r="BU167" t="s">
        <v>875</v>
      </c>
      <c r="BV167" t="s">
        <v>880</v>
      </c>
      <c r="BW167" t="s">
        <v>886</v>
      </c>
      <c r="DB167" t="s">
        <v>278</v>
      </c>
      <c r="DC167" t="s">
        <v>703</v>
      </c>
      <c r="DD167" t="s">
        <v>804</v>
      </c>
      <c r="DE167" t="s">
        <v>1454</v>
      </c>
      <c r="DF167" t="s">
        <v>707</v>
      </c>
      <c r="DG167" t="s">
        <v>817</v>
      </c>
      <c r="DH167" t="s">
        <v>876</v>
      </c>
      <c r="DI167" t="s">
        <v>707</v>
      </c>
      <c r="DJ167" t="s">
        <v>792</v>
      </c>
      <c r="DK167" t="s">
        <v>866</v>
      </c>
      <c r="DL167" t="s">
        <v>792</v>
      </c>
      <c r="DM167" t="s">
        <v>703</v>
      </c>
      <c r="DN167" t="s">
        <v>870</v>
      </c>
      <c r="DO167" t="s">
        <v>879</v>
      </c>
      <c r="DP167" t="s">
        <v>1077</v>
      </c>
      <c r="EF167" t="s">
        <v>317</v>
      </c>
      <c r="EG167" t="s">
        <v>796</v>
      </c>
      <c r="EH167" t="s">
        <v>792</v>
      </c>
      <c r="EI167" t="s">
        <v>865</v>
      </c>
      <c r="EJ167" t="s">
        <v>796</v>
      </c>
      <c r="EK167" t="s">
        <v>796</v>
      </c>
      <c r="EL167" t="s">
        <v>865</v>
      </c>
      <c r="EM167" t="s">
        <v>796</v>
      </c>
      <c r="EN167" t="s">
        <v>792</v>
      </c>
      <c r="EO167" t="s">
        <v>795</v>
      </c>
      <c r="EP167" t="s">
        <v>796</v>
      </c>
      <c r="EQ167" t="s">
        <v>792</v>
      </c>
      <c r="ER167" t="s">
        <v>865</v>
      </c>
      <c r="ES167" t="s">
        <v>865</v>
      </c>
      <c r="ET167" t="s">
        <v>795</v>
      </c>
      <c r="FJ167" t="s">
        <v>162</v>
      </c>
      <c r="FK167" t="s">
        <v>707</v>
      </c>
      <c r="FL167" t="s">
        <v>793</v>
      </c>
      <c r="FM167" t="s">
        <v>875</v>
      </c>
      <c r="FN167" t="s">
        <v>796</v>
      </c>
      <c r="FO167" t="s">
        <v>707</v>
      </c>
      <c r="FP167" t="s">
        <v>865</v>
      </c>
      <c r="FQ167" t="s">
        <v>796</v>
      </c>
      <c r="FR167" t="s">
        <v>796</v>
      </c>
      <c r="FS167" t="s">
        <v>795</v>
      </c>
      <c r="FT167" t="s">
        <v>707</v>
      </c>
      <c r="FU167" t="s">
        <v>703</v>
      </c>
      <c r="FV167" t="s">
        <v>858</v>
      </c>
      <c r="FW167" t="s">
        <v>880</v>
      </c>
      <c r="FX167" t="s">
        <v>886</v>
      </c>
      <c r="GN167" t="s">
        <v>187</v>
      </c>
      <c r="GO167" t="s">
        <v>796</v>
      </c>
      <c r="GP167" t="s">
        <v>703</v>
      </c>
      <c r="GQ167" t="s">
        <v>865</v>
      </c>
      <c r="GR167" t="s">
        <v>796</v>
      </c>
      <c r="GS167" t="s">
        <v>707</v>
      </c>
      <c r="GT167" t="s">
        <v>865</v>
      </c>
      <c r="GU167" t="s">
        <v>796</v>
      </c>
      <c r="GV167" t="s">
        <v>796</v>
      </c>
      <c r="GW167" t="s">
        <v>795</v>
      </c>
      <c r="GX167" t="s">
        <v>796</v>
      </c>
      <c r="GY167" t="s">
        <v>792</v>
      </c>
      <c r="GZ167" t="s">
        <v>865</v>
      </c>
      <c r="HA167" t="s">
        <v>865</v>
      </c>
      <c r="HB167" t="s">
        <v>795</v>
      </c>
      <c r="HC167" t="s">
        <v>194</v>
      </c>
      <c r="HD167" t="s">
        <v>703</v>
      </c>
      <c r="HE167" t="s">
        <v>859</v>
      </c>
      <c r="HF167" t="s">
        <v>858</v>
      </c>
      <c r="HG167" t="s">
        <v>707</v>
      </c>
      <c r="HH167" t="s">
        <v>793</v>
      </c>
      <c r="HI167" t="s">
        <v>875</v>
      </c>
      <c r="HJ167" t="s">
        <v>796</v>
      </c>
      <c r="HK167" t="s">
        <v>796</v>
      </c>
      <c r="HL167" t="s">
        <v>795</v>
      </c>
      <c r="HM167" t="s">
        <v>792</v>
      </c>
      <c r="HN167" t="s">
        <v>817</v>
      </c>
      <c r="HO167" t="s">
        <v>857</v>
      </c>
      <c r="HP167" t="s">
        <v>1548</v>
      </c>
      <c r="HQ167" t="s">
        <v>1549</v>
      </c>
      <c r="IV167" t="s">
        <v>468</v>
      </c>
      <c r="IW167" t="s">
        <v>703</v>
      </c>
      <c r="IX167" t="s">
        <v>697</v>
      </c>
      <c r="IY167" t="s">
        <v>875</v>
      </c>
      <c r="IZ167" t="s">
        <v>796</v>
      </c>
      <c r="JA167" t="s">
        <v>817</v>
      </c>
      <c r="JB167" t="s">
        <v>865</v>
      </c>
      <c r="JC167" t="s">
        <v>796</v>
      </c>
      <c r="JD167" t="s">
        <v>796</v>
      </c>
      <c r="JE167" t="s">
        <v>795</v>
      </c>
      <c r="JF167" t="s">
        <v>703</v>
      </c>
      <c r="JG167" t="s">
        <v>851</v>
      </c>
      <c r="JH167" t="s">
        <v>1115</v>
      </c>
      <c r="JI167" t="s">
        <v>880</v>
      </c>
      <c r="JJ167" t="s">
        <v>886</v>
      </c>
      <c r="JZ167" t="s">
        <v>444</v>
      </c>
      <c r="KA167" t="s">
        <v>796</v>
      </c>
      <c r="KB167" t="s">
        <v>792</v>
      </c>
      <c r="KC167" t="s">
        <v>865</v>
      </c>
      <c r="KD167" t="s">
        <v>796</v>
      </c>
      <c r="KE167" t="s">
        <v>707</v>
      </c>
      <c r="KF167" t="s">
        <v>865</v>
      </c>
      <c r="KG167" t="s">
        <v>796</v>
      </c>
      <c r="KH167" t="s">
        <v>796</v>
      </c>
      <c r="KI167" t="s">
        <v>795</v>
      </c>
      <c r="KJ167" t="s">
        <v>796</v>
      </c>
      <c r="KK167" t="s">
        <v>707</v>
      </c>
      <c r="KL167" t="s">
        <v>865</v>
      </c>
      <c r="KM167" t="s">
        <v>865</v>
      </c>
      <c r="KN167" t="s">
        <v>795</v>
      </c>
      <c r="LD167" t="s">
        <v>899</v>
      </c>
      <c r="LS167" t="s">
        <v>598</v>
      </c>
      <c r="LT167" t="s">
        <v>792</v>
      </c>
      <c r="LU167" t="s">
        <v>697</v>
      </c>
      <c r="LV167" t="s">
        <v>1035</v>
      </c>
      <c r="LW167" t="s">
        <v>796</v>
      </c>
      <c r="LX167" t="s">
        <v>793</v>
      </c>
      <c r="LY167" t="s">
        <v>865</v>
      </c>
      <c r="LZ167" t="s">
        <v>707</v>
      </c>
      <c r="MA167" t="s">
        <v>792</v>
      </c>
      <c r="MB167" t="s">
        <v>866</v>
      </c>
      <c r="MC167" t="s">
        <v>792</v>
      </c>
      <c r="MD167" t="s">
        <v>804</v>
      </c>
      <c r="ME167" t="s">
        <v>875</v>
      </c>
      <c r="MF167" t="s">
        <v>1515</v>
      </c>
      <c r="MG167" t="s">
        <v>1733</v>
      </c>
      <c r="MH167" t="s">
        <v>466</v>
      </c>
      <c r="MI167" t="s">
        <v>707</v>
      </c>
      <c r="MJ167" t="s">
        <v>804</v>
      </c>
      <c r="MK167" t="s">
        <v>1203</v>
      </c>
      <c r="ML167" t="s">
        <v>796</v>
      </c>
      <c r="MM167" t="s">
        <v>703</v>
      </c>
      <c r="MN167" t="s">
        <v>865</v>
      </c>
      <c r="MO167" t="s">
        <v>817</v>
      </c>
      <c r="MP167" t="s">
        <v>815</v>
      </c>
      <c r="MQ167" t="s">
        <v>1028</v>
      </c>
      <c r="MR167" t="s">
        <v>707</v>
      </c>
      <c r="MS167" t="s">
        <v>817</v>
      </c>
      <c r="MT167" t="s">
        <v>876</v>
      </c>
      <c r="MU167" t="s">
        <v>1519</v>
      </c>
      <c r="MV167" t="s">
        <v>1204</v>
      </c>
      <c r="MW167" t="s">
        <v>499</v>
      </c>
      <c r="MX167" t="s">
        <v>703</v>
      </c>
      <c r="MY167" t="s">
        <v>851</v>
      </c>
      <c r="MZ167" t="s">
        <v>1115</v>
      </c>
      <c r="NA167" t="s">
        <v>796</v>
      </c>
      <c r="NB167" t="s">
        <v>792</v>
      </c>
      <c r="NC167" t="s">
        <v>865</v>
      </c>
      <c r="ND167" t="s">
        <v>796</v>
      </c>
      <c r="NE167" t="s">
        <v>707</v>
      </c>
      <c r="NF167" t="s">
        <v>795</v>
      </c>
      <c r="NG167" t="s">
        <v>703</v>
      </c>
      <c r="NH167" t="s">
        <v>817</v>
      </c>
      <c r="NI167" t="s">
        <v>1078</v>
      </c>
      <c r="NJ167" t="s">
        <v>1452</v>
      </c>
      <c r="NK167" t="s">
        <v>1082</v>
      </c>
    </row>
    <row r="168" spans="1:390" ht="15.75" hidden="1" customHeight="1" x14ac:dyDescent="0.25">
      <c r="A168" t="s">
        <v>148</v>
      </c>
      <c r="B168" t="s">
        <v>707</v>
      </c>
      <c r="C168" t="s">
        <v>703</v>
      </c>
      <c r="D168" t="s">
        <v>858</v>
      </c>
      <c r="E168" t="s">
        <v>796</v>
      </c>
      <c r="F168" t="s">
        <v>707</v>
      </c>
      <c r="G168" t="s">
        <v>865</v>
      </c>
      <c r="H168" t="s">
        <v>796</v>
      </c>
      <c r="I168" t="s">
        <v>796</v>
      </c>
      <c r="J168" t="s">
        <v>795</v>
      </c>
      <c r="K168" t="s">
        <v>707</v>
      </c>
      <c r="L168" t="s">
        <v>792</v>
      </c>
      <c r="M168" t="s">
        <v>880</v>
      </c>
      <c r="N168" t="s">
        <v>870</v>
      </c>
      <c r="O168" t="s">
        <v>885</v>
      </c>
      <c r="P168" t="s">
        <v>353</v>
      </c>
      <c r="Q168" t="s">
        <v>796</v>
      </c>
      <c r="R168" t="s">
        <v>796</v>
      </c>
      <c r="S168" t="s">
        <v>865</v>
      </c>
      <c r="T168" t="s">
        <v>796</v>
      </c>
      <c r="U168" t="s">
        <v>796</v>
      </c>
      <c r="V168" t="s">
        <v>865</v>
      </c>
      <c r="W168" t="s">
        <v>796</v>
      </c>
      <c r="X168" t="s">
        <v>796</v>
      </c>
      <c r="Y168" t="s">
        <v>795</v>
      </c>
      <c r="Z168" t="s">
        <v>796</v>
      </c>
      <c r="AA168" t="s">
        <v>796</v>
      </c>
      <c r="AB168" t="s">
        <v>865</v>
      </c>
      <c r="AC168" t="s">
        <v>865</v>
      </c>
      <c r="AD168" t="s">
        <v>795</v>
      </c>
      <c r="AE168" t="s">
        <v>235</v>
      </c>
      <c r="AF168" t="s">
        <v>707</v>
      </c>
      <c r="AG168" t="s">
        <v>703</v>
      </c>
      <c r="AH168" t="s">
        <v>858</v>
      </c>
      <c r="AI168" t="s">
        <v>796</v>
      </c>
      <c r="AJ168" t="s">
        <v>792</v>
      </c>
      <c r="AK168" t="s">
        <v>865</v>
      </c>
      <c r="AL168" t="s">
        <v>796</v>
      </c>
      <c r="AM168" t="s">
        <v>796</v>
      </c>
      <c r="AN168" t="s">
        <v>795</v>
      </c>
      <c r="AO168" t="s">
        <v>707</v>
      </c>
      <c r="AP168" t="s">
        <v>707</v>
      </c>
      <c r="AQ168" t="s">
        <v>879</v>
      </c>
      <c r="AR168" t="s">
        <v>870</v>
      </c>
      <c r="AS168" t="s">
        <v>885</v>
      </c>
      <c r="AT168" t="s">
        <v>897</v>
      </c>
      <c r="BI168" t="s">
        <v>510</v>
      </c>
      <c r="BJ168" t="s">
        <v>793</v>
      </c>
      <c r="BK168" t="s">
        <v>859</v>
      </c>
      <c r="BL168" t="s">
        <v>861</v>
      </c>
      <c r="BM168" t="s">
        <v>707</v>
      </c>
      <c r="BN168" t="s">
        <v>792</v>
      </c>
      <c r="BO168" t="s">
        <v>880</v>
      </c>
      <c r="BP168" t="s">
        <v>796</v>
      </c>
      <c r="BQ168" t="s">
        <v>796</v>
      </c>
      <c r="BR168" t="s">
        <v>795</v>
      </c>
      <c r="BS168" t="s">
        <v>703</v>
      </c>
      <c r="BT168" t="s">
        <v>851</v>
      </c>
      <c r="BU168" t="s">
        <v>1115</v>
      </c>
      <c r="BV168" t="s">
        <v>879</v>
      </c>
      <c r="BW168" t="s">
        <v>866</v>
      </c>
      <c r="BX168" t="s">
        <v>897</v>
      </c>
      <c r="CM168" t="s">
        <v>897</v>
      </c>
      <c r="DB168" t="s">
        <v>90</v>
      </c>
      <c r="DC168" t="s">
        <v>707</v>
      </c>
      <c r="DD168" t="s">
        <v>851</v>
      </c>
      <c r="DE168" t="s">
        <v>1083</v>
      </c>
      <c r="DF168" t="s">
        <v>707</v>
      </c>
      <c r="DG168" t="s">
        <v>792</v>
      </c>
      <c r="DH168" t="s">
        <v>880</v>
      </c>
      <c r="DI168" t="s">
        <v>793</v>
      </c>
      <c r="DJ168" t="s">
        <v>793</v>
      </c>
      <c r="DK168" t="s">
        <v>806</v>
      </c>
      <c r="DL168" t="s">
        <v>796</v>
      </c>
      <c r="DM168" t="s">
        <v>817</v>
      </c>
      <c r="DN168" t="s">
        <v>865</v>
      </c>
      <c r="DO168" t="s">
        <v>879</v>
      </c>
      <c r="DP168" t="s">
        <v>1490</v>
      </c>
      <c r="DQ168" t="s">
        <v>897</v>
      </c>
      <c r="EF168" t="s">
        <v>607</v>
      </c>
      <c r="EG168" t="s">
        <v>796</v>
      </c>
      <c r="EH168" t="s">
        <v>796</v>
      </c>
      <c r="EI168" t="s">
        <v>865</v>
      </c>
      <c r="EJ168" t="s">
        <v>796</v>
      </c>
      <c r="EK168" t="s">
        <v>796</v>
      </c>
      <c r="EL168" t="s">
        <v>865</v>
      </c>
      <c r="EM168" t="s">
        <v>796</v>
      </c>
      <c r="EN168" t="s">
        <v>796</v>
      </c>
      <c r="EO168" t="s">
        <v>795</v>
      </c>
      <c r="EP168" t="s">
        <v>796</v>
      </c>
      <c r="EQ168" t="s">
        <v>796</v>
      </c>
      <c r="ER168" t="s">
        <v>865</v>
      </c>
      <c r="ES168" t="s">
        <v>865</v>
      </c>
      <c r="ET168" t="s">
        <v>795</v>
      </c>
      <c r="EU168" t="s">
        <v>897</v>
      </c>
      <c r="FJ168" t="s">
        <v>159</v>
      </c>
      <c r="FK168" t="s">
        <v>792</v>
      </c>
      <c r="FL168" t="s">
        <v>859</v>
      </c>
      <c r="FM168" t="s">
        <v>1517</v>
      </c>
      <c r="FN168" t="s">
        <v>796</v>
      </c>
      <c r="FO168" t="s">
        <v>703</v>
      </c>
      <c r="FP168" t="s">
        <v>865</v>
      </c>
      <c r="FQ168" t="s">
        <v>796</v>
      </c>
      <c r="FR168" t="s">
        <v>796</v>
      </c>
      <c r="FS168" t="s">
        <v>795</v>
      </c>
      <c r="FT168" t="s">
        <v>792</v>
      </c>
      <c r="FU168" t="s">
        <v>815</v>
      </c>
      <c r="FV168" t="s">
        <v>858</v>
      </c>
      <c r="FW168" t="s">
        <v>861</v>
      </c>
      <c r="FX168" t="s">
        <v>1597</v>
      </c>
      <c r="FY168" t="s">
        <v>897</v>
      </c>
      <c r="GN168" t="s">
        <v>828</v>
      </c>
      <c r="GO168" t="s">
        <v>1165</v>
      </c>
      <c r="GP168" t="s">
        <v>1639</v>
      </c>
      <c r="GQ168" t="s">
        <v>1640</v>
      </c>
      <c r="GR168" t="s">
        <v>800</v>
      </c>
      <c r="GS168" t="s">
        <v>803</v>
      </c>
      <c r="GT168" t="s">
        <v>1641</v>
      </c>
      <c r="GU168" t="s">
        <v>809</v>
      </c>
      <c r="GV168" t="s">
        <v>1002</v>
      </c>
      <c r="GW168" t="s">
        <v>1642</v>
      </c>
      <c r="GX168" t="s">
        <v>1000</v>
      </c>
      <c r="GY168" t="s">
        <v>1169</v>
      </c>
      <c r="GZ168" t="s">
        <v>880</v>
      </c>
      <c r="HA168" t="s">
        <v>1643</v>
      </c>
      <c r="HB168" t="s">
        <v>1117</v>
      </c>
      <c r="HC168" t="s">
        <v>392</v>
      </c>
      <c r="HD168" t="s">
        <v>703</v>
      </c>
      <c r="HE168" t="s">
        <v>697</v>
      </c>
      <c r="HF168" t="s">
        <v>875</v>
      </c>
      <c r="HG168" t="s">
        <v>792</v>
      </c>
      <c r="HH168" t="s">
        <v>859</v>
      </c>
      <c r="HI168" t="s">
        <v>1517</v>
      </c>
      <c r="HJ168" t="s">
        <v>796</v>
      </c>
      <c r="HK168" t="s">
        <v>796</v>
      </c>
      <c r="HL168" t="s">
        <v>795</v>
      </c>
      <c r="HM168" t="s">
        <v>707</v>
      </c>
      <c r="HN168" t="s">
        <v>703</v>
      </c>
      <c r="HO168" t="s">
        <v>858</v>
      </c>
      <c r="HP168" t="s">
        <v>870</v>
      </c>
      <c r="HQ168" t="s">
        <v>885</v>
      </c>
      <c r="HR168" t="s">
        <v>898</v>
      </c>
      <c r="IG168" t="s">
        <v>898</v>
      </c>
      <c r="IV168" t="s">
        <v>828</v>
      </c>
      <c r="IW168" t="s">
        <v>1096</v>
      </c>
      <c r="IX168" t="s">
        <v>1715</v>
      </c>
      <c r="IY168" t="s">
        <v>1716</v>
      </c>
      <c r="IZ168" t="s">
        <v>703</v>
      </c>
      <c r="JA168" t="s">
        <v>1023</v>
      </c>
      <c r="JB168" t="s">
        <v>1550</v>
      </c>
      <c r="JC168" t="s">
        <v>853</v>
      </c>
      <c r="JD168" t="s">
        <v>1009</v>
      </c>
      <c r="JE168" t="s">
        <v>871</v>
      </c>
      <c r="JF168" t="s">
        <v>1451</v>
      </c>
      <c r="JG168" t="s">
        <v>1717</v>
      </c>
      <c r="JH168" t="s">
        <v>1157</v>
      </c>
      <c r="JI168" t="s">
        <v>1718</v>
      </c>
      <c r="JJ168" t="s">
        <v>1077</v>
      </c>
      <c r="JK168" t="s">
        <v>897</v>
      </c>
      <c r="JZ168" t="s">
        <v>828</v>
      </c>
      <c r="KA168" t="s">
        <v>1179</v>
      </c>
      <c r="KB168" t="s">
        <v>1715</v>
      </c>
      <c r="KC168" t="s">
        <v>1751</v>
      </c>
      <c r="KD168" t="s">
        <v>703</v>
      </c>
      <c r="KE168" t="s">
        <v>803</v>
      </c>
      <c r="KF168" t="s">
        <v>1752</v>
      </c>
      <c r="KG168" t="s">
        <v>799</v>
      </c>
      <c r="KH168" t="s">
        <v>809</v>
      </c>
      <c r="KI168" t="s">
        <v>1168</v>
      </c>
      <c r="KJ168" t="s">
        <v>890</v>
      </c>
      <c r="KK168" t="s">
        <v>1753</v>
      </c>
      <c r="KL168" t="s">
        <v>889</v>
      </c>
      <c r="KM168" t="s">
        <v>1700</v>
      </c>
      <c r="KN168" t="s">
        <v>1082</v>
      </c>
      <c r="KO168" t="s">
        <v>897</v>
      </c>
      <c r="LD168" t="s">
        <v>900</v>
      </c>
      <c r="LS168" t="s">
        <v>828</v>
      </c>
      <c r="LT168" t="s">
        <v>1451</v>
      </c>
      <c r="LU168" t="s">
        <v>1598</v>
      </c>
      <c r="LV168" t="s">
        <v>1115</v>
      </c>
      <c r="LW168" t="s">
        <v>851</v>
      </c>
      <c r="LX168" t="s">
        <v>1020</v>
      </c>
      <c r="LY168" t="s">
        <v>1796</v>
      </c>
      <c r="LZ168" t="s">
        <v>1005</v>
      </c>
      <c r="MA168" t="s">
        <v>798</v>
      </c>
      <c r="MB168" t="s">
        <v>1797</v>
      </c>
      <c r="MC168" t="s">
        <v>693</v>
      </c>
      <c r="MD168" t="s">
        <v>1090</v>
      </c>
      <c r="ME168" t="s">
        <v>1798</v>
      </c>
      <c r="MF168" t="s">
        <v>1799</v>
      </c>
      <c r="MG168" t="s">
        <v>863</v>
      </c>
      <c r="MH168" t="s">
        <v>473</v>
      </c>
      <c r="MI168" t="s">
        <v>796</v>
      </c>
      <c r="MJ168" t="s">
        <v>796</v>
      </c>
      <c r="MK168" t="s">
        <v>865</v>
      </c>
      <c r="ML168" t="s">
        <v>796</v>
      </c>
      <c r="MM168" t="s">
        <v>796</v>
      </c>
      <c r="MN168" t="s">
        <v>865</v>
      </c>
      <c r="MO168" t="s">
        <v>796</v>
      </c>
      <c r="MP168" t="s">
        <v>796</v>
      </c>
      <c r="MQ168" t="s">
        <v>795</v>
      </c>
      <c r="MR168" t="s">
        <v>796</v>
      </c>
      <c r="MS168" t="s">
        <v>796</v>
      </c>
      <c r="MT168" t="s">
        <v>865</v>
      </c>
      <c r="MU168" t="s">
        <v>865</v>
      </c>
      <c r="MV168" t="s">
        <v>795</v>
      </c>
      <c r="MW168" t="s">
        <v>502</v>
      </c>
      <c r="MX168" t="s">
        <v>707</v>
      </c>
      <c r="MY168" t="s">
        <v>815</v>
      </c>
      <c r="MZ168" t="s">
        <v>1035</v>
      </c>
      <c r="NA168" t="s">
        <v>796</v>
      </c>
      <c r="NB168" t="s">
        <v>796</v>
      </c>
      <c r="NC168" t="s">
        <v>865</v>
      </c>
      <c r="ND168" t="s">
        <v>796</v>
      </c>
      <c r="NE168" t="s">
        <v>707</v>
      </c>
      <c r="NF168" t="s">
        <v>795</v>
      </c>
      <c r="NG168" t="s">
        <v>707</v>
      </c>
      <c r="NH168" t="s">
        <v>815</v>
      </c>
      <c r="NI168" t="s">
        <v>1035</v>
      </c>
      <c r="NJ168" t="s">
        <v>858</v>
      </c>
      <c r="NK168" t="s">
        <v>1733</v>
      </c>
      <c r="NL168" t="s">
        <v>897</v>
      </c>
    </row>
    <row r="169" spans="1:390" ht="15.75" hidden="1" customHeight="1" x14ac:dyDescent="0.25">
      <c r="A169" t="s">
        <v>142</v>
      </c>
      <c r="B169" t="s">
        <v>703</v>
      </c>
      <c r="C169" t="s">
        <v>810</v>
      </c>
      <c r="D169" t="s">
        <v>874</v>
      </c>
      <c r="E169" t="s">
        <v>792</v>
      </c>
      <c r="F169" t="s">
        <v>804</v>
      </c>
      <c r="G169" t="s">
        <v>875</v>
      </c>
      <c r="H169" t="s">
        <v>796</v>
      </c>
      <c r="I169" t="s">
        <v>796</v>
      </c>
      <c r="J169" t="s">
        <v>795</v>
      </c>
      <c r="K169" t="s">
        <v>707</v>
      </c>
      <c r="L169" t="s">
        <v>817</v>
      </c>
      <c r="M169" t="s">
        <v>876</v>
      </c>
      <c r="N169" t="s">
        <v>877</v>
      </c>
      <c r="O169" t="s">
        <v>878</v>
      </c>
      <c r="P169" t="s">
        <v>315</v>
      </c>
      <c r="Q169" t="s">
        <v>707</v>
      </c>
      <c r="R169" t="s">
        <v>707</v>
      </c>
      <c r="S169" t="s">
        <v>879</v>
      </c>
      <c r="T169" t="s">
        <v>796</v>
      </c>
      <c r="U169" t="s">
        <v>796</v>
      </c>
      <c r="V169" t="s">
        <v>865</v>
      </c>
      <c r="W169" t="s">
        <v>796</v>
      </c>
      <c r="X169" t="s">
        <v>796</v>
      </c>
      <c r="Y169" t="s">
        <v>795</v>
      </c>
      <c r="Z169" t="s">
        <v>707</v>
      </c>
      <c r="AA169" t="s">
        <v>707</v>
      </c>
      <c r="AB169" t="s">
        <v>879</v>
      </c>
      <c r="AC169" t="s">
        <v>884</v>
      </c>
      <c r="AD169" t="s">
        <v>806</v>
      </c>
      <c r="AE169" t="s">
        <v>230</v>
      </c>
      <c r="AF169" t="s">
        <v>707</v>
      </c>
      <c r="AG169" t="s">
        <v>793</v>
      </c>
      <c r="AH169" t="s">
        <v>875</v>
      </c>
      <c r="AI169" t="s">
        <v>796</v>
      </c>
      <c r="AJ169" t="s">
        <v>796</v>
      </c>
      <c r="AK169" t="s">
        <v>865</v>
      </c>
      <c r="AL169" t="s">
        <v>796</v>
      </c>
      <c r="AM169" t="s">
        <v>796</v>
      </c>
      <c r="AN169" t="s">
        <v>795</v>
      </c>
      <c r="AO169" t="s">
        <v>707</v>
      </c>
      <c r="AP169" t="s">
        <v>793</v>
      </c>
      <c r="AQ169" t="s">
        <v>875</v>
      </c>
      <c r="AR169" t="s">
        <v>880</v>
      </c>
      <c r="AS169" t="s">
        <v>886</v>
      </c>
      <c r="BI169" t="s">
        <v>627</v>
      </c>
      <c r="BJ169" t="s">
        <v>796</v>
      </c>
      <c r="BK169" t="s">
        <v>796</v>
      </c>
      <c r="BL169" t="s">
        <v>865</v>
      </c>
      <c r="BM169" t="s">
        <v>796</v>
      </c>
      <c r="BN169" t="s">
        <v>796</v>
      </c>
      <c r="BO169" t="s">
        <v>865</v>
      </c>
      <c r="BP169" t="s">
        <v>796</v>
      </c>
      <c r="BQ169" t="s">
        <v>796</v>
      </c>
      <c r="BR169" t="s">
        <v>795</v>
      </c>
      <c r="BS169" t="s">
        <v>796</v>
      </c>
      <c r="BT169" t="s">
        <v>796</v>
      </c>
      <c r="BU169" t="s">
        <v>865</v>
      </c>
      <c r="BV169" t="s">
        <v>865</v>
      </c>
      <c r="BW169" t="s">
        <v>795</v>
      </c>
      <c r="DB169" t="s">
        <v>216</v>
      </c>
      <c r="DC169" t="s">
        <v>796</v>
      </c>
      <c r="DD169" t="s">
        <v>707</v>
      </c>
      <c r="DE169" t="s">
        <v>865</v>
      </c>
      <c r="DF169" t="s">
        <v>796</v>
      </c>
      <c r="DG169" t="s">
        <v>707</v>
      </c>
      <c r="DH169" t="s">
        <v>865</v>
      </c>
      <c r="DI169" t="s">
        <v>796</v>
      </c>
      <c r="DJ169" t="s">
        <v>796</v>
      </c>
      <c r="DK169" t="s">
        <v>795</v>
      </c>
      <c r="DL169" t="s">
        <v>796</v>
      </c>
      <c r="DM169" t="s">
        <v>796</v>
      </c>
      <c r="DN169" t="s">
        <v>865</v>
      </c>
      <c r="DO169" t="s">
        <v>865</v>
      </c>
      <c r="DP169" t="s">
        <v>795</v>
      </c>
      <c r="EF169" t="s">
        <v>504</v>
      </c>
      <c r="EG169" t="s">
        <v>796</v>
      </c>
      <c r="EH169" t="s">
        <v>796</v>
      </c>
      <c r="EI169" t="s">
        <v>865</v>
      </c>
      <c r="EJ169" t="s">
        <v>796</v>
      </c>
      <c r="EK169" t="s">
        <v>796</v>
      </c>
      <c r="EL169" t="s">
        <v>865</v>
      </c>
      <c r="EM169" t="s">
        <v>796</v>
      </c>
      <c r="EN169" t="s">
        <v>796</v>
      </c>
      <c r="EO169" t="s">
        <v>795</v>
      </c>
      <c r="EP169" t="s">
        <v>796</v>
      </c>
      <c r="EQ169" t="s">
        <v>796</v>
      </c>
      <c r="ER169" t="s">
        <v>865</v>
      </c>
      <c r="ES169" t="s">
        <v>865</v>
      </c>
      <c r="ET169" t="s">
        <v>795</v>
      </c>
      <c r="FJ169" t="s">
        <v>518</v>
      </c>
      <c r="FK169" t="s">
        <v>796</v>
      </c>
      <c r="FL169" t="s">
        <v>707</v>
      </c>
      <c r="FM169" t="s">
        <v>865</v>
      </c>
      <c r="FN169" t="s">
        <v>796</v>
      </c>
      <c r="FO169" t="s">
        <v>796</v>
      </c>
      <c r="FP169" t="s">
        <v>865</v>
      </c>
      <c r="FQ169" t="s">
        <v>796</v>
      </c>
      <c r="FR169" t="s">
        <v>796</v>
      </c>
      <c r="FS169" t="s">
        <v>795</v>
      </c>
      <c r="FT169" t="s">
        <v>796</v>
      </c>
      <c r="FU169" t="s">
        <v>707</v>
      </c>
      <c r="FV169" t="s">
        <v>865</v>
      </c>
      <c r="FW169" t="s">
        <v>865</v>
      </c>
      <c r="FX169" t="s">
        <v>795</v>
      </c>
      <c r="HC169" t="s">
        <v>396</v>
      </c>
      <c r="HD169" t="s">
        <v>796</v>
      </c>
      <c r="HE169" t="s">
        <v>796</v>
      </c>
      <c r="HF169" t="s">
        <v>865</v>
      </c>
      <c r="HG169" t="s">
        <v>796</v>
      </c>
      <c r="HH169" t="s">
        <v>796</v>
      </c>
      <c r="HI169" t="s">
        <v>865</v>
      </c>
      <c r="HJ169" t="s">
        <v>796</v>
      </c>
      <c r="HK169" t="s">
        <v>796</v>
      </c>
      <c r="HL169" t="s">
        <v>795</v>
      </c>
      <c r="HM169" t="s">
        <v>796</v>
      </c>
      <c r="HN169" t="s">
        <v>796</v>
      </c>
      <c r="HO169" t="s">
        <v>865</v>
      </c>
      <c r="HP169" t="s">
        <v>865</v>
      </c>
      <c r="HQ169" t="s">
        <v>795</v>
      </c>
      <c r="HR169" t="s">
        <v>899</v>
      </c>
      <c r="IG169" t="s">
        <v>899</v>
      </c>
      <c r="LD169" t="s">
        <v>901</v>
      </c>
      <c r="MH169" t="s">
        <v>347</v>
      </c>
      <c r="MI169" t="s">
        <v>796</v>
      </c>
      <c r="MJ169" t="s">
        <v>792</v>
      </c>
      <c r="MK169" t="s">
        <v>865</v>
      </c>
      <c r="ML169" t="s">
        <v>796</v>
      </c>
      <c r="MM169" t="s">
        <v>796</v>
      </c>
      <c r="MN169" t="s">
        <v>865</v>
      </c>
      <c r="MO169" t="s">
        <v>796</v>
      </c>
      <c r="MP169" t="s">
        <v>796</v>
      </c>
      <c r="MQ169" t="s">
        <v>795</v>
      </c>
      <c r="MR169" t="s">
        <v>796</v>
      </c>
      <c r="MS169" t="s">
        <v>792</v>
      </c>
      <c r="MT169" t="s">
        <v>865</v>
      </c>
      <c r="MU169" t="s">
        <v>865</v>
      </c>
      <c r="MV169" t="s">
        <v>795</v>
      </c>
      <c r="MW169" t="s">
        <v>626</v>
      </c>
      <c r="MX169" t="s">
        <v>796</v>
      </c>
      <c r="MY169" t="s">
        <v>707</v>
      </c>
      <c r="MZ169" t="s">
        <v>865</v>
      </c>
      <c r="NA169" t="s">
        <v>796</v>
      </c>
      <c r="NB169" t="s">
        <v>796</v>
      </c>
      <c r="NC169" t="s">
        <v>865</v>
      </c>
      <c r="ND169" t="s">
        <v>796</v>
      </c>
      <c r="NE169" t="s">
        <v>796</v>
      </c>
      <c r="NF169" t="s">
        <v>795</v>
      </c>
      <c r="NG169" t="s">
        <v>796</v>
      </c>
      <c r="NH169" t="s">
        <v>707</v>
      </c>
      <c r="NI169" t="s">
        <v>865</v>
      </c>
      <c r="NJ169" t="s">
        <v>865</v>
      </c>
      <c r="NK169" t="s">
        <v>795</v>
      </c>
    </row>
    <row r="170" spans="1:390" ht="15.75" hidden="1" customHeight="1" x14ac:dyDescent="0.25">
      <c r="A170" t="s">
        <v>144</v>
      </c>
      <c r="B170" t="s">
        <v>796</v>
      </c>
      <c r="C170" t="s">
        <v>707</v>
      </c>
      <c r="D170" t="s">
        <v>865</v>
      </c>
      <c r="E170" t="s">
        <v>796</v>
      </c>
      <c r="F170" t="s">
        <v>796</v>
      </c>
      <c r="G170" t="s">
        <v>865</v>
      </c>
      <c r="H170" t="s">
        <v>796</v>
      </c>
      <c r="I170" t="s">
        <v>796</v>
      </c>
      <c r="J170" t="s">
        <v>795</v>
      </c>
      <c r="K170" t="s">
        <v>796</v>
      </c>
      <c r="L170" t="s">
        <v>707</v>
      </c>
      <c r="M170" t="s">
        <v>865</v>
      </c>
      <c r="N170" t="s">
        <v>865</v>
      </c>
      <c r="O170" t="s">
        <v>795</v>
      </c>
      <c r="P170" t="s">
        <v>515</v>
      </c>
      <c r="Q170" t="s">
        <v>707</v>
      </c>
      <c r="R170" t="s">
        <v>792</v>
      </c>
      <c r="S170" t="s">
        <v>880</v>
      </c>
      <c r="T170" t="s">
        <v>796</v>
      </c>
      <c r="U170" t="s">
        <v>796</v>
      </c>
      <c r="V170" t="s">
        <v>865</v>
      </c>
      <c r="W170" t="s">
        <v>796</v>
      </c>
      <c r="X170" t="s">
        <v>796</v>
      </c>
      <c r="Y170" t="s">
        <v>795</v>
      </c>
      <c r="Z170" t="s">
        <v>707</v>
      </c>
      <c r="AA170" t="s">
        <v>792</v>
      </c>
      <c r="AB170" t="s">
        <v>880</v>
      </c>
      <c r="AC170" t="s">
        <v>879</v>
      </c>
      <c r="AD170" t="s">
        <v>866</v>
      </c>
      <c r="AE170" t="s">
        <v>594</v>
      </c>
      <c r="AF170" t="s">
        <v>796</v>
      </c>
      <c r="AG170" t="s">
        <v>817</v>
      </c>
      <c r="AH170" t="s">
        <v>865</v>
      </c>
      <c r="AI170" t="s">
        <v>796</v>
      </c>
      <c r="AJ170" t="s">
        <v>792</v>
      </c>
      <c r="AK170" t="s">
        <v>865</v>
      </c>
      <c r="AL170" t="s">
        <v>796</v>
      </c>
      <c r="AM170" t="s">
        <v>796</v>
      </c>
      <c r="AN170" t="s">
        <v>795</v>
      </c>
      <c r="AO170" t="s">
        <v>796</v>
      </c>
      <c r="AP170" t="s">
        <v>703</v>
      </c>
      <c r="AQ170" t="s">
        <v>865</v>
      </c>
      <c r="AR170" t="s">
        <v>865</v>
      </c>
      <c r="AS170" t="s">
        <v>795</v>
      </c>
      <c r="AT170" t="s">
        <v>898</v>
      </c>
      <c r="BI170" t="s">
        <v>628</v>
      </c>
      <c r="BJ170" t="s">
        <v>796</v>
      </c>
      <c r="BK170" t="s">
        <v>796</v>
      </c>
      <c r="BL170" t="s">
        <v>865</v>
      </c>
      <c r="BM170" t="s">
        <v>796</v>
      </c>
      <c r="BN170" t="s">
        <v>796</v>
      </c>
      <c r="BO170" t="s">
        <v>865</v>
      </c>
      <c r="BP170" t="s">
        <v>796</v>
      </c>
      <c r="BQ170" t="s">
        <v>796</v>
      </c>
      <c r="BR170" t="s">
        <v>795</v>
      </c>
      <c r="BS170" t="s">
        <v>796</v>
      </c>
      <c r="BT170" t="s">
        <v>796</v>
      </c>
      <c r="BU170" t="s">
        <v>865</v>
      </c>
      <c r="BV170" t="s">
        <v>865</v>
      </c>
      <c r="BW170" t="s">
        <v>795</v>
      </c>
      <c r="BX170" t="s">
        <v>898</v>
      </c>
      <c r="CM170" t="s">
        <v>898</v>
      </c>
      <c r="DB170" t="s">
        <v>828</v>
      </c>
      <c r="DC170" t="s">
        <v>1491</v>
      </c>
      <c r="DD170" t="s">
        <v>1492</v>
      </c>
      <c r="DE170" t="s">
        <v>1493</v>
      </c>
      <c r="DF170" t="s">
        <v>853</v>
      </c>
      <c r="DG170" t="s">
        <v>1482</v>
      </c>
      <c r="DH170" t="s">
        <v>1494</v>
      </c>
      <c r="DI170" t="s">
        <v>1023</v>
      </c>
      <c r="DJ170" t="s">
        <v>1009</v>
      </c>
      <c r="DK170" t="s">
        <v>1118</v>
      </c>
      <c r="DL170" t="s">
        <v>1104</v>
      </c>
      <c r="DM170" t="s">
        <v>1043</v>
      </c>
      <c r="DN170" t="s">
        <v>1495</v>
      </c>
      <c r="DO170" t="s">
        <v>1496</v>
      </c>
      <c r="DP170" t="s">
        <v>1497</v>
      </c>
      <c r="DQ170" t="s">
        <v>898</v>
      </c>
      <c r="EF170" t="s">
        <v>828</v>
      </c>
      <c r="EG170" t="s">
        <v>887</v>
      </c>
      <c r="EH170" t="s">
        <v>1189</v>
      </c>
      <c r="EI170" t="s">
        <v>1552</v>
      </c>
      <c r="EJ170" t="s">
        <v>1005</v>
      </c>
      <c r="EK170" t="s">
        <v>1461</v>
      </c>
      <c r="EL170" t="s">
        <v>1454</v>
      </c>
      <c r="EM170" t="s">
        <v>810</v>
      </c>
      <c r="EN170" t="s">
        <v>1005</v>
      </c>
      <c r="EO170" t="s">
        <v>1042</v>
      </c>
      <c r="EP170" t="s">
        <v>998</v>
      </c>
      <c r="EQ170" t="s">
        <v>1125</v>
      </c>
      <c r="ER170" t="s">
        <v>1553</v>
      </c>
      <c r="ES170" t="s">
        <v>1045</v>
      </c>
      <c r="ET170" t="s">
        <v>1497</v>
      </c>
      <c r="EU170" t="s">
        <v>898</v>
      </c>
      <c r="FJ170" t="s">
        <v>828</v>
      </c>
      <c r="FK170" t="s">
        <v>890</v>
      </c>
      <c r="FL170" t="s">
        <v>1598</v>
      </c>
      <c r="FM170" t="s">
        <v>1515</v>
      </c>
      <c r="FN170" t="s">
        <v>793</v>
      </c>
      <c r="FO170" t="s">
        <v>826</v>
      </c>
      <c r="FP170" t="s">
        <v>1599</v>
      </c>
      <c r="FQ170" t="s">
        <v>821</v>
      </c>
      <c r="FR170" t="s">
        <v>826</v>
      </c>
      <c r="FS170" t="s">
        <v>1327</v>
      </c>
      <c r="FT170" t="s">
        <v>833</v>
      </c>
      <c r="FU170" t="s">
        <v>1600</v>
      </c>
      <c r="FV170" t="s">
        <v>880</v>
      </c>
      <c r="FW170" t="s">
        <v>1601</v>
      </c>
      <c r="FX170" t="s">
        <v>1077</v>
      </c>
      <c r="FY170" t="s">
        <v>898</v>
      </c>
      <c r="GN170" t="s">
        <v>897</v>
      </c>
      <c r="HC170" t="s">
        <v>828</v>
      </c>
      <c r="HD170" t="s">
        <v>887</v>
      </c>
      <c r="HE170" t="s">
        <v>1462</v>
      </c>
      <c r="HF170" t="s">
        <v>1663</v>
      </c>
      <c r="HG170" t="s">
        <v>697</v>
      </c>
      <c r="HH170" t="s">
        <v>890</v>
      </c>
      <c r="HI170" t="s">
        <v>1664</v>
      </c>
      <c r="HJ170" t="s">
        <v>1005</v>
      </c>
      <c r="HK170" t="s">
        <v>826</v>
      </c>
      <c r="HL170" t="s">
        <v>867</v>
      </c>
      <c r="HM170" t="s">
        <v>1004</v>
      </c>
      <c r="HN170" t="s">
        <v>1665</v>
      </c>
      <c r="HO170" t="s">
        <v>1024</v>
      </c>
      <c r="HP170" t="s">
        <v>1666</v>
      </c>
      <c r="HQ170" t="s">
        <v>1199</v>
      </c>
      <c r="HR170" t="s">
        <v>900</v>
      </c>
      <c r="IG170" t="s">
        <v>900</v>
      </c>
      <c r="IV170" t="s">
        <v>897</v>
      </c>
      <c r="JK170" t="s">
        <v>898</v>
      </c>
      <c r="JZ170" t="s">
        <v>897</v>
      </c>
      <c r="KO170" t="s">
        <v>898</v>
      </c>
      <c r="LD170" t="s">
        <v>902</v>
      </c>
      <c r="LS170" t="s">
        <v>897</v>
      </c>
      <c r="MH170" t="s">
        <v>828</v>
      </c>
      <c r="MI170" t="s">
        <v>1451</v>
      </c>
      <c r="MJ170" t="s">
        <v>1813</v>
      </c>
      <c r="MK170" t="s">
        <v>1814</v>
      </c>
      <c r="ML170" t="s">
        <v>793</v>
      </c>
      <c r="MM170" t="s">
        <v>1023</v>
      </c>
      <c r="MN170" t="s">
        <v>875</v>
      </c>
      <c r="MO170" t="s">
        <v>1005</v>
      </c>
      <c r="MP170" t="s">
        <v>998</v>
      </c>
      <c r="MQ170" t="s">
        <v>870</v>
      </c>
      <c r="MR170" t="s">
        <v>797</v>
      </c>
      <c r="MS170" t="s">
        <v>1815</v>
      </c>
      <c r="MT170" t="s">
        <v>1816</v>
      </c>
      <c r="MU170" t="s">
        <v>1817</v>
      </c>
      <c r="MV170" t="s">
        <v>1525</v>
      </c>
      <c r="MW170" t="s">
        <v>828</v>
      </c>
      <c r="MX170" t="s">
        <v>1482</v>
      </c>
      <c r="MY170" t="s">
        <v>1039</v>
      </c>
      <c r="MZ170" t="s">
        <v>1345</v>
      </c>
      <c r="NA170" t="s">
        <v>815</v>
      </c>
      <c r="NB170" t="s">
        <v>1062</v>
      </c>
      <c r="NC170" t="s">
        <v>1080</v>
      </c>
      <c r="ND170" t="s">
        <v>803</v>
      </c>
      <c r="NE170" t="s">
        <v>809</v>
      </c>
      <c r="NF170" t="s">
        <v>1766</v>
      </c>
      <c r="NG170" t="s">
        <v>1179</v>
      </c>
      <c r="NH170" t="s">
        <v>1830</v>
      </c>
      <c r="NI170" t="s">
        <v>1831</v>
      </c>
      <c r="NJ170" t="s">
        <v>1832</v>
      </c>
      <c r="NK170" t="s">
        <v>896</v>
      </c>
      <c r="NL170" t="s">
        <v>898</v>
      </c>
    </row>
    <row r="171" spans="1:390" ht="15.75" hidden="1" customHeight="1" x14ac:dyDescent="0.25">
      <c r="A171" t="s">
        <v>824</v>
      </c>
      <c r="B171" t="s">
        <v>707</v>
      </c>
      <c r="C171" t="s">
        <v>793</v>
      </c>
      <c r="D171" t="s">
        <v>875</v>
      </c>
      <c r="E171" t="s">
        <v>796</v>
      </c>
      <c r="F171" t="s">
        <v>796</v>
      </c>
      <c r="G171" t="s">
        <v>865</v>
      </c>
      <c r="H171" t="s">
        <v>796</v>
      </c>
      <c r="I171" t="s">
        <v>796</v>
      </c>
      <c r="J171" t="s">
        <v>795</v>
      </c>
      <c r="K171" t="s">
        <v>707</v>
      </c>
      <c r="L171" t="s">
        <v>793</v>
      </c>
      <c r="M171" t="s">
        <v>875</v>
      </c>
      <c r="N171" t="s">
        <v>880</v>
      </c>
      <c r="O171" t="s">
        <v>886</v>
      </c>
      <c r="P171" t="s">
        <v>1017</v>
      </c>
      <c r="Q171" t="s">
        <v>796</v>
      </c>
      <c r="R171" t="s">
        <v>796</v>
      </c>
      <c r="S171" t="s">
        <v>865</v>
      </c>
      <c r="T171" t="s">
        <v>796</v>
      </c>
      <c r="U171" t="s">
        <v>796</v>
      </c>
      <c r="V171" t="s">
        <v>865</v>
      </c>
      <c r="W171" t="s">
        <v>707</v>
      </c>
      <c r="X171" t="s">
        <v>792</v>
      </c>
      <c r="Y171" t="s">
        <v>866</v>
      </c>
      <c r="Z171" t="s">
        <v>796</v>
      </c>
      <c r="AA171" t="s">
        <v>796</v>
      </c>
      <c r="AB171" t="s">
        <v>865</v>
      </c>
      <c r="AC171" t="s">
        <v>865</v>
      </c>
      <c r="AD171" t="s">
        <v>795</v>
      </c>
      <c r="AE171" t="s">
        <v>234</v>
      </c>
      <c r="AF171" t="s">
        <v>796</v>
      </c>
      <c r="AG171" t="s">
        <v>707</v>
      </c>
      <c r="AH171" t="s">
        <v>865</v>
      </c>
      <c r="AI171" t="s">
        <v>796</v>
      </c>
      <c r="AJ171" t="s">
        <v>707</v>
      </c>
      <c r="AK171" t="s">
        <v>865</v>
      </c>
      <c r="AL171" t="s">
        <v>707</v>
      </c>
      <c r="AM171" t="s">
        <v>792</v>
      </c>
      <c r="AN171" t="s">
        <v>866</v>
      </c>
      <c r="AO171" t="s">
        <v>796</v>
      </c>
      <c r="AP171" t="s">
        <v>796</v>
      </c>
      <c r="AQ171" t="s">
        <v>865</v>
      </c>
      <c r="AR171" t="s">
        <v>879</v>
      </c>
      <c r="AS171" t="s">
        <v>795</v>
      </c>
      <c r="AT171" t="s">
        <v>899</v>
      </c>
      <c r="BI171" t="s">
        <v>108</v>
      </c>
      <c r="BJ171" t="s">
        <v>707</v>
      </c>
      <c r="BK171" t="s">
        <v>793</v>
      </c>
      <c r="BL171" t="s">
        <v>875</v>
      </c>
      <c r="BM171" t="s">
        <v>796</v>
      </c>
      <c r="BN171" t="s">
        <v>796</v>
      </c>
      <c r="BO171" t="s">
        <v>865</v>
      </c>
      <c r="BP171" t="s">
        <v>796</v>
      </c>
      <c r="BQ171" t="s">
        <v>796</v>
      </c>
      <c r="BR171" t="s">
        <v>795</v>
      </c>
      <c r="BS171" t="s">
        <v>707</v>
      </c>
      <c r="BT171" t="s">
        <v>793</v>
      </c>
      <c r="BU171" t="s">
        <v>875</v>
      </c>
      <c r="BV171" t="s">
        <v>880</v>
      </c>
      <c r="BW171" t="s">
        <v>886</v>
      </c>
      <c r="BX171" t="s">
        <v>899</v>
      </c>
      <c r="CM171" t="s">
        <v>899</v>
      </c>
      <c r="DQ171" t="s">
        <v>899</v>
      </c>
      <c r="EU171" t="s">
        <v>899</v>
      </c>
      <c r="FY171" t="s">
        <v>899</v>
      </c>
      <c r="HR171" t="s">
        <v>901</v>
      </c>
      <c r="IG171" t="s">
        <v>901</v>
      </c>
      <c r="JK171" t="s">
        <v>899</v>
      </c>
      <c r="KO171" t="s">
        <v>899</v>
      </c>
      <c r="LD171" t="s">
        <v>903</v>
      </c>
      <c r="NL171" t="s">
        <v>899</v>
      </c>
    </row>
    <row r="172" spans="1:390" ht="15.75" hidden="1" customHeight="1" x14ac:dyDescent="0.25">
      <c r="A172" t="s">
        <v>828</v>
      </c>
      <c r="B172" t="s">
        <v>887</v>
      </c>
      <c r="C172" t="s">
        <v>888</v>
      </c>
      <c r="D172" t="s">
        <v>889</v>
      </c>
      <c r="E172" t="s">
        <v>810</v>
      </c>
      <c r="F172" t="s">
        <v>890</v>
      </c>
      <c r="G172" t="s">
        <v>891</v>
      </c>
      <c r="H172" t="s">
        <v>701</v>
      </c>
      <c r="I172" t="s">
        <v>803</v>
      </c>
      <c r="J172" t="s">
        <v>892</v>
      </c>
      <c r="K172" t="s">
        <v>797</v>
      </c>
      <c r="L172" t="s">
        <v>893</v>
      </c>
      <c r="M172" t="s">
        <v>894</v>
      </c>
      <c r="N172" t="s">
        <v>895</v>
      </c>
      <c r="O172" t="s">
        <v>896</v>
      </c>
      <c r="P172" t="s">
        <v>828</v>
      </c>
      <c r="Q172" t="s">
        <v>831</v>
      </c>
      <c r="R172" t="s">
        <v>1039</v>
      </c>
      <c r="S172" t="s">
        <v>1040</v>
      </c>
      <c r="T172" t="s">
        <v>851</v>
      </c>
      <c r="U172" t="s">
        <v>1004</v>
      </c>
      <c r="V172" t="s">
        <v>1041</v>
      </c>
      <c r="W172" t="s">
        <v>810</v>
      </c>
      <c r="X172" t="s">
        <v>1005</v>
      </c>
      <c r="Y172" t="s">
        <v>1042</v>
      </c>
      <c r="Z172" t="s">
        <v>1004</v>
      </c>
      <c r="AA172" t="s">
        <v>1043</v>
      </c>
      <c r="AB172" t="s">
        <v>1044</v>
      </c>
      <c r="AC172" t="s">
        <v>1045</v>
      </c>
      <c r="AD172" t="s">
        <v>1046</v>
      </c>
      <c r="AE172" t="s">
        <v>828</v>
      </c>
      <c r="AF172" t="s">
        <v>797</v>
      </c>
      <c r="AG172" t="s">
        <v>1088</v>
      </c>
      <c r="AH172" t="s">
        <v>1089</v>
      </c>
      <c r="AI172" t="s">
        <v>859</v>
      </c>
      <c r="AJ172" t="s">
        <v>998</v>
      </c>
      <c r="AK172" t="s">
        <v>858</v>
      </c>
      <c r="AL172" t="s">
        <v>853</v>
      </c>
      <c r="AM172" t="s">
        <v>1009</v>
      </c>
      <c r="AN172" t="s">
        <v>871</v>
      </c>
      <c r="AO172" t="s">
        <v>799</v>
      </c>
      <c r="AP172" t="s">
        <v>1090</v>
      </c>
      <c r="AQ172" t="s">
        <v>1091</v>
      </c>
      <c r="AR172" t="s">
        <v>1092</v>
      </c>
      <c r="AS172" t="s">
        <v>1037</v>
      </c>
      <c r="AT172" t="s">
        <v>900</v>
      </c>
      <c r="BI172" t="s">
        <v>828</v>
      </c>
      <c r="BJ172" t="s">
        <v>1165</v>
      </c>
      <c r="BK172" t="s">
        <v>1166</v>
      </c>
      <c r="BL172" t="s">
        <v>1167</v>
      </c>
      <c r="BM172" t="s">
        <v>697</v>
      </c>
      <c r="BN172" t="s">
        <v>1020</v>
      </c>
      <c r="BO172" t="s">
        <v>880</v>
      </c>
      <c r="BP172" t="s">
        <v>799</v>
      </c>
      <c r="BQ172" t="s">
        <v>809</v>
      </c>
      <c r="BR172" t="s">
        <v>1168</v>
      </c>
      <c r="BS172" t="s">
        <v>890</v>
      </c>
      <c r="BT172" t="s">
        <v>1169</v>
      </c>
      <c r="BU172" t="s">
        <v>1170</v>
      </c>
      <c r="BV172" t="s">
        <v>1171</v>
      </c>
      <c r="BW172" t="s">
        <v>1172</v>
      </c>
      <c r="BX172" t="s">
        <v>900</v>
      </c>
      <c r="CM172" t="s">
        <v>900</v>
      </c>
      <c r="DB172" t="s">
        <v>897</v>
      </c>
      <c r="DQ172" t="s">
        <v>900</v>
      </c>
      <c r="EF172" t="s">
        <v>897</v>
      </c>
      <c r="EU172" t="s">
        <v>900</v>
      </c>
      <c r="FJ172" t="s">
        <v>897</v>
      </c>
      <c r="FY172" t="s">
        <v>900</v>
      </c>
      <c r="GN172" t="s">
        <v>898</v>
      </c>
      <c r="HC172" t="s">
        <v>897</v>
      </c>
      <c r="HR172" t="s">
        <v>902</v>
      </c>
      <c r="IG172" t="s">
        <v>902</v>
      </c>
      <c r="IV172" t="s">
        <v>898</v>
      </c>
      <c r="JK172" t="s">
        <v>900</v>
      </c>
      <c r="JZ172" t="s">
        <v>898</v>
      </c>
      <c r="KO172" t="s">
        <v>900</v>
      </c>
      <c r="LS172" t="s">
        <v>898</v>
      </c>
      <c r="MH172" t="s">
        <v>897</v>
      </c>
      <c r="MW172" t="s">
        <v>897</v>
      </c>
      <c r="NL172" t="s">
        <v>900</v>
      </c>
    </row>
    <row r="173" spans="1:390" ht="15.75" hidden="1" customHeight="1" x14ac:dyDescent="0.25">
      <c r="AT173" t="s">
        <v>901</v>
      </c>
      <c r="BX173" t="s">
        <v>901</v>
      </c>
      <c r="CM173" t="s">
        <v>901</v>
      </c>
      <c r="DQ173" t="s">
        <v>901</v>
      </c>
      <c r="EU173" t="s">
        <v>901</v>
      </c>
      <c r="FY173" t="s">
        <v>901</v>
      </c>
      <c r="GN173" t="s">
        <v>899</v>
      </c>
      <c r="HR173" t="s">
        <v>903</v>
      </c>
      <c r="IG173" t="s">
        <v>903</v>
      </c>
      <c r="IV173" t="s">
        <v>899</v>
      </c>
      <c r="JK173" t="s">
        <v>901</v>
      </c>
      <c r="JZ173" t="s">
        <v>899</v>
      </c>
      <c r="KO173" t="s">
        <v>901</v>
      </c>
      <c r="LD173" t="s">
        <v>904</v>
      </c>
      <c r="LS173" t="s">
        <v>899</v>
      </c>
      <c r="NL173" t="s">
        <v>901</v>
      </c>
    </row>
    <row r="174" spans="1:390" ht="15.75" hidden="1" customHeight="1" x14ac:dyDescent="0.25">
      <c r="A174" t="s">
        <v>897</v>
      </c>
      <c r="P174" t="s">
        <v>897</v>
      </c>
      <c r="AE174" t="s">
        <v>897</v>
      </c>
      <c r="AT174" t="s">
        <v>902</v>
      </c>
      <c r="BI174" t="s">
        <v>897</v>
      </c>
      <c r="BX174" t="s">
        <v>902</v>
      </c>
      <c r="CM174" t="s">
        <v>902</v>
      </c>
      <c r="DB174" t="s">
        <v>898</v>
      </c>
      <c r="DQ174" t="s">
        <v>902</v>
      </c>
      <c r="EF174" t="s">
        <v>898</v>
      </c>
      <c r="EU174" t="s">
        <v>902</v>
      </c>
      <c r="FJ174" t="s">
        <v>898</v>
      </c>
      <c r="FY174" t="s">
        <v>902</v>
      </c>
      <c r="GN174" t="s">
        <v>900</v>
      </c>
      <c r="HC174" t="s">
        <v>898</v>
      </c>
      <c r="IV174" t="s">
        <v>900</v>
      </c>
      <c r="JK174" t="s">
        <v>902</v>
      </c>
      <c r="JZ174" t="s">
        <v>900</v>
      </c>
      <c r="KO174" t="s">
        <v>902</v>
      </c>
      <c r="LD174" t="s">
        <v>905</v>
      </c>
      <c r="LS174" t="s">
        <v>900</v>
      </c>
      <c r="MH174" t="s">
        <v>898</v>
      </c>
      <c r="MW174" t="s">
        <v>898</v>
      </c>
      <c r="NL174" t="s">
        <v>902</v>
      </c>
    </row>
    <row r="175" spans="1:390" ht="15.75" hidden="1" customHeight="1" x14ac:dyDescent="0.25">
      <c r="AT175" t="s">
        <v>903</v>
      </c>
      <c r="BX175" t="s">
        <v>903</v>
      </c>
      <c r="CM175" t="s">
        <v>903</v>
      </c>
      <c r="DB175" t="s">
        <v>899</v>
      </c>
      <c r="DQ175" t="s">
        <v>903</v>
      </c>
      <c r="EF175" t="s">
        <v>899</v>
      </c>
      <c r="EU175" t="s">
        <v>903</v>
      </c>
      <c r="FJ175" t="s">
        <v>899</v>
      </c>
      <c r="FY175" t="s">
        <v>903</v>
      </c>
      <c r="GN175" t="s">
        <v>901</v>
      </c>
      <c r="HC175" t="s">
        <v>899</v>
      </c>
      <c r="HR175" t="s">
        <v>904</v>
      </c>
      <c r="IG175" t="s">
        <v>904</v>
      </c>
      <c r="IV175" t="s">
        <v>901</v>
      </c>
      <c r="JK175" t="s">
        <v>903</v>
      </c>
      <c r="JZ175" t="s">
        <v>901</v>
      </c>
      <c r="KO175" t="s">
        <v>903</v>
      </c>
      <c r="LD175" t="s">
        <v>906</v>
      </c>
      <c r="LS175" t="s">
        <v>901</v>
      </c>
      <c r="MH175" t="s">
        <v>899</v>
      </c>
      <c r="MW175" t="s">
        <v>899</v>
      </c>
      <c r="NL175" t="s">
        <v>903</v>
      </c>
    </row>
    <row r="176" spans="1:390" ht="15.75" hidden="1" customHeight="1" x14ac:dyDescent="0.25">
      <c r="A176" t="s">
        <v>898</v>
      </c>
      <c r="P176" t="s">
        <v>898</v>
      </c>
      <c r="AE176" t="s">
        <v>898</v>
      </c>
      <c r="BI176" t="s">
        <v>898</v>
      </c>
      <c r="DB176" t="s">
        <v>900</v>
      </c>
      <c r="EF176" t="s">
        <v>900</v>
      </c>
      <c r="FJ176" t="s">
        <v>900</v>
      </c>
      <c r="GN176" t="s">
        <v>902</v>
      </c>
      <c r="HC176" t="s">
        <v>900</v>
      </c>
      <c r="HR176" t="s">
        <v>905</v>
      </c>
      <c r="IG176" t="s">
        <v>905</v>
      </c>
      <c r="IV176" t="s">
        <v>902</v>
      </c>
      <c r="JZ176" t="s">
        <v>902</v>
      </c>
      <c r="LD176" t="s">
        <v>907</v>
      </c>
      <c r="LS176" t="s">
        <v>902</v>
      </c>
      <c r="MH176" t="s">
        <v>900</v>
      </c>
      <c r="MW176" t="s">
        <v>900</v>
      </c>
    </row>
    <row r="177" spans="1:376" ht="15.75" hidden="1" customHeight="1" x14ac:dyDescent="0.25">
      <c r="A177" t="s">
        <v>899</v>
      </c>
      <c r="P177" t="s">
        <v>899</v>
      </c>
      <c r="AE177" t="s">
        <v>899</v>
      </c>
      <c r="AT177" t="s">
        <v>904</v>
      </c>
      <c r="BI177" t="s">
        <v>899</v>
      </c>
      <c r="BX177" t="s">
        <v>904</v>
      </c>
      <c r="CM177" t="s">
        <v>904</v>
      </c>
      <c r="DB177" t="s">
        <v>901</v>
      </c>
      <c r="DQ177" t="s">
        <v>904</v>
      </c>
      <c r="EF177" t="s">
        <v>901</v>
      </c>
      <c r="EU177" t="s">
        <v>904</v>
      </c>
      <c r="FJ177" t="s">
        <v>901</v>
      </c>
      <c r="FY177" t="s">
        <v>904</v>
      </c>
      <c r="GN177" t="s">
        <v>903</v>
      </c>
      <c r="HC177" t="s">
        <v>901</v>
      </c>
      <c r="HR177" t="s">
        <v>906</v>
      </c>
      <c r="IG177" t="s">
        <v>906</v>
      </c>
      <c r="IV177" t="s">
        <v>903</v>
      </c>
      <c r="JK177" t="s">
        <v>904</v>
      </c>
      <c r="JZ177" t="s">
        <v>903</v>
      </c>
      <c r="KO177" t="s">
        <v>904</v>
      </c>
      <c r="LD177" t="s">
        <v>908</v>
      </c>
      <c r="LS177" t="s">
        <v>903</v>
      </c>
      <c r="MH177" t="s">
        <v>901</v>
      </c>
      <c r="MW177" t="s">
        <v>901</v>
      </c>
      <c r="NL177" t="s">
        <v>904</v>
      </c>
    </row>
    <row r="178" spans="1:376" ht="15.75" hidden="1" customHeight="1" x14ac:dyDescent="0.25">
      <c r="A178" t="s">
        <v>900</v>
      </c>
      <c r="P178" t="s">
        <v>900</v>
      </c>
      <c r="AE178" t="s">
        <v>900</v>
      </c>
      <c r="AT178" t="s">
        <v>905</v>
      </c>
      <c r="BI178" t="s">
        <v>900</v>
      </c>
      <c r="BX178" t="s">
        <v>905</v>
      </c>
      <c r="CM178" t="s">
        <v>905</v>
      </c>
      <c r="DB178" t="s">
        <v>902</v>
      </c>
      <c r="DQ178" t="s">
        <v>905</v>
      </c>
      <c r="EF178" t="s">
        <v>902</v>
      </c>
      <c r="EU178" t="s">
        <v>905</v>
      </c>
      <c r="FJ178" t="s">
        <v>902</v>
      </c>
      <c r="FY178" t="s">
        <v>905</v>
      </c>
      <c r="HC178" t="s">
        <v>902</v>
      </c>
      <c r="HR178" t="s">
        <v>907</v>
      </c>
      <c r="IG178" t="s">
        <v>907</v>
      </c>
      <c r="JK178" t="s">
        <v>905</v>
      </c>
      <c r="KO178" t="s">
        <v>905</v>
      </c>
      <c r="LD178" t="s">
        <v>909</v>
      </c>
      <c r="MH178" t="s">
        <v>902</v>
      </c>
      <c r="MW178" t="s">
        <v>902</v>
      </c>
      <c r="NL178" t="s">
        <v>905</v>
      </c>
    </row>
    <row r="179" spans="1:376" ht="15.75" hidden="1" customHeight="1" x14ac:dyDescent="0.25">
      <c r="A179" t="s">
        <v>901</v>
      </c>
      <c r="P179" t="s">
        <v>901</v>
      </c>
      <c r="AE179" t="s">
        <v>901</v>
      </c>
      <c r="AT179" t="s">
        <v>906</v>
      </c>
      <c r="BI179" t="s">
        <v>901</v>
      </c>
      <c r="BX179" t="s">
        <v>906</v>
      </c>
      <c r="CM179" t="s">
        <v>906</v>
      </c>
      <c r="DB179" t="s">
        <v>903</v>
      </c>
      <c r="DQ179" t="s">
        <v>906</v>
      </c>
      <c r="EF179" t="s">
        <v>903</v>
      </c>
      <c r="EU179" t="s">
        <v>906</v>
      </c>
      <c r="FJ179" t="s">
        <v>903</v>
      </c>
      <c r="FY179" t="s">
        <v>906</v>
      </c>
      <c r="GN179" t="s">
        <v>904</v>
      </c>
      <c r="HC179" t="s">
        <v>903</v>
      </c>
      <c r="HR179" t="s">
        <v>908</v>
      </c>
      <c r="IG179" t="s">
        <v>908</v>
      </c>
      <c r="IV179" t="s">
        <v>904</v>
      </c>
      <c r="JK179" t="s">
        <v>906</v>
      </c>
      <c r="JZ179" t="s">
        <v>904</v>
      </c>
      <c r="KO179" t="s">
        <v>906</v>
      </c>
      <c r="LS179" t="s">
        <v>904</v>
      </c>
      <c r="MH179" t="s">
        <v>903</v>
      </c>
      <c r="MW179" t="s">
        <v>903</v>
      </c>
      <c r="NL179" t="s">
        <v>906</v>
      </c>
    </row>
    <row r="180" spans="1:376" ht="15.75" hidden="1" customHeight="1" x14ac:dyDescent="0.25">
      <c r="A180" t="s">
        <v>902</v>
      </c>
      <c r="P180" t="s">
        <v>902</v>
      </c>
      <c r="AE180" t="s">
        <v>902</v>
      </c>
      <c r="AT180" t="s">
        <v>907</v>
      </c>
      <c r="BI180" t="s">
        <v>902</v>
      </c>
      <c r="BX180" t="s">
        <v>907</v>
      </c>
      <c r="CM180" t="s">
        <v>907</v>
      </c>
      <c r="DQ180" t="s">
        <v>907</v>
      </c>
      <c r="EU180" t="s">
        <v>907</v>
      </c>
      <c r="FY180" t="s">
        <v>907</v>
      </c>
      <c r="GN180" t="s">
        <v>905</v>
      </c>
      <c r="HR180" t="s">
        <v>909</v>
      </c>
      <c r="IG180" t="s">
        <v>909</v>
      </c>
      <c r="IV180" t="s">
        <v>905</v>
      </c>
      <c r="JK180" t="s">
        <v>907</v>
      </c>
      <c r="JZ180" t="s">
        <v>905</v>
      </c>
      <c r="KO180" t="s">
        <v>907</v>
      </c>
      <c r="LD180" t="s">
        <v>910</v>
      </c>
      <c r="LS180" t="s">
        <v>905</v>
      </c>
      <c r="NL180" t="s">
        <v>907</v>
      </c>
    </row>
    <row r="181" spans="1:376" ht="15.75" hidden="1" customHeight="1" x14ac:dyDescent="0.25">
      <c r="A181" t="s">
        <v>903</v>
      </c>
      <c r="P181" t="s">
        <v>903</v>
      </c>
      <c r="AE181" t="s">
        <v>903</v>
      </c>
      <c r="AT181" t="s">
        <v>908</v>
      </c>
      <c r="BI181" t="s">
        <v>903</v>
      </c>
      <c r="BX181" t="s">
        <v>908</v>
      </c>
      <c r="CM181" t="s">
        <v>908</v>
      </c>
      <c r="DB181" t="s">
        <v>904</v>
      </c>
      <c r="DQ181" t="s">
        <v>908</v>
      </c>
      <c r="EF181" t="s">
        <v>904</v>
      </c>
      <c r="EU181" t="s">
        <v>908</v>
      </c>
      <c r="FJ181" t="s">
        <v>904</v>
      </c>
      <c r="FY181" t="s">
        <v>908</v>
      </c>
      <c r="GN181" t="s">
        <v>906</v>
      </c>
      <c r="HC181" t="s">
        <v>904</v>
      </c>
      <c r="IV181" t="s">
        <v>906</v>
      </c>
      <c r="JK181" t="s">
        <v>908</v>
      </c>
      <c r="JZ181" t="s">
        <v>906</v>
      </c>
      <c r="KO181" t="s">
        <v>908</v>
      </c>
      <c r="LD181" t="s">
        <v>911</v>
      </c>
      <c r="LS181" t="s">
        <v>906</v>
      </c>
      <c r="MH181" t="s">
        <v>904</v>
      </c>
      <c r="MW181" t="s">
        <v>904</v>
      </c>
      <c r="NL181" t="s">
        <v>908</v>
      </c>
    </row>
    <row r="182" spans="1:376" ht="15.75" hidden="1" customHeight="1" x14ac:dyDescent="0.25">
      <c r="AT182" t="s">
        <v>909</v>
      </c>
      <c r="BX182" t="s">
        <v>909</v>
      </c>
      <c r="CM182" t="s">
        <v>909</v>
      </c>
      <c r="DB182" t="s">
        <v>905</v>
      </c>
      <c r="DQ182" t="s">
        <v>909</v>
      </c>
      <c r="EF182" t="s">
        <v>905</v>
      </c>
      <c r="EU182" t="s">
        <v>909</v>
      </c>
      <c r="FJ182" t="s">
        <v>905</v>
      </c>
      <c r="FY182" t="s">
        <v>909</v>
      </c>
      <c r="GN182" t="s">
        <v>907</v>
      </c>
      <c r="HC182" t="s">
        <v>905</v>
      </c>
      <c r="HR182" t="s">
        <v>910</v>
      </c>
      <c r="IG182" t="s">
        <v>910</v>
      </c>
      <c r="IV182" t="s">
        <v>907</v>
      </c>
      <c r="JK182" t="s">
        <v>909</v>
      </c>
      <c r="JZ182" t="s">
        <v>907</v>
      </c>
      <c r="KO182" t="s">
        <v>909</v>
      </c>
      <c r="LD182" t="s">
        <v>912</v>
      </c>
      <c r="LS182" t="s">
        <v>907</v>
      </c>
      <c r="MH182" t="s">
        <v>905</v>
      </c>
      <c r="MW182" t="s">
        <v>905</v>
      </c>
      <c r="NL182" t="s">
        <v>909</v>
      </c>
    </row>
    <row r="183" spans="1:376" ht="15.75" hidden="1" customHeight="1" x14ac:dyDescent="0.25">
      <c r="A183" t="s">
        <v>904</v>
      </c>
      <c r="P183" t="s">
        <v>904</v>
      </c>
      <c r="AE183" t="s">
        <v>904</v>
      </c>
      <c r="BI183" t="s">
        <v>904</v>
      </c>
      <c r="DB183" t="s">
        <v>906</v>
      </c>
      <c r="EF183" t="s">
        <v>906</v>
      </c>
      <c r="FJ183" t="s">
        <v>906</v>
      </c>
      <c r="GN183" t="s">
        <v>908</v>
      </c>
      <c r="HC183" t="s">
        <v>906</v>
      </c>
      <c r="HR183" t="s">
        <v>911</v>
      </c>
      <c r="IG183" t="s">
        <v>911</v>
      </c>
      <c r="IV183" t="s">
        <v>908</v>
      </c>
      <c r="JZ183" t="s">
        <v>908</v>
      </c>
      <c r="LD183" t="s">
        <v>913</v>
      </c>
      <c r="LS183" t="s">
        <v>908</v>
      </c>
      <c r="MH183" t="s">
        <v>906</v>
      </c>
      <c r="MW183" t="s">
        <v>906</v>
      </c>
    </row>
    <row r="184" spans="1:376" ht="15.75" hidden="1" customHeight="1" x14ac:dyDescent="0.25">
      <c r="A184" t="s">
        <v>905</v>
      </c>
      <c r="P184" t="s">
        <v>905</v>
      </c>
      <c r="AE184" t="s">
        <v>905</v>
      </c>
      <c r="AT184" t="s">
        <v>910</v>
      </c>
      <c r="BI184" t="s">
        <v>905</v>
      </c>
      <c r="BX184" t="s">
        <v>910</v>
      </c>
      <c r="CM184" t="s">
        <v>910</v>
      </c>
      <c r="DB184" t="s">
        <v>907</v>
      </c>
      <c r="DQ184" t="s">
        <v>910</v>
      </c>
      <c r="EF184" t="s">
        <v>907</v>
      </c>
      <c r="EU184" t="s">
        <v>910</v>
      </c>
      <c r="FJ184" t="s">
        <v>907</v>
      </c>
      <c r="FY184" t="s">
        <v>910</v>
      </c>
      <c r="GN184" t="s">
        <v>909</v>
      </c>
      <c r="HC184" t="s">
        <v>907</v>
      </c>
      <c r="HR184" t="s">
        <v>912</v>
      </c>
      <c r="IG184" t="s">
        <v>912</v>
      </c>
      <c r="IV184" t="s">
        <v>909</v>
      </c>
      <c r="JK184" t="s">
        <v>910</v>
      </c>
      <c r="JZ184" t="s">
        <v>909</v>
      </c>
      <c r="KO184" t="s">
        <v>910</v>
      </c>
      <c r="LD184" t="s">
        <v>914</v>
      </c>
      <c r="LS184" t="s">
        <v>909</v>
      </c>
      <c r="MH184" t="s">
        <v>907</v>
      </c>
      <c r="MW184" t="s">
        <v>907</v>
      </c>
      <c r="NL184" t="s">
        <v>910</v>
      </c>
    </row>
    <row r="185" spans="1:376" ht="15.75" hidden="1" customHeight="1" x14ac:dyDescent="0.25">
      <c r="A185" t="s">
        <v>906</v>
      </c>
      <c r="P185" t="s">
        <v>906</v>
      </c>
      <c r="AE185" t="s">
        <v>906</v>
      </c>
      <c r="AT185" t="s">
        <v>911</v>
      </c>
      <c r="BI185" t="s">
        <v>906</v>
      </c>
      <c r="BX185" t="s">
        <v>911</v>
      </c>
      <c r="CM185" t="s">
        <v>911</v>
      </c>
      <c r="DB185" t="s">
        <v>908</v>
      </c>
      <c r="DQ185" t="s">
        <v>911</v>
      </c>
      <c r="EF185" t="s">
        <v>908</v>
      </c>
      <c r="EU185" t="s">
        <v>911</v>
      </c>
      <c r="FJ185" t="s">
        <v>908</v>
      </c>
      <c r="FY185" t="s">
        <v>911</v>
      </c>
      <c r="HC185" t="s">
        <v>908</v>
      </c>
      <c r="HR185" t="s">
        <v>913</v>
      </c>
      <c r="IG185" t="s">
        <v>913</v>
      </c>
      <c r="JK185" t="s">
        <v>911</v>
      </c>
      <c r="KO185" t="s">
        <v>911</v>
      </c>
      <c r="LD185" t="s">
        <v>915</v>
      </c>
      <c r="MH185" t="s">
        <v>908</v>
      </c>
      <c r="MW185" t="s">
        <v>908</v>
      </c>
      <c r="NL185" t="s">
        <v>911</v>
      </c>
    </row>
    <row r="186" spans="1:376" ht="15.75" hidden="1" customHeight="1" x14ac:dyDescent="0.25">
      <c r="A186" t="s">
        <v>907</v>
      </c>
      <c r="P186" t="s">
        <v>907</v>
      </c>
      <c r="AE186" t="s">
        <v>907</v>
      </c>
      <c r="AT186" t="s">
        <v>912</v>
      </c>
      <c r="BI186" t="s">
        <v>907</v>
      </c>
      <c r="BX186" t="s">
        <v>912</v>
      </c>
      <c r="CM186" t="s">
        <v>912</v>
      </c>
      <c r="DB186" t="s">
        <v>909</v>
      </c>
      <c r="DQ186" t="s">
        <v>912</v>
      </c>
      <c r="EF186" t="s">
        <v>909</v>
      </c>
      <c r="EU186" t="s">
        <v>912</v>
      </c>
      <c r="FJ186" t="s">
        <v>909</v>
      </c>
      <c r="FY186" t="s">
        <v>912</v>
      </c>
      <c r="GN186" t="s">
        <v>910</v>
      </c>
      <c r="HC186" t="s">
        <v>909</v>
      </c>
      <c r="HR186" t="s">
        <v>914</v>
      </c>
      <c r="IG186" t="s">
        <v>914</v>
      </c>
      <c r="IV186" t="s">
        <v>910</v>
      </c>
      <c r="JK186" t="s">
        <v>912</v>
      </c>
      <c r="JZ186" t="s">
        <v>910</v>
      </c>
      <c r="KO186" t="s">
        <v>912</v>
      </c>
      <c r="LS186" t="s">
        <v>910</v>
      </c>
      <c r="MH186" t="s">
        <v>909</v>
      </c>
      <c r="MW186" t="s">
        <v>909</v>
      </c>
      <c r="NL186" t="s">
        <v>912</v>
      </c>
    </row>
    <row r="187" spans="1:376" ht="15.75" hidden="1" customHeight="1" x14ac:dyDescent="0.25">
      <c r="A187" t="s">
        <v>908</v>
      </c>
      <c r="P187" t="s">
        <v>908</v>
      </c>
      <c r="AE187" t="s">
        <v>908</v>
      </c>
      <c r="AT187" t="s">
        <v>913</v>
      </c>
      <c r="BI187" t="s">
        <v>908</v>
      </c>
      <c r="BX187" t="s">
        <v>913</v>
      </c>
      <c r="CM187" t="s">
        <v>913</v>
      </c>
      <c r="DQ187" t="s">
        <v>913</v>
      </c>
      <c r="EU187" t="s">
        <v>913</v>
      </c>
      <c r="FY187" t="s">
        <v>913</v>
      </c>
      <c r="GN187" t="s">
        <v>911</v>
      </c>
      <c r="HR187" t="s">
        <v>915</v>
      </c>
      <c r="IG187" t="s">
        <v>915</v>
      </c>
      <c r="IV187" t="s">
        <v>911</v>
      </c>
      <c r="JK187" t="s">
        <v>913</v>
      </c>
      <c r="JZ187" t="s">
        <v>911</v>
      </c>
      <c r="KO187" t="s">
        <v>913</v>
      </c>
      <c r="LD187" t="s">
        <v>916</v>
      </c>
      <c r="LS187" t="s">
        <v>911</v>
      </c>
      <c r="NL187" t="s">
        <v>913</v>
      </c>
    </row>
    <row r="188" spans="1:376" ht="15.75" hidden="1" customHeight="1" x14ac:dyDescent="0.25">
      <c r="A188" t="s">
        <v>909</v>
      </c>
      <c r="P188" t="s">
        <v>909</v>
      </c>
      <c r="AE188" t="s">
        <v>909</v>
      </c>
      <c r="AT188" t="s">
        <v>914</v>
      </c>
      <c r="BI188" t="s">
        <v>909</v>
      </c>
      <c r="BX188" t="s">
        <v>914</v>
      </c>
      <c r="CM188" t="s">
        <v>914</v>
      </c>
      <c r="DB188" t="s">
        <v>910</v>
      </c>
      <c r="DQ188" t="s">
        <v>914</v>
      </c>
      <c r="EF188" t="s">
        <v>910</v>
      </c>
      <c r="EU188" t="s">
        <v>914</v>
      </c>
      <c r="FJ188" t="s">
        <v>910</v>
      </c>
      <c r="FY188" t="s">
        <v>914</v>
      </c>
      <c r="GN188" t="s">
        <v>912</v>
      </c>
      <c r="HC188" t="s">
        <v>910</v>
      </c>
      <c r="IV188" t="s">
        <v>912</v>
      </c>
      <c r="JK188" t="s">
        <v>914</v>
      </c>
      <c r="JZ188" t="s">
        <v>912</v>
      </c>
      <c r="KO188" t="s">
        <v>914</v>
      </c>
      <c r="LD188" t="s">
        <v>917</v>
      </c>
      <c r="LS188" t="s">
        <v>912</v>
      </c>
      <c r="MH188" t="s">
        <v>910</v>
      </c>
      <c r="MW188" t="s">
        <v>910</v>
      </c>
      <c r="NL188" t="s">
        <v>914</v>
      </c>
    </row>
    <row r="189" spans="1:376" ht="15.75" hidden="1" customHeight="1" x14ac:dyDescent="0.25">
      <c r="AT189" t="s">
        <v>915</v>
      </c>
      <c r="BX189" t="s">
        <v>915</v>
      </c>
      <c r="CM189" t="s">
        <v>915</v>
      </c>
      <c r="DB189" t="s">
        <v>911</v>
      </c>
      <c r="DQ189" t="s">
        <v>915</v>
      </c>
      <c r="EF189" t="s">
        <v>911</v>
      </c>
      <c r="EU189" t="s">
        <v>915</v>
      </c>
      <c r="FJ189" t="s">
        <v>911</v>
      </c>
      <c r="FY189" t="s">
        <v>915</v>
      </c>
      <c r="GN189" t="s">
        <v>913</v>
      </c>
      <c r="HC189" t="s">
        <v>911</v>
      </c>
      <c r="HR189" t="s">
        <v>916</v>
      </c>
      <c r="IG189" t="s">
        <v>916</v>
      </c>
      <c r="IV189" t="s">
        <v>913</v>
      </c>
      <c r="JK189" t="s">
        <v>915</v>
      </c>
      <c r="JZ189" t="s">
        <v>913</v>
      </c>
      <c r="KO189" t="s">
        <v>915</v>
      </c>
      <c r="LD189" t="s">
        <v>918</v>
      </c>
      <c r="LS189" t="s">
        <v>913</v>
      </c>
      <c r="MH189" t="s">
        <v>911</v>
      </c>
      <c r="MW189" t="s">
        <v>911</v>
      </c>
      <c r="NL189" t="s">
        <v>915</v>
      </c>
    </row>
    <row r="190" spans="1:376" ht="15.75" hidden="1" customHeight="1" x14ac:dyDescent="0.25">
      <c r="A190" t="s">
        <v>910</v>
      </c>
      <c r="P190" t="s">
        <v>910</v>
      </c>
      <c r="AE190" t="s">
        <v>910</v>
      </c>
      <c r="BI190" t="s">
        <v>910</v>
      </c>
      <c r="DB190" t="s">
        <v>912</v>
      </c>
      <c r="EF190" t="s">
        <v>912</v>
      </c>
      <c r="FJ190" t="s">
        <v>912</v>
      </c>
      <c r="GN190" t="s">
        <v>914</v>
      </c>
      <c r="HC190" t="s">
        <v>912</v>
      </c>
      <c r="HR190" t="s">
        <v>917</v>
      </c>
      <c r="IG190" t="s">
        <v>917</v>
      </c>
      <c r="IV190" t="s">
        <v>914</v>
      </c>
      <c r="JZ190" t="s">
        <v>914</v>
      </c>
      <c r="LD190" t="s">
        <v>919</v>
      </c>
      <c r="LS190" t="s">
        <v>914</v>
      </c>
      <c r="MH190" t="s">
        <v>912</v>
      </c>
      <c r="MW190" t="s">
        <v>912</v>
      </c>
    </row>
    <row r="191" spans="1:376" ht="15.75" hidden="1" customHeight="1" x14ac:dyDescent="0.25">
      <c r="A191" t="s">
        <v>911</v>
      </c>
      <c r="P191" t="s">
        <v>911</v>
      </c>
      <c r="AE191" t="s">
        <v>911</v>
      </c>
      <c r="AT191" t="s">
        <v>916</v>
      </c>
      <c r="BI191" t="s">
        <v>911</v>
      </c>
      <c r="BX191" t="s">
        <v>916</v>
      </c>
      <c r="CM191" t="s">
        <v>916</v>
      </c>
      <c r="DB191" t="s">
        <v>913</v>
      </c>
      <c r="DQ191" t="s">
        <v>916</v>
      </c>
      <c r="EF191" t="s">
        <v>913</v>
      </c>
      <c r="EU191" t="s">
        <v>916</v>
      </c>
      <c r="FJ191" t="s">
        <v>913</v>
      </c>
      <c r="FY191" t="s">
        <v>916</v>
      </c>
      <c r="GN191" t="s">
        <v>915</v>
      </c>
      <c r="HC191" t="s">
        <v>913</v>
      </c>
      <c r="HR191" t="s">
        <v>918</v>
      </c>
      <c r="IG191" t="s">
        <v>918</v>
      </c>
      <c r="IV191" t="s">
        <v>915</v>
      </c>
      <c r="JK191" t="s">
        <v>916</v>
      </c>
      <c r="JZ191" t="s">
        <v>915</v>
      </c>
      <c r="KO191" t="s">
        <v>916</v>
      </c>
      <c r="LD191" t="s">
        <v>920</v>
      </c>
      <c r="LS191" t="s">
        <v>915</v>
      </c>
      <c r="MH191" t="s">
        <v>913</v>
      </c>
      <c r="MW191" t="s">
        <v>913</v>
      </c>
      <c r="NL191" t="s">
        <v>916</v>
      </c>
    </row>
    <row r="192" spans="1:376" ht="15.75" hidden="1" customHeight="1" x14ac:dyDescent="0.25">
      <c r="A192" t="s">
        <v>912</v>
      </c>
      <c r="P192" t="s">
        <v>912</v>
      </c>
      <c r="AE192" t="s">
        <v>912</v>
      </c>
      <c r="AT192" t="s">
        <v>917</v>
      </c>
      <c r="BI192" t="s">
        <v>912</v>
      </c>
      <c r="BX192" t="s">
        <v>917</v>
      </c>
      <c r="CM192" t="s">
        <v>917</v>
      </c>
      <c r="DB192" t="s">
        <v>914</v>
      </c>
      <c r="DQ192" t="s">
        <v>917</v>
      </c>
      <c r="EF192" t="s">
        <v>914</v>
      </c>
      <c r="EU192" t="s">
        <v>917</v>
      </c>
      <c r="FJ192" t="s">
        <v>914</v>
      </c>
      <c r="FY192" t="s">
        <v>917</v>
      </c>
      <c r="HC192" t="s">
        <v>914</v>
      </c>
      <c r="HR192" t="s">
        <v>919</v>
      </c>
      <c r="IG192" t="s">
        <v>919</v>
      </c>
      <c r="JK192" t="s">
        <v>917</v>
      </c>
      <c r="KO192" t="s">
        <v>917</v>
      </c>
      <c r="LD192" t="s">
        <v>921</v>
      </c>
      <c r="MH192" t="s">
        <v>914</v>
      </c>
      <c r="MW192" t="s">
        <v>914</v>
      </c>
      <c r="NL192" t="s">
        <v>917</v>
      </c>
    </row>
    <row r="193" spans="1:376" ht="15.75" hidden="1" customHeight="1" x14ac:dyDescent="0.25">
      <c r="A193" t="s">
        <v>913</v>
      </c>
      <c r="P193" t="s">
        <v>913</v>
      </c>
      <c r="AE193" t="s">
        <v>913</v>
      </c>
      <c r="AT193" t="s">
        <v>918</v>
      </c>
      <c r="BI193" t="s">
        <v>913</v>
      </c>
      <c r="BX193" t="s">
        <v>918</v>
      </c>
      <c r="CM193" t="s">
        <v>918</v>
      </c>
      <c r="DB193" t="s">
        <v>915</v>
      </c>
      <c r="DQ193" t="s">
        <v>918</v>
      </c>
      <c r="EF193" t="s">
        <v>915</v>
      </c>
      <c r="EU193" t="s">
        <v>918</v>
      </c>
      <c r="FJ193" t="s">
        <v>915</v>
      </c>
      <c r="FY193" t="s">
        <v>918</v>
      </c>
      <c r="GN193" t="s">
        <v>916</v>
      </c>
      <c r="HC193" t="s">
        <v>915</v>
      </c>
      <c r="HR193" t="s">
        <v>920</v>
      </c>
      <c r="IG193" t="s">
        <v>920</v>
      </c>
      <c r="IV193" t="s">
        <v>916</v>
      </c>
      <c r="JK193" t="s">
        <v>918</v>
      </c>
      <c r="JZ193" t="s">
        <v>916</v>
      </c>
      <c r="KO193" t="s">
        <v>918</v>
      </c>
      <c r="LS193" t="s">
        <v>916</v>
      </c>
      <c r="MH193" t="s">
        <v>915</v>
      </c>
      <c r="MW193" t="s">
        <v>915</v>
      </c>
      <c r="NL193" t="s">
        <v>918</v>
      </c>
    </row>
    <row r="194" spans="1:376" ht="15.75" hidden="1" customHeight="1" x14ac:dyDescent="0.25">
      <c r="A194" t="s">
        <v>914</v>
      </c>
      <c r="P194" t="s">
        <v>914</v>
      </c>
      <c r="AE194" t="s">
        <v>914</v>
      </c>
      <c r="AT194" t="s">
        <v>919</v>
      </c>
      <c r="BI194" t="s">
        <v>914</v>
      </c>
      <c r="BX194" t="s">
        <v>919</v>
      </c>
      <c r="CM194" t="s">
        <v>919</v>
      </c>
      <c r="DQ194" t="s">
        <v>919</v>
      </c>
      <c r="EU194" t="s">
        <v>919</v>
      </c>
      <c r="FY194" t="s">
        <v>919</v>
      </c>
      <c r="GN194" t="s">
        <v>917</v>
      </c>
      <c r="HR194" t="s">
        <v>921</v>
      </c>
      <c r="IG194" t="s">
        <v>921</v>
      </c>
      <c r="IV194" t="s">
        <v>917</v>
      </c>
      <c r="JK194" t="s">
        <v>919</v>
      </c>
      <c r="JZ194" t="s">
        <v>917</v>
      </c>
      <c r="KO194" t="s">
        <v>919</v>
      </c>
      <c r="LD194" t="s">
        <v>922</v>
      </c>
      <c r="LS194" t="s">
        <v>917</v>
      </c>
      <c r="NL194" t="s">
        <v>919</v>
      </c>
    </row>
    <row r="195" spans="1:376" ht="15.75" hidden="1" customHeight="1" x14ac:dyDescent="0.25">
      <c r="A195" t="s">
        <v>915</v>
      </c>
      <c r="P195" t="s">
        <v>915</v>
      </c>
      <c r="AE195" t="s">
        <v>915</v>
      </c>
      <c r="AT195" t="s">
        <v>920</v>
      </c>
      <c r="BI195" t="s">
        <v>915</v>
      </c>
      <c r="BX195" t="s">
        <v>920</v>
      </c>
      <c r="CM195" t="s">
        <v>920</v>
      </c>
      <c r="DB195" t="s">
        <v>916</v>
      </c>
      <c r="DQ195" t="s">
        <v>920</v>
      </c>
      <c r="EF195" t="s">
        <v>916</v>
      </c>
      <c r="EU195" t="s">
        <v>920</v>
      </c>
      <c r="FJ195" t="s">
        <v>916</v>
      </c>
      <c r="FY195" t="s">
        <v>920</v>
      </c>
      <c r="GN195" t="s">
        <v>918</v>
      </c>
      <c r="HC195" t="s">
        <v>916</v>
      </c>
      <c r="IV195" t="s">
        <v>918</v>
      </c>
      <c r="JK195" t="s">
        <v>920</v>
      </c>
      <c r="JZ195" t="s">
        <v>918</v>
      </c>
      <c r="KO195" t="s">
        <v>920</v>
      </c>
      <c r="LD195" t="s">
        <v>923</v>
      </c>
      <c r="LS195" t="s">
        <v>918</v>
      </c>
      <c r="MH195" t="s">
        <v>916</v>
      </c>
      <c r="MW195" t="s">
        <v>916</v>
      </c>
      <c r="NL195" t="s">
        <v>920</v>
      </c>
    </row>
    <row r="196" spans="1:376" ht="15.75" hidden="1" customHeight="1" x14ac:dyDescent="0.25">
      <c r="AT196" t="s">
        <v>921</v>
      </c>
      <c r="BX196" t="s">
        <v>921</v>
      </c>
      <c r="CM196" t="s">
        <v>921</v>
      </c>
      <c r="DB196" t="s">
        <v>917</v>
      </c>
      <c r="DQ196" t="s">
        <v>921</v>
      </c>
      <c r="EF196" t="s">
        <v>917</v>
      </c>
      <c r="EU196" t="s">
        <v>921</v>
      </c>
      <c r="FJ196" t="s">
        <v>917</v>
      </c>
      <c r="FY196" t="s">
        <v>921</v>
      </c>
      <c r="GN196" t="s">
        <v>919</v>
      </c>
      <c r="HC196" t="s">
        <v>917</v>
      </c>
      <c r="HR196" t="s">
        <v>922</v>
      </c>
      <c r="IG196" t="s">
        <v>922</v>
      </c>
      <c r="IV196" t="s">
        <v>919</v>
      </c>
      <c r="JK196" t="s">
        <v>921</v>
      </c>
      <c r="JZ196" t="s">
        <v>919</v>
      </c>
      <c r="KO196" t="s">
        <v>921</v>
      </c>
      <c r="LD196" t="s">
        <v>924</v>
      </c>
      <c r="LS196" t="s">
        <v>919</v>
      </c>
      <c r="MH196" t="s">
        <v>917</v>
      </c>
      <c r="MW196" t="s">
        <v>917</v>
      </c>
      <c r="NL196" t="s">
        <v>921</v>
      </c>
    </row>
    <row r="197" spans="1:376" ht="15.75" hidden="1" customHeight="1" x14ac:dyDescent="0.25">
      <c r="A197" t="s">
        <v>916</v>
      </c>
      <c r="P197" t="s">
        <v>916</v>
      </c>
      <c r="AE197" t="s">
        <v>916</v>
      </c>
      <c r="BI197" t="s">
        <v>916</v>
      </c>
      <c r="DB197" t="s">
        <v>918</v>
      </c>
      <c r="EF197" t="s">
        <v>918</v>
      </c>
      <c r="FJ197" t="s">
        <v>918</v>
      </c>
      <c r="GN197" t="s">
        <v>920</v>
      </c>
      <c r="HC197" t="s">
        <v>918</v>
      </c>
      <c r="HR197" t="s">
        <v>923</v>
      </c>
      <c r="IG197" t="s">
        <v>923</v>
      </c>
      <c r="IV197" t="s">
        <v>920</v>
      </c>
      <c r="JZ197" t="s">
        <v>920</v>
      </c>
      <c r="LD197" t="s">
        <v>925</v>
      </c>
      <c r="LS197" t="s">
        <v>920</v>
      </c>
      <c r="MH197" t="s">
        <v>918</v>
      </c>
      <c r="MW197" t="s">
        <v>918</v>
      </c>
    </row>
    <row r="198" spans="1:376" ht="15.75" hidden="1" customHeight="1" x14ac:dyDescent="0.25">
      <c r="A198" t="s">
        <v>917</v>
      </c>
      <c r="P198" t="s">
        <v>917</v>
      </c>
      <c r="AE198" t="s">
        <v>917</v>
      </c>
      <c r="AT198" t="s">
        <v>922</v>
      </c>
      <c r="BI198" t="s">
        <v>917</v>
      </c>
      <c r="BX198" t="s">
        <v>922</v>
      </c>
      <c r="CM198" t="s">
        <v>922</v>
      </c>
      <c r="DB198" t="s">
        <v>919</v>
      </c>
      <c r="DQ198" t="s">
        <v>922</v>
      </c>
      <c r="EF198" t="s">
        <v>919</v>
      </c>
      <c r="EU198" t="s">
        <v>922</v>
      </c>
      <c r="FJ198" t="s">
        <v>919</v>
      </c>
      <c r="FY198" t="s">
        <v>922</v>
      </c>
      <c r="GN198" t="s">
        <v>921</v>
      </c>
      <c r="HC198" t="s">
        <v>919</v>
      </c>
      <c r="HR198" t="s">
        <v>924</v>
      </c>
      <c r="IG198" t="s">
        <v>924</v>
      </c>
      <c r="IV198" t="s">
        <v>921</v>
      </c>
      <c r="JK198" t="s">
        <v>922</v>
      </c>
      <c r="JZ198" t="s">
        <v>921</v>
      </c>
      <c r="KO198" t="s">
        <v>922</v>
      </c>
      <c r="LS198" t="s">
        <v>921</v>
      </c>
      <c r="MH198" t="s">
        <v>919</v>
      </c>
      <c r="MW198" t="s">
        <v>919</v>
      </c>
      <c r="NL198" t="s">
        <v>922</v>
      </c>
    </row>
    <row r="199" spans="1:376" ht="15.75" hidden="1" customHeight="1" x14ac:dyDescent="0.25">
      <c r="A199" t="s">
        <v>918</v>
      </c>
      <c r="P199" t="s">
        <v>918</v>
      </c>
      <c r="AE199" t="s">
        <v>918</v>
      </c>
      <c r="AT199" t="s">
        <v>923</v>
      </c>
      <c r="BI199" t="s">
        <v>918</v>
      </c>
      <c r="BX199" t="s">
        <v>923</v>
      </c>
      <c r="CM199" t="s">
        <v>923</v>
      </c>
      <c r="DB199" t="s">
        <v>920</v>
      </c>
      <c r="DQ199" t="s">
        <v>923</v>
      </c>
      <c r="EF199" t="s">
        <v>920</v>
      </c>
      <c r="EU199" t="s">
        <v>923</v>
      </c>
      <c r="FJ199" t="s">
        <v>920</v>
      </c>
      <c r="FY199" t="s">
        <v>923</v>
      </c>
      <c r="HC199" t="s">
        <v>920</v>
      </c>
      <c r="HR199" t="s">
        <v>925</v>
      </c>
      <c r="IG199" t="s">
        <v>925</v>
      </c>
      <c r="JK199" t="s">
        <v>923</v>
      </c>
      <c r="KO199" t="s">
        <v>923</v>
      </c>
      <c r="LD199" t="s">
        <v>926</v>
      </c>
      <c r="MH199" t="s">
        <v>920</v>
      </c>
      <c r="MW199" t="s">
        <v>920</v>
      </c>
      <c r="NL199" t="s">
        <v>923</v>
      </c>
    </row>
    <row r="200" spans="1:376" ht="15.75" hidden="1" customHeight="1" x14ac:dyDescent="0.25">
      <c r="A200" t="s">
        <v>919</v>
      </c>
      <c r="P200" t="s">
        <v>919</v>
      </c>
      <c r="AE200" t="s">
        <v>919</v>
      </c>
      <c r="AT200" t="s">
        <v>924</v>
      </c>
      <c r="BI200" t="s">
        <v>919</v>
      </c>
      <c r="BX200" t="s">
        <v>924</v>
      </c>
      <c r="CM200" t="s">
        <v>924</v>
      </c>
      <c r="DB200" t="s">
        <v>921</v>
      </c>
      <c r="DQ200" t="s">
        <v>924</v>
      </c>
      <c r="EF200" t="s">
        <v>921</v>
      </c>
      <c r="EU200" t="s">
        <v>924</v>
      </c>
      <c r="FJ200" t="s">
        <v>921</v>
      </c>
      <c r="FY200" t="s">
        <v>924</v>
      </c>
      <c r="GN200" t="s">
        <v>922</v>
      </c>
      <c r="HC200" t="s">
        <v>921</v>
      </c>
      <c r="IV200" t="s">
        <v>922</v>
      </c>
      <c r="JK200" t="s">
        <v>924</v>
      </c>
      <c r="JZ200" t="s">
        <v>922</v>
      </c>
      <c r="KO200" t="s">
        <v>924</v>
      </c>
      <c r="LS200" t="s">
        <v>922</v>
      </c>
      <c r="MH200" t="s">
        <v>921</v>
      </c>
      <c r="MW200" t="s">
        <v>921</v>
      </c>
      <c r="NL200" t="s">
        <v>924</v>
      </c>
    </row>
    <row r="201" spans="1:376" ht="15.75" hidden="1" customHeight="1" x14ac:dyDescent="0.25">
      <c r="A201" t="s">
        <v>920</v>
      </c>
      <c r="P201" t="s">
        <v>920</v>
      </c>
      <c r="AE201" t="s">
        <v>920</v>
      </c>
      <c r="AT201" t="s">
        <v>925</v>
      </c>
      <c r="BI201" t="s">
        <v>920</v>
      </c>
      <c r="BX201" t="s">
        <v>925</v>
      </c>
      <c r="CM201" t="s">
        <v>925</v>
      </c>
      <c r="DQ201" t="s">
        <v>925</v>
      </c>
      <c r="EU201" t="s">
        <v>925</v>
      </c>
      <c r="FY201" t="s">
        <v>925</v>
      </c>
      <c r="GN201" t="s">
        <v>923</v>
      </c>
      <c r="HR201" t="s">
        <v>926</v>
      </c>
      <c r="IG201" t="s">
        <v>926</v>
      </c>
      <c r="IV201" t="s">
        <v>923</v>
      </c>
      <c r="JK201" t="s">
        <v>925</v>
      </c>
      <c r="JZ201" t="s">
        <v>923</v>
      </c>
      <c r="KO201" t="s">
        <v>925</v>
      </c>
      <c r="LD201" t="s">
        <v>735</v>
      </c>
      <c r="LS201" t="s">
        <v>923</v>
      </c>
      <c r="NL201" t="s">
        <v>925</v>
      </c>
    </row>
    <row r="202" spans="1:376" ht="15.75" hidden="1" customHeight="1" x14ac:dyDescent="0.25">
      <c r="A202" t="s">
        <v>921</v>
      </c>
      <c r="P202" t="s">
        <v>921</v>
      </c>
      <c r="AE202" t="s">
        <v>921</v>
      </c>
      <c r="BI202" t="s">
        <v>921</v>
      </c>
      <c r="DB202" t="s">
        <v>922</v>
      </c>
      <c r="EF202" t="s">
        <v>922</v>
      </c>
      <c r="FJ202" t="s">
        <v>922</v>
      </c>
      <c r="GN202" t="s">
        <v>924</v>
      </c>
      <c r="HC202" t="s">
        <v>922</v>
      </c>
      <c r="IV202" t="s">
        <v>924</v>
      </c>
      <c r="JZ202" t="s">
        <v>924</v>
      </c>
      <c r="LS202" t="s">
        <v>924</v>
      </c>
      <c r="MH202" t="s">
        <v>922</v>
      </c>
      <c r="MW202" t="s">
        <v>922</v>
      </c>
    </row>
    <row r="203" spans="1:376" ht="15.75" hidden="1" customHeight="1" x14ac:dyDescent="0.25">
      <c r="AT203" t="s">
        <v>926</v>
      </c>
      <c r="BX203" t="s">
        <v>926</v>
      </c>
      <c r="CM203" t="s">
        <v>926</v>
      </c>
      <c r="DB203" t="s">
        <v>923</v>
      </c>
      <c r="DQ203" t="s">
        <v>926</v>
      </c>
      <c r="EF203" t="s">
        <v>923</v>
      </c>
      <c r="EU203" t="s">
        <v>926</v>
      </c>
      <c r="FJ203" t="s">
        <v>923</v>
      </c>
      <c r="FY203" t="s">
        <v>926</v>
      </c>
      <c r="GN203" t="s">
        <v>925</v>
      </c>
      <c r="HC203" t="s">
        <v>923</v>
      </c>
      <c r="HR203" t="s">
        <v>751</v>
      </c>
      <c r="IG203" t="s">
        <v>734</v>
      </c>
      <c r="IV203" t="s">
        <v>925</v>
      </c>
      <c r="JK203" t="s">
        <v>926</v>
      </c>
      <c r="JZ203" t="s">
        <v>925</v>
      </c>
      <c r="KO203" t="s">
        <v>926</v>
      </c>
      <c r="LD203" t="s">
        <v>676</v>
      </c>
      <c r="LS203" t="s">
        <v>925</v>
      </c>
      <c r="MH203" t="s">
        <v>923</v>
      </c>
      <c r="MW203" t="s">
        <v>923</v>
      </c>
      <c r="NL203" t="s">
        <v>926</v>
      </c>
    </row>
    <row r="204" spans="1:376" ht="15.75" hidden="1" customHeight="1" x14ac:dyDescent="0.25">
      <c r="A204" t="s">
        <v>922</v>
      </c>
      <c r="P204" t="s">
        <v>922</v>
      </c>
      <c r="AE204" t="s">
        <v>922</v>
      </c>
      <c r="BI204" t="s">
        <v>922</v>
      </c>
      <c r="DB204" t="s">
        <v>924</v>
      </c>
      <c r="EF204" t="s">
        <v>924</v>
      </c>
      <c r="FJ204" t="s">
        <v>924</v>
      </c>
      <c r="HC204" t="s">
        <v>924</v>
      </c>
      <c r="LD204" t="s">
        <v>677</v>
      </c>
      <c r="MH204" t="s">
        <v>924</v>
      </c>
      <c r="MW204" t="s">
        <v>924</v>
      </c>
    </row>
    <row r="205" spans="1:376" ht="15.75" hidden="1" customHeight="1" x14ac:dyDescent="0.25">
      <c r="A205" t="s">
        <v>923</v>
      </c>
      <c r="P205" t="s">
        <v>923</v>
      </c>
      <c r="AE205" t="s">
        <v>923</v>
      </c>
      <c r="AT205" t="s">
        <v>741</v>
      </c>
      <c r="BI205" t="s">
        <v>923</v>
      </c>
      <c r="BX205" t="s">
        <v>742</v>
      </c>
      <c r="CM205" t="s">
        <v>721</v>
      </c>
      <c r="DB205" t="s">
        <v>925</v>
      </c>
      <c r="DQ205" t="s">
        <v>733</v>
      </c>
      <c r="EF205" t="s">
        <v>925</v>
      </c>
      <c r="EU205" t="s">
        <v>738</v>
      </c>
      <c r="FJ205" t="s">
        <v>925</v>
      </c>
      <c r="FY205" t="s">
        <v>750</v>
      </c>
      <c r="GN205" t="s">
        <v>926</v>
      </c>
      <c r="HC205" t="s">
        <v>925</v>
      </c>
      <c r="HR205" t="s">
        <v>676</v>
      </c>
      <c r="IG205" t="s">
        <v>676</v>
      </c>
      <c r="IV205" t="s">
        <v>926</v>
      </c>
      <c r="JK205" t="s">
        <v>739</v>
      </c>
      <c r="JZ205" t="s">
        <v>926</v>
      </c>
      <c r="KO205" t="s">
        <v>740</v>
      </c>
      <c r="LD205" t="s">
        <v>678</v>
      </c>
      <c r="LS205" t="s">
        <v>926</v>
      </c>
      <c r="MH205" t="s">
        <v>925</v>
      </c>
      <c r="MW205" t="s">
        <v>925</v>
      </c>
      <c r="NL205" t="s">
        <v>725</v>
      </c>
    </row>
    <row r="206" spans="1:376" ht="15.75" hidden="1" customHeight="1" x14ac:dyDescent="0.25">
      <c r="A206" t="s">
        <v>924</v>
      </c>
      <c r="P206" t="s">
        <v>924</v>
      </c>
      <c r="AE206" t="s">
        <v>924</v>
      </c>
      <c r="BI206" t="s">
        <v>924</v>
      </c>
      <c r="HR206" t="s">
        <v>677</v>
      </c>
      <c r="IG206" t="s">
        <v>677</v>
      </c>
      <c r="LD206" t="s">
        <v>679</v>
      </c>
    </row>
    <row r="207" spans="1:376" ht="15.75" hidden="1" customHeight="1" x14ac:dyDescent="0.25">
      <c r="A207" t="s">
        <v>925</v>
      </c>
      <c r="P207" t="s">
        <v>925</v>
      </c>
      <c r="AE207" t="s">
        <v>925</v>
      </c>
      <c r="AT207" t="s">
        <v>676</v>
      </c>
      <c r="BI207" t="s">
        <v>925</v>
      </c>
      <c r="BX207" t="s">
        <v>676</v>
      </c>
      <c r="CM207" t="s">
        <v>676</v>
      </c>
      <c r="DB207" t="s">
        <v>926</v>
      </c>
      <c r="DQ207" t="s">
        <v>676</v>
      </c>
      <c r="EF207" t="s">
        <v>926</v>
      </c>
      <c r="EU207" t="s">
        <v>676</v>
      </c>
      <c r="FJ207" t="s">
        <v>926</v>
      </c>
      <c r="FY207" t="s">
        <v>676</v>
      </c>
      <c r="GN207" t="s">
        <v>729</v>
      </c>
      <c r="HC207" t="s">
        <v>926</v>
      </c>
      <c r="HR207" t="s">
        <v>678</v>
      </c>
      <c r="IG207" t="s">
        <v>678</v>
      </c>
      <c r="IV207" t="s">
        <v>730</v>
      </c>
      <c r="JK207" t="s">
        <v>676</v>
      </c>
      <c r="JZ207" t="s">
        <v>752</v>
      </c>
      <c r="KO207" t="s">
        <v>676</v>
      </c>
      <c r="LD207" t="s">
        <v>680</v>
      </c>
      <c r="LS207" t="s">
        <v>724</v>
      </c>
      <c r="MH207" t="s">
        <v>926</v>
      </c>
      <c r="MW207" t="s">
        <v>926</v>
      </c>
      <c r="NL207" t="s">
        <v>676</v>
      </c>
    </row>
    <row r="208" spans="1:376" ht="15.75" hidden="1" customHeight="1" x14ac:dyDescent="0.25">
      <c r="AT208" t="s">
        <v>677</v>
      </c>
      <c r="BX208" t="s">
        <v>677</v>
      </c>
      <c r="CM208" t="s">
        <v>677</v>
      </c>
      <c r="DQ208" t="s">
        <v>677</v>
      </c>
      <c r="EU208" t="s">
        <v>677</v>
      </c>
      <c r="FY208" t="s">
        <v>677</v>
      </c>
      <c r="HR208" t="s">
        <v>679</v>
      </c>
      <c r="IG208" t="s">
        <v>679</v>
      </c>
      <c r="JK208" t="s">
        <v>677</v>
      </c>
      <c r="KO208" t="s">
        <v>677</v>
      </c>
      <c r="LD208" t="s">
        <v>681</v>
      </c>
      <c r="NL208" t="s">
        <v>677</v>
      </c>
    </row>
    <row r="209" spans="1:376" ht="15.75" hidden="1" customHeight="1" x14ac:dyDescent="0.25">
      <c r="A209" t="s">
        <v>926</v>
      </c>
      <c r="P209" t="s">
        <v>926</v>
      </c>
      <c r="AE209" t="s">
        <v>926</v>
      </c>
      <c r="AT209" t="s">
        <v>678</v>
      </c>
      <c r="BI209" t="s">
        <v>926</v>
      </c>
      <c r="BX209" t="s">
        <v>678</v>
      </c>
      <c r="CM209" t="s">
        <v>678</v>
      </c>
      <c r="DB209" t="s">
        <v>722</v>
      </c>
      <c r="DQ209" t="s">
        <v>678</v>
      </c>
      <c r="EF209" t="s">
        <v>749</v>
      </c>
      <c r="EU209" t="s">
        <v>678</v>
      </c>
      <c r="FJ209" t="s">
        <v>728</v>
      </c>
      <c r="FY209" t="s">
        <v>678</v>
      </c>
      <c r="GN209" t="s">
        <v>676</v>
      </c>
      <c r="HC209" t="s">
        <v>745</v>
      </c>
      <c r="HR209" t="s">
        <v>680</v>
      </c>
      <c r="IG209" t="s">
        <v>680</v>
      </c>
      <c r="IV209" t="s">
        <v>676</v>
      </c>
      <c r="JK209" t="s">
        <v>678</v>
      </c>
      <c r="JZ209" t="s">
        <v>676</v>
      </c>
      <c r="KO209" t="s">
        <v>678</v>
      </c>
      <c r="LD209" t="s">
        <v>682</v>
      </c>
      <c r="LS209" t="s">
        <v>676</v>
      </c>
      <c r="MH209" t="s">
        <v>746</v>
      </c>
      <c r="MW209" t="s">
        <v>747</v>
      </c>
      <c r="NL209" t="s">
        <v>678</v>
      </c>
    </row>
    <row r="210" spans="1:376" ht="15.75" hidden="1" customHeight="1" x14ac:dyDescent="0.25">
      <c r="AT210" t="s">
        <v>679</v>
      </c>
      <c r="BX210" t="s">
        <v>679</v>
      </c>
      <c r="CM210" t="s">
        <v>679</v>
      </c>
      <c r="DQ210" t="s">
        <v>679</v>
      </c>
      <c r="EU210" t="s">
        <v>679</v>
      </c>
      <c r="FY210" t="s">
        <v>679</v>
      </c>
      <c r="GN210" t="s">
        <v>677</v>
      </c>
      <c r="HR210" t="s">
        <v>681</v>
      </c>
      <c r="IG210" t="s">
        <v>681</v>
      </c>
      <c r="IV210" t="s">
        <v>677</v>
      </c>
      <c r="JK210" t="s">
        <v>679</v>
      </c>
      <c r="JZ210" t="s">
        <v>677</v>
      </c>
      <c r="KO210" t="s">
        <v>679</v>
      </c>
      <c r="LD210" t="s">
        <v>683</v>
      </c>
      <c r="LS210" t="s">
        <v>677</v>
      </c>
      <c r="NL210" t="s">
        <v>679</v>
      </c>
    </row>
    <row r="211" spans="1:376" ht="15.75" hidden="1" customHeight="1" x14ac:dyDescent="0.25">
      <c r="A211" t="s">
        <v>674</v>
      </c>
      <c r="P211" t="s">
        <v>744</v>
      </c>
      <c r="AE211" t="s">
        <v>723</v>
      </c>
      <c r="AT211" t="s">
        <v>680</v>
      </c>
      <c r="BI211" t="s">
        <v>753</v>
      </c>
      <c r="BX211" t="s">
        <v>680</v>
      </c>
      <c r="CM211" t="s">
        <v>680</v>
      </c>
      <c r="DB211" t="s">
        <v>676</v>
      </c>
      <c r="DQ211" t="s">
        <v>680</v>
      </c>
      <c r="EF211" t="s">
        <v>676</v>
      </c>
      <c r="EU211" t="s">
        <v>680</v>
      </c>
      <c r="FJ211" t="s">
        <v>676</v>
      </c>
      <c r="FY211" t="s">
        <v>680</v>
      </c>
      <c r="GN211" t="s">
        <v>678</v>
      </c>
      <c r="HC211" t="s">
        <v>676</v>
      </c>
      <c r="HR211" t="s">
        <v>682</v>
      </c>
      <c r="IG211" t="s">
        <v>682</v>
      </c>
      <c r="IV211" t="s">
        <v>678</v>
      </c>
      <c r="JK211" t="s">
        <v>680</v>
      </c>
      <c r="JZ211" t="s">
        <v>678</v>
      </c>
      <c r="KO211" t="s">
        <v>680</v>
      </c>
      <c r="LD211" t="s">
        <v>684</v>
      </c>
      <c r="LS211" t="s">
        <v>678</v>
      </c>
      <c r="MH211" t="s">
        <v>676</v>
      </c>
      <c r="MW211" t="s">
        <v>676</v>
      </c>
      <c r="NL211" t="s">
        <v>680</v>
      </c>
    </row>
    <row r="212" spans="1:376" ht="15.75" hidden="1" customHeight="1" x14ac:dyDescent="0.25">
      <c r="AT212" t="s">
        <v>681</v>
      </c>
      <c r="BX212" t="s">
        <v>681</v>
      </c>
      <c r="CM212" t="s">
        <v>681</v>
      </c>
      <c r="DB212" t="s">
        <v>677</v>
      </c>
      <c r="DQ212" t="s">
        <v>681</v>
      </c>
      <c r="EF212" t="s">
        <v>677</v>
      </c>
      <c r="EU212" t="s">
        <v>681</v>
      </c>
      <c r="FJ212" t="s">
        <v>677</v>
      </c>
      <c r="FY212" t="s">
        <v>681</v>
      </c>
      <c r="GN212" t="s">
        <v>679</v>
      </c>
      <c r="HC212" t="s">
        <v>677</v>
      </c>
      <c r="HR212" t="s">
        <v>683</v>
      </c>
      <c r="IG212" t="s">
        <v>683</v>
      </c>
      <c r="IV212" t="s">
        <v>679</v>
      </c>
      <c r="JK212" t="s">
        <v>681</v>
      </c>
      <c r="JZ212" t="s">
        <v>679</v>
      </c>
      <c r="KO212" t="s">
        <v>681</v>
      </c>
      <c r="LD212" t="s">
        <v>685</v>
      </c>
      <c r="LS212" t="s">
        <v>679</v>
      </c>
      <c r="MH212" t="s">
        <v>677</v>
      </c>
      <c r="MW212" t="s">
        <v>677</v>
      </c>
      <c r="NL212" t="s">
        <v>681</v>
      </c>
    </row>
    <row r="213" spans="1:376" ht="15.75" hidden="1" customHeight="1" x14ac:dyDescent="0.25">
      <c r="A213" t="s">
        <v>676</v>
      </c>
      <c r="P213" t="s">
        <v>676</v>
      </c>
      <c r="AE213" t="s">
        <v>676</v>
      </c>
      <c r="AT213" t="s">
        <v>682</v>
      </c>
      <c r="BI213" t="s">
        <v>676</v>
      </c>
      <c r="BX213" t="s">
        <v>682</v>
      </c>
      <c r="CM213" t="s">
        <v>682</v>
      </c>
      <c r="DB213" t="s">
        <v>678</v>
      </c>
      <c r="DQ213" t="s">
        <v>682</v>
      </c>
      <c r="EF213" t="s">
        <v>678</v>
      </c>
      <c r="EU213" t="s">
        <v>682</v>
      </c>
      <c r="FJ213" t="s">
        <v>678</v>
      </c>
      <c r="FY213" t="s">
        <v>682</v>
      </c>
      <c r="GN213" t="s">
        <v>680</v>
      </c>
      <c r="HC213" t="s">
        <v>678</v>
      </c>
      <c r="HR213" t="s">
        <v>684</v>
      </c>
      <c r="IG213" t="s">
        <v>684</v>
      </c>
      <c r="IV213" t="s">
        <v>680</v>
      </c>
      <c r="JK213" t="s">
        <v>682</v>
      </c>
      <c r="JZ213" t="s">
        <v>680</v>
      </c>
      <c r="KO213" t="s">
        <v>682</v>
      </c>
      <c r="LD213" t="s">
        <v>686</v>
      </c>
      <c r="LS213" t="s">
        <v>680</v>
      </c>
      <c r="MH213" t="s">
        <v>678</v>
      </c>
      <c r="MW213" t="s">
        <v>678</v>
      </c>
      <c r="NL213" t="s">
        <v>682</v>
      </c>
    </row>
    <row r="214" spans="1:376" ht="15.75" hidden="1" customHeight="1" x14ac:dyDescent="0.25">
      <c r="A214" t="s">
        <v>677</v>
      </c>
      <c r="P214" t="s">
        <v>677</v>
      </c>
      <c r="AE214" t="s">
        <v>677</v>
      </c>
      <c r="AT214" t="s">
        <v>683</v>
      </c>
      <c r="BI214" t="s">
        <v>677</v>
      </c>
      <c r="BX214" t="s">
        <v>683</v>
      </c>
      <c r="CM214" t="s">
        <v>683</v>
      </c>
      <c r="DB214" t="s">
        <v>679</v>
      </c>
      <c r="DQ214" t="s">
        <v>683</v>
      </c>
      <c r="EF214" t="s">
        <v>679</v>
      </c>
      <c r="EU214" t="s">
        <v>683</v>
      </c>
      <c r="FJ214" t="s">
        <v>679</v>
      </c>
      <c r="FY214" t="s">
        <v>683</v>
      </c>
      <c r="GN214" t="s">
        <v>681</v>
      </c>
      <c r="HC214" t="s">
        <v>679</v>
      </c>
      <c r="HR214" t="s">
        <v>685</v>
      </c>
      <c r="IG214" t="s">
        <v>685</v>
      </c>
      <c r="IV214" t="s">
        <v>681</v>
      </c>
      <c r="JK214" t="s">
        <v>683</v>
      </c>
      <c r="JZ214" t="s">
        <v>681</v>
      </c>
      <c r="KO214" t="s">
        <v>683</v>
      </c>
      <c r="LS214" t="s">
        <v>681</v>
      </c>
      <c r="MH214" t="s">
        <v>679</v>
      </c>
      <c r="MW214" t="s">
        <v>679</v>
      </c>
      <c r="NL214" t="s">
        <v>683</v>
      </c>
    </row>
    <row r="215" spans="1:376" ht="15.75" hidden="1" customHeight="1" x14ac:dyDescent="0.25">
      <c r="A215" t="s">
        <v>678</v>
      </c>
      <c r="P215" t="s">
        <v>678</v>
      </c>
      <c r="AE215" t="s">
        <v>678</v>
      </c>
      <c r="AT215" t="s">
        <v>684</v>
      </c>
      <c r="BI215" t="s">
        <v>678</v>
      </c>
      <c r="BX215" t="s">
        <v>684</v>
      </c>
      <c r="CM215" t="s">
        <v>684</v>
      </c>
      <c r="DB215" t="s">
        <v>680</v>
      </c>
      <c r="DQ215" t="s">
        <v>684</v>
      </c>
      <c r="EF215" t="s">
        <v>680</v>
      </c>
      <c r="EU215" t="s">
        <v>684</v>
      </c>
      <c r="FJ215" t="s">
        <v>680</v>
      </c>
      <c r="FY215" t="s">
        <v>684</v>
      </c>
      <c r="GN215" t="s">
        <v>682</v>
      </c>
      <c r="HC215" t="s">
        <v>680</v>
      </c>
      <c r="HR215" t="s">
        <v>686</v>
      </c>
      <c r="IG215" t="s">
        <v>686</v>
      </c>
      <c r="IV215" t="s">
        <v>682</v>
      </c>
      <c r="JK215" t="s">
        <v>684</v>
      </c>
      <c r="JZ215" t="s">
        <v>682</v>
      </c>
      <c r="KO215" t="s">
        <v>684</v>
      </c>
      <c r="LD215" t="s">
        <v>927</v>
      </c>
      <c r="LS215" t="s">
        <v>682</v>
      </c>
      <c r="MH215" t="s">
        <v>680</v>
      </c>
      <c r="MW215" t="s">
        <v>680</v>
      </c>
      <c r="NL215" t="s">
        <v>684</v>
      </c>
    </row>
    <row r="216" spans="1:376" ht="15.75" hidden="1" customHeight="1" x14ac:dyDescent="0.25">
      <c r="A216" t="s">
        <v>679</v>
      </c>
      <c r="P216" t="s">
        <v>679</v>
      </c>
      <c r="AE216" t="s">
        <v>679</v>
      </c>
      <c r="AT216" t="s">
        <v>685</v>
      </c>
      <c r="BI216" t="s">
        <v>679</v>
      </c>
      <c r="BX216" t="s">
        <v>685</v>
      </c>
      <c r="CM216" t="s">
        <v>685</v>
      </c>
      <c r="DB216" t="s">
        <v>681</v>
      </c>
      <c r="DQ216" t="s">
        <v>685</v>
      </c>
      <c r="EF216" t="s">
        <v>681</v>
      </c>
      <c r="EU216" t="s">
        <v>685</v>
      </c>
      <c r="FJ216" t="s">
        <v>681</v>
      </c>
      <c r="FY216" t="s">
        <v>685</v>
      </c>
      <c r="GN216" t="s">
        <v>683</v>
      </c>
      <c r="HC216" t="s">
        <v>681</v>
      </c>
      <c r="IV216" t="s">
        <v>683</v>
      </c>
      <c r="JK216" t="s">
        <v>685</v>
      </c>
      <c r="JZ216" t="s">
        <v>683</v>
      </c>
      <c r="KO216" t="s">
        <v>685</v>
      </c>
      <c r="LS216" t="s">
        <v>683</v>
      </c>
      <c r="MH216" t="s">
        <v>681</v>
      </c>
      <c r="MW216" t="s">
        <v>681</v>
      </c>
      <c r="NL216" t="s">
        <v>685</v>
      </c>
    </row>
    <row r="217" spans="1:376" ht="15.75" hidden="1" customHeight="1" x14ac:dyDescent="0.25">
      <c r="A217" t="s">
        <v>680</v>
      </c>
      <c r="P217" t="s">
        <v>680</v>
      </c>
      <c r="AE217" t="s">
        <v>680</v>
      </c>
      <c r="AT217" t="s">
        <v>686</v>
      </c>
      <c r="BI217" t="s">
        <v>680</v>
      </c>
      <c r="BX217" t="s">
        <v>686</v>
      </c>
      <c r="CM217" t="s">
        <v>686</v>
      </c>
      <c r="DB217" t="s">
        <v>682</v>
      </c>
      <c r="DQ217" t="s">
        <v>686</v>
      </c>
      <c r="EF217" t="s">
        <v>682</v>
      </c>
      <c r="EU217" t="s">
        <v>686</v>
      </c>
      <c r="FJ217" t="s">
        <v>682</v>
      </c>
      <c r="FY217" t="s">
        <v>686</v>
      </c>
      <c r="GN217" t="s">
        <v>684</v>
      </c>
      <c r="HC217" t="s">
        <v>682</v>
      </c>
      <c r="HR217" t="s">
        <v>927</v>
      </c>
      <c r="IG217" t="s">
        <v>927</v>
      </c>
      <c r="IV217" t="s">
        <v>684</v>
      </c>
      <c r="JK217" t="s">
        <v>686</v>
      </c>
      <c r="JZ217" t="s">
        <v>684</v>
      </c>
      <c r="KO217" t="s">
        <v>686</v>
      </c>
      <c r="LD217" t="s">
        <v>928</v>
      </c>
      <c r="LS217" t="s">
        <v>684</v>
      </c>
      <c r="MH217" t="s">
        <v>682</v>
      </c>
      <c r="MW217" t="s">
        <v>682</v>
      </c>
      <c r="NL217" t="s">
        <v>686</v>
      </c>
    </row>
    <row r="218" spans="1:376" ht="15.75" hidden="1" customHeight="1" x14ac:dyDescent="0.25">
      <c r="A218" t="s">
        <v>681</v>
      </c>
      <c r="P218" t="s">
        <v>681</v>
      </c>
      <c r="AE218" t="s">
        <v>681</v>
      </c>
      <c r="BI218" t="s">
        <v>681</v>
      </c>
      <c r="DB218" t="s">
        <v>683</v>
      </c>
      <c r="EF218" t="s">
        <v>683</v>
      </c>
      <c r="FJ218" t="s">
        <v>683</v>
      </c>
      <c r="GN218" t="s">
        <v>685</v>
      </c>
      <c r="HC218" t="s">
        <v>683</v>
      </c>
      <c r="IV218" t="s">
        <v>685</v>
      </c>
      <c r="JZ218" t="s">
        <v>685</v>
      </c>
      <c r="LS218" t="s">
        <v>685</v>
      </c>
      <c r="MH218" t="s">
        <v>683</v>
      </c>
      <c r="MW218" t="s">
        <v>683</v>
      </c>
    </row>
    <row r="219" spans="1:376" ht="15.75" hidden="1" customHeight="1" x14ac:dyDescent="0.25">
      <c r="A219" t="s">
        <v>682</v>
      </c>
      <c r="P219" t="s">
        <v>682</v>
      </c>
      <c r="AE219" t="s">
        <v>682</v>
      </c>
      <c r="AT219" t="s">
        <v>927</v>
      </c>
      <c r="BI219" t="s">
        <v>682</v>
      </c>
      <c r="BX219" t="s">
        <v>927</v>
      </c>
      <c r="CM219" t="s">
        <v>927</v>
      </c>
      <c r="DB219" t="s">
        <v>684</v>
      </c>
      <c r="DQ219" t="s">
        <v>927</v>
      </c>
      <c r="EF219" t="s">
        <v>684</v>
      </c>
      <c r="EU219" t="s">
        <v>927</v>
      </c>
      <c r="FJ219" t="s">
        <v>684</v>
      </c>
      <c r="FY219" t="s">
        <v>927</v>
      </c>
      <c r="GN219" t="s">
        <v>686</v>
      </c>
      <c r="HC219" t="s">
        <v>684</v>
      </c>
      <c r="HR219" t="s">
        <v>928</v>
      </c>
      <c r="IG219" t="s">
        <v>928</v>
      </c>
      <c r="IV219" t="s">
        <v>686</v>
      </c>
      <c r="JK219" t="s">
        <v>927</v>
      </c>
      <c r="JZ219" t="s">
        <v>686</v>
      </c>
      <c r="KO219" t="s">
        <v>927</v>
      </c>
      <c r="LD219" t="s">
        <v>929</v>
      </c>
      <c r="LS219" t="s">
        <v>686</v>
      </c>
      <c r="MH219" t="s">
        <v>684</v>
      </c>
      <c r="MW219" t="s">
        <v>684</v>
      </c>
      <c r="NL219" t="s">
        <v>927</v>
      </c>
    </row>
    <row r="220" spans="1:376" ht="15.75" hidden="1" customHeight="1" x14ac:dyDescent="0.25">
      <c r="A220" t="s">
        <v>683</v>
      </c>
      <c r="P220" t="s">
        <v>683</v>
      </c>
      <c r="AE220" t="s">
        <v>683</v>
      </c>
      <c r="BI220" t="s">
        <v>683</v>
      </c>
      <c r="DB220" t="s">
        <v>685</v>
      </c>
      <c r="EF220" t="s">
        <v>685</v>
      </c>
      <c r="FJ220" t="s">
        <v>685</v>
      </c>
      <c r="HC220" t="s">
        <v>685</v>
      </c>
      <c r="MH220" t="s">
        <v>685</v>
      </c>
      <c r="MW220" t="s">
        <v>685</v>
      </c>
    </row>
    <row r="221" spans="1:376" ht="15.75" hidden="1" customHeight="1" x14ac:dyDescent="0.25">
      <c r="A221" t="s">
        <v>684</v>
      </c>
      <c r="P221" t="s">
        <v>684</v>
      </c>
      <c r="AE221" t="s">
        <v>684</v>
      </c>
      <c r="AT221" t="s">
        <v>928</v>
      </c>
      <c r="BI221" t="s">
        <v>684</v>
      </c>
      <c r="BX221" t="s">
        <v>928</v>
      </c>
      <c r="CM221" t="s">
        <v>928</v>
      </c>
      <c r="DB221" t="s">
        <v>686</v>
      </c>
      <c r="DQ221" t="s">
        <v>928</v>
      </c>
      <c r="EF221" t="s">
        <v>686</v>
      </c>
      <c r="EU221" t="s">
        <v>928</v>
      </c>
      <c r="FJ221" t="s">
        <v>686</v>
      </c>
      <c r="FY221" t="s">
        <v>928</v>
      </c>
      <c r="GN221" t="s">
        <v>927</v>
      </c>
      <c r="HC221" t="s">
        <v>686</v>
      </c>
      <c r="HR221" t="s">
        <v>929</v>
      </c>
      <c r="IG221" t="s">
        <v>929</v>
      </c>
      <c r="IV221" t="s">
        <v>927</v>
      </c>
      <c r="JK221" t="s">
        <v>928</v>
      </c>
      <c r="JZ221" t="s">
        <v>927</v>
      </c>
      <c r="KO221" t="s">
        <v>928</v>
      </c>
      <c r="LD221" t="s">
        <v>930</v>
      </c>
      <c r="LS221" t="s">
        <v>927</v>
      </c>
      <c r="MH221" t="s">
        <v>686</v>
      </c>
      <c r="MW221" t="s">
        <v>686</v>
      </c>
      <c r="NL221" t="s">
        <v>928</v>
      </c>
    </row>
    <row r="222" spans="1:376" ht="15.75" hidden="1" customHeight="1" x14ac:dyDescent="0.25">
      <c r="A222" t="s">
        <v>685</v>
      </c>
      <c r="P222" t="s">
        <v>685</v>
      </c>
      <c r="AE222" t="s">
        <v>685</v>
      </c>
      <c r="BI222" t="s">
        <v>685</v>
      </c>
      <c r="LD222" t="s">
        <v>931</v>
      </c>
    </row>
    <row r="223" spans="1:376" ht="15.75" hidden="1" customHeight="1" x14ac:dyDescent="0.25">
      <c r="A223" t="s">
        <v>686</v>
      </c>
      <c r="P223" t="s">
        <v>686</v>
      </c>
      <c r="AE223" t="s">
        <v>686</v>
      </c>
      <c r="AT223" t="s">
        <v>929</v>
      </c>
      <c r="BI223" t="s">
        <v>686</v>
      </c>
      <c r="BX223" t="s">
        <v>929</v>
      </c>
      <c r="CM223" t="s">
        <v>929</v>
      </c>
      <c r="DB223" t="s">
        <v>927</v>
      </c>
      <c r="DQ223" t="s">
        <v>929</v>
      </c>
      <c r="EF223" t="s">
        <v>927</v>
      </c>
      <c r="EU223" t="s">
        <v>929</v>
      </c>
      <c r="FJ223" t="s">
        <v>927</v>
      </c>
      <c r="FY223" t="s">
        <v>929</v>
      </c>
      <c r="GN223" t="s">
        <v>928</v>
      </c>
      <c r="HC223" t="s">
        <v>927</v>
      </c>
      <c r="HR223" t="s">
        <v>930</v>
      </c>
      <c r="IG223" t="s">
        <v>930</v>
      </c>
      <c r="IV223" t="s">
        <v>928</v>
      </c>
      <c r="JK223" t="s">
        <v>929</v>
      </c>
      <c r="JZ223" t="s">
        <v>928</v>
      </c>
      <c r="KO223" t="s">
        <v>929</v>
      </c>
      <c r="LD223" t="s">
        <v>932</v>
      </c>
      <c r="LS223" t="s">
        <v>928</v>
      </c>
      <c r="MH223" t="s">
        <v>927</v>
      </c>
      <c r="MW223" t="s">
        <v>927</v>
      </c>
      <c r="NL223" t="s">
        <v>929</v>
      </c>
    </row>
    <row r="224" spans="1:376" ht="15.75" hidden="1" customHeight="1" x14ac:dyDescent="0.25">
      <c r="HR224" t="s">
        <v>931</v>
      </c>
      <c r="IG224" t="s">
        <v>931</v>
      </c>
      <c r="LD224" t="s">
        <v>933</v>
      </c>
    </row>
    <row r="225" spans="1:376" ht="15.75" hidden="1" customHeight="1" x14ac:dyDescent="0.25">
      <c r="A225" t="s">
        <v>927</v>
      </c>
      <c r="P225" t="s">
        <v>927</v>
      </c>
      <c r="AE225" t="s">
        <v>927</v>
      </c>
      <c r="AT225" t="s">
        <v>930</v>
      </c>
      <c r="BI225" t="s">
        <v>927</v>
      </c>
      <c r="BX225" t="s">
        <v>930</v>
      </c>
      <c r="CM225" t="s">
        <v>930</v>
      </c>
      <c r="DB225" t="s">
        <v>928</v>
      </c>
      <c r="DQ225" t="s">
        <v>930</v>
      </c>
      <c r="EF225" t="s">
        <v>928</v>
      </c>
      <c r="EU225" t="s">
        <v>930</v>
      </c>
      <c r="FJ225" t="s">
        <v>928</v>
      </c>
      <c r="FY225" t="s">
        <v>930</v>
      </c>
      <c r="GN225" t="s">
        <v>929</v>
      </c>
      <c r="HC225" t="s">
        <v>928</v>
      </c>
      <c r="HR225" t="s">
        <v>932</v>
      </c>
      <c r="IG225" t="s">
        <v>932</v>
      </c>
      <c r="IV225" t="s">
        <v>929</v>
      </c>
      <c r="JK225" t="s">
        <v>930</v>
      </c>
      <c r="JZ225" t="s">
        <v>929</v>
      </c>
      <c r="KO225" t="s">
        <v>930</v>
      </c>
      <c r="LD225" t="s">
        <v>934</v>
      </c>
      <c r="LS225" t="s">
        <v>929</v>
      </c>
      <c r="MH225" t="s">
        <v>928</v>
      </c>
      <c r="MW225" t="s">
        <v>928</v>
      </c>
      <c r="NL225" t="s">
        <v>930</v>
      </c>
    </row>
    <row r="226" spans="1:376" ht="15.75" hidden="1" customHeight="1" x14ac:dyDescent="0.25">
      <c r="AT226" t="s">
        <v>931</v>
      </c>
      <c r="BX226" t="s">
        <v>931</v>
      </c>
      <c r="CM226" t="s">
        <v>931</v>
      </c>
      <c r="DQ226" t="s">
        <v>931</v>
      </c>
      <c r="EU226" t="s">
        <v>931</v>
      </c>
      <c r="FY226" t="s">
        <v>931</v>
      </c>
      <c r="HR226" t="s">
        <v>933</v>
      </c>
      <c r="IG226" t="s">
        <v>933</v>
      </c>
      <c r="JK226" t="s">
        <v>931</v>
      </c>
      <c r="KO226" t="s">
        <v>931</v>
      </c>
      <c r="LD226" t="s">
        <v>935</v>
      </c>
      <c r="NL226" t="s">
        <v>931</v>
      </c>
    </row>
    <row r="227" spans="1:376" ht="15.75" hidden="1" customHeight="1" x14ac:dyDescent="0.25">
      <c r="A227" t="s">
        <v>928</v>
      </c>
      <c r="P227" t="s">
        <v>928</v>
      </c>
      <c r="AE227" t="s">
        <v>928</v>
      </c>
      <c r="AT227" t="s">
        <v>932</v>
      </c>
      <c r="BI227" t="s">
        <v>928</v>
      </c>
      <c r="BX227" t="s">
        <v>932</v>
      </c>
      <c r="CM227" t="s">
        <v>932</v>
      </c>
      <c r="DB227" t="s">
        <v>929</v>
      </c>
      <c r="DQ227" t="s">
        <v>932</v>
      </c>
      <c r="EF227" t="s">
        <v>929</v>
      </c>
      <c r="EU227" t="s">
        <v>932</v>
      </c>
      <c r="FJ227" t="s">
        <v>929</v>
      </c>
      <c r="FY227" t="s">
        <v>932</v>
      </c>
      <c r="GN227" t="s">
        <v>930</v>
      </c>
      <c r="HC227" t="s">
        <v>929</v>
      </c>
      <c r="HR227" t="s">
        <v>934</v>
      </c>
      <c r="IG227" t="s">
        <v>934</v>
      </c>
      <c r="IV227" t="s">
        <v>930</v>
      </c>
      <c r="JK227" t="s">
        <v>932</v>
      </c>
      <c r="JZ227" t="s">
        <v>930</v>
      </c>
      <c r="KO227" t="s">
        <v>932</v>
      </c>
      <c r="LD227" t="s">
        <v>936</v>
      </c>
      <c r="LS227" t="s">
        <v>930</v>
      </c>
      <c r="MH227" t="s">
        <v>929</v>
      </c>
      <c r="MW227" t="s">
        <v>929</v>
      </c>
      <c r="NL227" t="s">
        <v>932</v>
      </c>
    </row>
    <row r="228" spans="1:376" ht="15.75" hidden="1" customHeight="1" x14ac:dyDescent="0.25">
      <c r="AT228" t="s">
        <v>933</v>
      </c>
      <c r="BX228" t="s">
        <v>933</v>
      </c>
      <c r="CM228" t="s">
        <v>933</v>
      </c>
      <c r="DQ228" t="s">
        <v>933</v>
      </c>
      <c r="EU228" t="s">
        <v>933</v>
      </c>
      <c r="FY228" t="s">
        <v>933</v>
      </c>
      <c r="GN228" t="s">
        <v>931</v>
      </c>
      <c r="HR228" t="s">
        <v>935</v>
      </c>
      <c r="IG228" t="s">
        <v>935</v>
      </c>
      <c r="IV228" t="s">
        <v>931</v>
      </c>
      <c r="JK228" t="s">
        <v>933</v>
      </c>
      <c r="JZ228" t="s">
        <v>931</v>
      </c>
      <c r="KO228" t="s">
        <v>933</v>
      </c>
      <c r="LS228" t="s">
        <v>931</v>
      </c>
      <c r="NL228" t="s">
        <v>933</v>
      </c>
    </row>
    <row r="229" spans="1:376" ht="15.75" hidden="1" customHeight="1" x14ac:dyDescent="0.25">
      <c r="A229" t="s">
        <v>929</v>
      </c>
      <c r="P229" t="s">
        <v>929</v>
      </c>
      <c r="AE229" t="s">
        <v>929</v>
      </c>
      <c r="AT229" t="s">
        <v>934</v>
      </c>
      <c r="BI229" t="s">
        <v>929</v>
      </c>
      <c r="BX229" t="s">
        <v>934</v>
      </c>
      <c r="CM229" t="s">
        <v>934</v>
      </c>
      <c r="DB229" t="s">
        <v>930</v>
      </c>
      <c r="DQ229" t="s">
        <v>934</v>
      </c>
      <c r="EF229" t="s">
        <v>930</v>
      </c>
      <c r="EU229" t="s">
        <v>934</v>
      </c>
      <c r="FJ229" t="s">
        <v>930</v>
      </c>
      <c r="FY229" t="s">
        <v>934</v>
      </c>
      <c r="GN229" t="s">
        <v>932</v>
      </c>
      <c r="HC229" t="s">
        <v>930</v>
      </c>
      <c r="HR229" t="s">
        <v>936</v>
      </c>
      <c r="IG229" t="s">
        <v>936</v>
      </c>
      <c r="IV229" t="s">
        <v>932</v>
      </c>
      <c r="JK229" t="s">
        <v>934</v>
      </c>
      <c r="JZ229" t="s">
        <v>932</v>
      </c>
      <c r="KO229" t="s">
        <v>934</v>
      </c>
      <c r="LD229" t="s">
        <v>937</v>
      </c>
      <c r="LS229" t="s">
        <v>932</v>
      </c>
      <c r="MH229" t="s">
        <v>930</v>
      </c>
      <c r="MW229" t="s">
        <v>930</v>
      </c>
      <c r="NL229" t="s">
        <v>934</v>
      </c>
    </row>
    <row r="230" spans="1:376" ht="15.75" hidden="1" customHeight="1" x14ac:dyDescent="0.25">
      <c r="AT230" t="s">
        <v>935</v>
      </c>
      <c r="BX230" t="s">
        <v>935</v>
      </c>
      <c r="CM230" t="s">
        <v>935</v>
      </c>
      <c r="DB230" t="s">
        <v>931</v>
      </c>
      <c r="DQ230" t="s">
        <v>935</v>
      </c>
      <c r="EF230" t="s">
        <v>931</v>
      </c>
      <c r="EU230" t="s">
        <v>935</v>
      </c>
      <c r="FJ230" t="s">
        <v>931</v>
      </c>
      <c r="FY230" t="s">
        <v>935</v>
      </c>
      <c r="GN230" t="s">
        <v>933</v>
      </c>
      <c r="HC230" t="s">
        <v>931</v>
      </c>
      <c r="IV230" t="s">
        <v>933</v>
      </c>
      <c r="JK230" t="s">
        <v>935</v>
      </c>
      <c r="JZ230" t="s">
        <v>933</v>
      </c>
      <c r="KO230" t="s">
        <v>935</v>
      </c>
      <c r="LD230" t="s">
        <v>938</v>
      </c>
      <c r="LS230" t="s">
        <v>933</v>
      </c>
      <c r="MH230" t="s">
        <v>931</v>
      </c>
      <c r="MW230" t="s">
        <v>931</v>
      </c>
      <c r="NL230" t="s">
        <v>935</v>
      </c>
    </row>
    <row r="231" spans="1:376" ht="15.75" hidden="1" customHeight="1" x14ac:dyDescent="0.25">
      <c r="A231" t="s">
        <v>930</v>
      </c>
      <c r="P231" t="s">
        <v>930</v>
      </c>
      <c r="AE231" t="s">
        <v>930</v>
      </c>
      <c r="AT231" t="s">
        <v>936</v>
      </c>
      <c r="BI231" t="s">
        <v>930</v>
      </c>
      <c r="BX231" t="s">
        <v>936</v>
      </c>
      <c r="CM231" t="s">
        <v>936</v>
      </c>
      <c r="DB231" t="s">
        <v>932</v>
      </c>
      <c r="DQ231" t="s">
        <v>936</v>
      </c>
      <c r="EF231" t="s">
        <v>932</v>
      </c>
      <c r="EU231" t="s">
        <v>936</v>
      </c>
      <c r="FJ231" t="s">
        <v>932</v>
      </c>
      <c r="FY231" t="s">
        <v>936</v>
      </c>
      <c r="GN231" t="s">
        <v>934</v>
      </c>
      <c r="HC231" t="s">
        <v>932</v>
      </c>
      <c r="HR231" t="s">
        <v>937</v>
      </c>
      <c r="IG231" t="s">
        <v>937</v>
      </c>
      <c r="IV231" t="s">
        <v>934</v>
      </c>
      <c r="JK231" t="s">
        <v>936</v>
      </c>
      <c r="JZ231" t="s">
        <v>934</v>
      </c>
      <c r="KO231" t="s">
        <v>936</v>
      </c>
      <c r="LD231" t="s">
        <v>939</v>
      </c>
      <c r="LS231" t="s">
        <v>934</v>
      </c>
      <c r="MH231" t="s">
        <v>932</v>
      </c>
      <c r="MW231" t="s">
        <v>932</v>
      </c>
      <c r="NL231" t="s">
        <v>936</v>
      </c>
    </row>
    <row r="232" spans="1:376" ht="15.75" hidden="1" customHeight="1" x14ac:dyDescent="0.25">
      <c r="A232" t="s">
        <v>931</v>
      </c>
      <c r="P232" t="s">
        <v>931</v>
      </c>
      <c r="AE232" t="s">
        <v>931</v>
      </c>
      <c r="BI232" t="s">
        <v>931</v>
      </c>
      <c r="DB232" t="s">
        <v>933</v>
      </c>
      <c r="EF232" t="s">
        <v>933</v>
      </c>
      <c r="FJ232" t="s">
        <v>933</v>
      </c>
      <c r="GN232" t="s">
        <v>935</v>
      </c>
      <c r="HC232" t="s">
        <v>933</v>
      </c>
      <c r="HR232" t="s">
        <v>938</v>
      </c>
      <c r="IG232" t="s">
        <v>938</v>
      </c>
      <c r="IV232" t="s">
        <v>935</v>
      </c>
      <c r="JZ232" t="s">
        <v>935</v>
      </c>
      <c r="LD232" t="s">
        <v>940</v>
      </c>
      <c r="LS232" t="s">
        <v>935</v>
      </c>
      <c r="MH232" t="s">
        <v>933</v>
      </c>
      <c r="MW232" t="s">
        <v>933</v>
      </c>
    </row>
    <row r="233" spans="1:376" ht="15.75" hidden="1" customHeight="1" x14ac:dyDescent="0.25">
      <c r="A233" t="s">
        <v>932</v>
      </c>
      <c r="P233" t="s">
        <v>932</v>
      </c>
      <c r="AE233" t="s">
        <v>932</v>
      </c>
      <c r="AT233" t="s">
        <v>937</v>
      </c>
      <c r="BI233" t="s">
        <v>932</v>
      </c>
      <c r="BX233" t="s">
        <v>937</v>
      </c>
      <c r="CM233" t="s">
        <v>937</v>
      </c>
      <c r="DB233" t="s">
        <v>934</v>
      </c>
      <c r="DQ233" t="s">
        <v>937</v>
      </c>
      <c r="EF233" t="s">
        <v>934</v>
      </c>
      <c r="EU233" t="s">
        <v>937</v>
      </c>
      <c r="FJ233" t="s">
        <v>934</v>
      </c>
      <c r="FY233" t="s">
        <v>937</v>
      </c>
      <c r="GN233" t="s">
        <v>936</v>
      </c>
      <c r="HC233" t="s">
        <v>934</v>
      </c>
      <c r="HR233" t="s">
        <v>939</v>
      </c>
      <c r="IG233" t="s">
        <v>939</v>
      </c>
      <c r="IV233" t="s">
        <v>936</v>
      </c>
      <c r="JK233" t="s">
        <v>937</v>
      </c>
      <c r="JZ233" t="s">
        <v>936</v>
      </c>
      <c r="KO233" t="s">
        <v>937</v>
      </c>
      <c r="LD233" t="s">
        <v>941</v>
      </c>
      <c r="LS233" t="s">
        <v>936</v>
      </c>
      <c r="MH233" t="s">
        <v>934</v>
      </c>
      <c r="MW233" t="s">
        <v>934</v>
      </c>
      <c r="NL233" t="s">
        <v>937</v>
      </c>
    </row>
    <row r="234" spans="1:376" ht="15.75" hidden="1" customHeight="1" x14ac:dyDescent="0.25">
      <c r="A234" t="s">
        <v>933</v>
      </c>
      <c r="P234" t="s">
        <v>933</v>
      </c>
      <c r="AE234" t="s">
        <v>933</v>
      </c>
      <c r="AT234" t="s">
        <v>938</v>
      </c>
      <c r="BI234" t="s">
        <v>933</v>
      </c>
      <c r="BX234" t="s">
        <v>938</v>
      </c>
      <c r="CM234" t="s">
        <v>938</v>
      </c>
      <c r="DB234" t="s">
        <v>935</v>
      </c>
      <c r="DQ234" t="s">
        <v>938</v>
      </c>
      <c r="EF234" t="s">
        <v>935</v>
      </c>
      <c r="EU234" t="s">
        <v>938</v>
      </c>
      <c r="FJ234" t="s">
        <v>935</v>
      </c>
      <c r="FY234" t="s">
        <v>938</v>
      </c>
      <c r="HC234" t="s">
        <v>935</v>
      </c>
      <c r="HR234" t="s">
        <v>940</v>
      </c>
      <c r="IG234" t="s">
        <v>940</v>
      </c>
      <c r="JK234" t="s">
        <v>938</v>
      </c>
      <c r="KO234" t="s">
        <v>938</v>
      </c>
      <c r="LD234" t="s">
        <v>942</v>
      </c>
      <c r="MH234" t="s">
        <v>935</v>
      </c>
      <c r="MW234" t="s">
        <v>935</v>
      </c>
      <c r="NL234" t="s">
        <v>938</v>
      </c>
    </row>
    <row r="235" spans="1:376" ht="15.75" hidden="1" customHeight="1" x14ac:dyDescent="0.25">
      <c r="A235" t="s">
        <v>934</v>
      </c>
      <c r="P235" t="s">
        <v>934</v>
      </c>
      <c r="AE235" t="s">
        <v>934</v>
      </c>
      <c r="AT235" t="s">
        <v>939</v>
      </c>
      <c r="BI235" t="s">
        <v>934</v>
      </c>
      <c r="BX235" t="s">
        <v>939</v>
      </c>
      <c r="CM235" t="s">
        <v>939</v>
      </c>
      <c r="DB235" t="s">
        <v>936</v>
      </c>
      <c r="DQ235" t="s">
        <v>939</v>
      </c>
      <c r="EF235" t="s">
        <v>936</v>
      </c>
      <c r="EU235" t="s">
        <v>939</v>
      </c>
      <c r="FJ235" t="s">
        <v>936</v>
      </c>
      <c r="FY235" t="s">
        <v>939</v>
      </c>
      <c r="GN235" t="s">
        <v>937</v>
      </c>
      <c r="HC235" t="s">
        <v>936</v>
      </c>
      <c r="HR235" t="s">
        <v>941</v>
      </c>
      <c r="IG235" t="s">
        <v>941</v>
      </c>
      <c r="IV235" t="s">
        <v>937</v>
      </c>
      <c r="JK235" t="s">
        <v>939</v>
      </c>
      <c r="JZ235" t="s">
        <v>937</v>
      </c>
      <c r="KO235" t="s">
        <v>939</v>
      </c>
      <c r="LD235" t="s">
        <v>943</v>
      </c>
      <c r="LS235" t="s">
        <v>937</v>
      </c>
      <c r="MH235" t="s">
        <v>936</v>
      </c>
      <c r="MW235" t="s">
        <v>936</v>
      </c>
      <c r="NL235" t="s">
        <v>939</v>
      </c>
    </row>
    <row r="236" spans="1:376" ht="15.75" hidden="1" customHeight="1" x14ac:dyDescent="0.25">
      <c r="A236" t="s">
        <v>935</v>
      </c>
      <c r="P236" t="s">
        <v>935</v>
      </c>
      <c r="AE236" t="s">
        <v>935</v>
      </c>
      <c r="AT236" t="s">
        <v>940</v>
      </c>
      <c r="BI236" t="s">
        <v>935</v>
      </c>
      <c r="BX236" t="s">
        <v>940</v>
      </c>
      <c r="CM236" t="s">
        <v>940</v>
      </c>
      <c r="DQ236" t="s">
        <v>940</v>
      </c>
      <c r="EU236" t="s">
        <v>940</v>
      </c>
      <c r="FY236" t="s">
        <v>940</v>
      </c>
      <c r="GN236" t="s">
        <v>938</v>
      </c>
      <c r="HR236" t="s">
        <v>942</v>
      </c>
      <c r="IG236" t="s">
        <v>942</v>
      </c>
      <c r="IV236" t="s">
        <v>938</v>
      </c>
      <c r="JK236" t="s">
        <v>940</v>
      </c>
      <c r="JZ236" t="s">
        <v>938</v>
      </c>
      <c r="KO236" t="s">
        <v>940</v>
      </c>
      <c r="LD236" t="s">
        <v>944</v>
      </c>
      <c r="LS236" t="s">
        <v>938</v>
      </c>
      <c r="NL236" t="s">
        <v>940</v>
      </c>
    </row>
    <row r="237" spans="1:376" ht="15.75" hidden="1" customHeight="1" x14ac:dyDescent="0.25">
      <c r="A237" t="s">
        <v>936</v>
      </c>
      <c r="P237" t="s">
        <v>936</v>
      </c>
      <c r="AE237" t="s">
        <v>936</v>
      </c>
      <c r="AT237" t="s">
        <v>941</v>
      </c>
      <c r="BI237" t="s">
        <v>936</v>
      </c>
      <c r="BX237" t="s">
        <v>941</v>
      </c>
      <c r="CM237" t="s">
        <v>941</v>
      </c>
      <c r="DB237" t="s">
        <v>937</v>
      </c>
      <c r="DQ237" t="s">
        <v>941</v>
      </c>
      <c r="EF237" t="s">
        <v>937</v>
      </c>
      <c r="EU237" t="s">
        <v>941</v>
      </c>
      <c r="FJ237" t="s">
        <v>937</v>
      </c>
      <c r="FY237" t="s">
        <v>941</v>
      </c>
      <c r="GN237" t="s">
        <v>939</v>
      </c>
      <c r="HC237" t="s">
        <v>937</v>
      </c>
      <c r="HR237" t="s">
        <v>943</v>
      </c>
      <c r="IG237" t="s">
        <v>943</v>
      </c>
      <c r="IV237" t="s">
        <v>939</v>
      </c>
      <c r="JK237" t="s">
        <v>941</v>
      </c>
      <c r="JZ237" t="s">
        <v>939</v>
      </c>
      <c r="KO237" t="s">
        <v>941</v>
      </c>
      <c r="LD237" t="s">
        <v>945</v>
      </c>
      <c r="LS237" t="s">
        <v>939</v>
      </c>
      <c r="MH237" t="s">
        <v>937</v>
      </c>
      <c r="MW237" t="s">
        <v>937</v>
      </c>
      <c r="NL237" t="s">
        <v>941</v>
      </c>
    </row>
    <row r="238" spans="1:376" ht="15.75" hidden="1" customHeight="1" x14ac:dyDescent="0.25">
      <c r="AT238" t="s">
        <v>942</v>
      </c>
      <c r="BX238" t="s">
        <v>942</v>
      </c>
      <c r="CM238" t="s">
        <v>942</v>
      </c>
      <c r="DB238" t="s">
        <v>938</v>
      </c>
      <c r="DQ238" t="s">
        <v>942</v>
      </c>
      <c r="EF238" t="s">
        <v>938</v>
      </c>
      <c r="EU238" t="s">
        <v>942</v>
      </c>
      <c r="FJ238" t="s">
        <v>938</v>
      </c>
      <c r="FY238" t="s">
        <v>942</v>
      </c>
      <c r="GN238" t="s">
        <v>940</v>
      </c>
      <c r="HC238" t="s">
        <v>938</v>
      </c>
      <c r="HR238" t="s">
        <v>944</v>
      </c>
      <c r="IG238" t="s">
        <v>944</v>
      </c>
      <c r="IV238" t="s">
        <v>940</v>
      </c>
      <c r="JK238" t="s">
        <v>942</v>
      </c>
      <c r="JZ238" t="s">
        <v>940</v>
      </c>
      <c r="KO238" t="s">
        <v>942</v>
      </c>
      <c r="LD238" t="s">
        <v>946</v>
      </c>
      <c r="LS238" t="s">
        <v>940</v>
      </c>
      <c r="MH238" t="s">
        <v>938</v>
      </c>
      <c r="MW238" t="s">
        <v>938</v>
      </c>
      <c r="NL238" t="s">
        <v>942</v>
      </c>
    </row>
    <row r="239" spans="1:376" ht="15.75" hidden="1" customHeight="1" x14ac:dyDescent="0.25">
      <c r="A239" t="s">
        <v>937</v>
      </c>
      <c r="P239" t="s">
        <v>937</v>
      </c>
      <c r="AE239" t="s">
        <v>937</v>
      </c>
      <c r="AT239" t="s">
        <v>943</v>
      </c>
      <c r="BI239" t="s">
        <v>937</v>
      </c>
      <c r="BX239" t="s">
        <v>943</v>
      </c>
      <c r="CM239" t="s">
        <v>943</v>
      </c>
      <c r="DB239" t="s">
        <v>939</v>
      </c>
      <c r="DQ239" t="s">
        <v>943</v>
      </c>
      <c r="EF239" t="s">
        <v>939</v>
      </c>
      <c r="EU239" t="s">
        <v>943</v>
      </c>
      <c r="FJ239" t="s">
        <v>939</v>
      </c>
      <c r="FY239" t="s">
        <v>943</v>
      </c>
      <c r="GN239" t="s">
        <v>941</v>
      </c>
      <c r="HC239" t="s">
        <v>939</v>
      </c>
      <c r="HR239" t="s">
        <v>945</v>
      </c>
      <c r="IG239" t="s">
        <v>945</v>
      </c>
      <c r="IV239" t="s">
        <v>941</v>
      </c>
      <c r="JK239" t="s">
        <v>943</v>
      </c>
      <c r="JZ239" t="s">
        <v>941</v>
      </c>
      <c r="KO239" t="s">
        <v>943</v>
      </c>
      <c r="LD239" t="s">
        <v>947</v>
      </c>
      <c r="LS239" t="s">
        <v>941</v>
      </c>
      <c r="MH239" t="s">
        <v>939</v>
      </c>
      <c r="MW239" t="s">
        <v>939</v>
      </c>
      <c r="NL239" t="s">
        <v>943</v>
      </c>
    </row>
    <row r="240" spans="1:376" ht="15.75" hidden="1" customHeight="1" x14ac:dyDescent="0.25">
      <c r="A240" t="s">
        <v>938</v>
      </c>
      <c r="P240" t="s">
        <v>938</v>
      </c>
      <c r="AE240" t="s">
        <v>938</v>
      </c>
      <c r="AT240" t="s">
        <v>944</v>
      </c>
      <c r="BI240" t="s">
        <v>938</v>
      </c>
      <c r="BX240" t="s">
        <v>944</v>
      </c>
      <c r="CM240" t="s">
        <v>944</v>
      </c>
      <c r="DB240" t="s">
        <v>940</v>
      </c>
      <c r="DQ240" t="s">
        <v>944</v>
      </c>
      <c r="EF240" t="s">
        <v>940</v>
      </c>
      <c r="EU240" t="s">
        <v>944</v>
      </c>
      <c r="FJ240" t="s">
        <v>940</v>
      </c>
      <c r="FY240" t="s">
        <v>944</v>
      </c>
      <c r="GN240" t="s">
        <v>942</v>
      </c>
      <c r="HC240" t="s">
        <v>940</v>
      </c>
      <c r="HR240" t="s">
        <v>946</v>
      </c>
      <c r="IG240" t="s">
        <v>946</v>
      </c>
      <c r="IV240" t="s">
        <v>942</v>
      </c>
      <c r="JK240" t="s">
        <v>944</v>
      </c>
      <c r="JZ240" t="s">
        <v>942</v>
      </c>
      <c r="KO240" t="s">
        <v>944</v>
      </c>
      <c r="LD240" t="s">
        <v>948</v>
      </c>
      <c r="LS240" t="s">
        <v>942</v>
      </c>
      <c r="MH240" t="s">
        <v>940</v>
      </c>
      <c r="MW240" t="s">
        <v>940</v>
      </c>
      <c r="NL240" t="s">
        <v>944</v>
      </c>
    </row>
    <row r="241" spans="1:376" ht="15.75" hidden="1" customHeight="1" x14ac:dyDescent="0.25">
      <c r="A241" t="s">
        <v>939</v>
      </c>
      <c r="P241" t="s">
        <v>939</v>
      </c>
      <c r="AE241" t="s">
        <v>939</v>
      </c>
      <c r="AT241" t="s">
        <v>945</v>
      </c>
      <c r="BI241" t="s">
        <v>939</v>
      </c>
      <c r="BX241" t="s">
        <v>945</v>
      </c>
      <c r="CM241" t="s">
        <v>945</v>
      </c>
      <c r="DB241" t="s">
        <v>941</v>
      </c>
      <c r="DQ241" t="s">
        <v>945</v>
      </c>
      <c r="EF241" t="s">
        <v>941</v>
      </c>
      <c r="EU241" t="s">
        <v>945</v>
      </c>
      <c r="FJ241" t="s">
        <v>941</v>
      </c>
      <c r="FY241" t="s">
        <v>945</v>
      </c>
      <c r="GN241" t="s">
        <v>943</v>
      </c>
      <c r="HC241" t="s">
        <v>941</v>
      </c>
      <c r="HR241" t="s">
        <v>947</v>
      </c>
      <c r="IG241" t="s">
        <v>947</v>
      </c>
      <c r="IV241" t="s">
        <v>943</v>
      </c>
      <c r="JK241" t="s">
        <v>945</v>
      </c>
      <c r="JZ241" t="s">
        <v>943</v>
      </c>
      <c r="KO241" t="s">
        <v>945</v>
      </c>
      <c r="LD241" t="s">
        <v>949</v>
      </c>
      <c r="LS241" t="s">
        <v>943</v>
      </c>
      <c r="MH241" t="s">
        <v>941</v>
      </c>
      <c r="MW241" t="s">
        <v>941</v>
      </c>
      <c r="NL241" t="s">
        <v>945</v>
      </c>
    </row>
    <row r="242" spans="1:376" ht="15.75" hidden="1" customHeight="1" x14ac:dyDescent="0.25">
      <c r="A242" t="s">
        <v>940</v>
      </c>
      <c r="P242" t="s">
        <v>940</v>
      </c>
      <c r="AE242" t="s">
        <v>940</v>
      </c>
      <c r="AT242" t="s">
        <v>946</v>
      </c>
      <c r="BI242" t="s">
        <v>940</v>
      </c>
      <c r="BX242" t="s">
        <v>946</v>
      </c>
      <c r="CM242" t="s">
        <v>946</v>
      </c>
      <c r="DB242" t="s">
        <v>942</v>
      </c>
      <c r="DQ242" t="s">
        <v>946</v>
      </c>
      <c r="EF242" t="s">
        <v>942</v>
      </c>
      <c r="EU242" t="s">
        <v>946</v>
      </c>
      <c r="FJ242" t="s">
        <v>942</v>
      </c>
      <c r="FY242" t="s">
        <v>946</v>
      </c>
      <c r="GN242" t="s">
        <v>944</v>
      </c>
      <c r="HC242" t="s">
        <v>942</v>
      </c>
      <c r="HR242" t="s">
        <v>948</v>
      </c>
      <c r="IG242" t="s">
        <v>948</v>
      </c>
      <c r="IV242" t="s">
        <v>944</v>
      </c>
      <c r="JK242" t="s">
        <v>946</v>
      </c>
      <c r="JZ242" t="s">
        <v>944</v>
      </c>
      <c r="KO242" t="s">
        <v>946</v>
      </c>
      <c r="LD242" t="s">
        <v>950</v>
      </c>
      <c r="LS242" t="s">
        <v>944</v>
      </c>
      <c r="MH242" t="s">
        <v>942</v>
      </c>
      <c r="MW242" t="s">
        <v>942</v>
      </c>
      <c r="NL242" t="s">
        <v>946</v>
      </c>
    </row>
    <row r="243" spans="1:376" ht="15.75" hidden="1" customHeight="1" x14ac:dyDescent="0.25">
      <c r="A243" t="s">
        <v>941</v>
      </c>
      <c r="P243" t="s">
        <v>941</v>
      </c>
      <c r="AE243" t="s">
        <v>941</v>
      </c>
      <c r="AT243" t="s">
        <v>947</v>
      </c>
      <c r="BI243" t="s">
        <v>941</v>
      </c>
      <c r="BX243" t="s">
        <v>947</v>
      </c>
      <c r="CM243" t="s">
        <v>947</v>
      </c>
      <c r="DB243" t="s">
        <v>943</v>
      </c>
      <c r="DQ243" t="s">
        <v>947</v>
      </c>
      <c r="EF243" t="s">
        <v>943</v>
      </c>
      <c r="EU243" t="s">
        <v>947</v>
      </c>
      <c r="FJ243" t="s">
        <v>943</v>
      </c>
      <c r="FY243" t="s">
        <v>947</v>
      </c>
      <c r="GN243" t="s">
        <v>945</v>
      </c>
      <c r="HC243" t="s">
        <v>943</v>
      </c>
      <c r="HR243" t="s">
        <v>949</v>
      </c>
      <c r="IG243" t="s">
        <v>949</v>
      </c>
      <c r="IV243" t="s">
        <v>945</v>
      </c>
      <c r="JK243" t="s">
        <v>947</v>
      </c>
      <c r="JZ243" t="s">
        <v>945</v>
      </c>
      <c r="KO243" t="s">
        <v>947</v>
      </c>
      <c r="LD243" t="s">
        <v>951</v>
      </c>
      <c r="LS243" t="s">
        <v>945</v>
      </c>
      <c r="MH243" t="s">
        <v>943</v>
      </c>
      <c r="MW243" t="s">
        <v>943</v>
      </c>
      <c r="NL243" t="s">
        <v>947</v>
      </c>
    </row>
    <row r="244" spans="1:376" ht="15.75" hidden="1" customHeight="1" x14ac:dyDescent="0.25">
      <c r="A244" t="s">
        <v>942</v>
      </c>
      <c r="P244" t="s">
        <v>942</v>
      </c>
      <c r="AE244" t="s">
        <v>942</v>
      </c>
      <c r="AT244" t="s">
        <v>948</v>
      </c>
      <c r="BI244" t="s">
        <v>942</v>
      </c>
      <c r="BX244" t="s">
        <v>948</v>
      </c>
      <c r="CM244" t="s">
        <v>948</v>
      </c>
      <c r="DB244" t="s">
        <v>944</v>
      </c>
      <c r="DQ244" t="s">
        <v>948</v>
      </c>
      <c r="EF244" t="s">
        <v>944</v>
      </c>
      <c r="EU244" t="s">
        <v>948</v>
      </c>
      <c r="FJ244" t="s">
        <v>944</v>
      </c>
      <c r="FY244" t="s">
        <v>948</v>
      </c>
      <c r="GN244" t="s">
        <v>946</v>
      </c>
      <c r="HC244" t="s">
        <v>944</v>
      </c>
      <c r="HR244" t="s">
        <v>950</v>
      </c>
      <c r="IG244" t="s">
        <v>950</v>
      </c>
      <c r="IV244" t="s">
        <v>946</v>
      </c>
      <c r="JK244" t="s">
        <v>948</v>
      </c>
      <c r="JZ244" t="s">
        <v>946</v>
      </c>
      <c r="KO244" t="s">
        <v>948</v>
      </c>
      <c r="LD244" t="s">
        <v>952</v>
      </c>
      <c r="LS244" t="s">
        <v>946</v>
      </c>
      <c r="MH244" t="s">
        <v>944</v>
      </c>
      <c r="MW244" t="s">
        <v>944</v>
      </c>
      <c r="NL244" t="s">
        <v>948</v>
      </c>
    </row>
    <row r="245" spans="1:376" ht="15.75" hidden="1" customHeight="1" x14ac:dyDescent="0.25">
      <c r="A245" t="s">
        <v>943</v>
      </c>
      <c r="P245" t="s">
        <v>943</v>
      </c>
      <c r="AE245" t="s">
        <v>943</v>
      </c>
      <c r="AT245" t="s">
        <v>949</v>
      </c>
      <c r="BI245" t="s">
        <v>943</v>
      </c>
      <c r="BX245" t="s">
        <v>949</v>
      </c>
      <c r="CM245" t="s">
        <v>949</v>
      </c>
      <c r="DB245" t="s">
        <v>945</v>
      </c>
      <c r="DQ245" t="s">
        <v>949</v>
      </c>
      <c r="EF245" t="s">
        <v>945</v>
      </c>
      <c r="EU245" t="s">
        <v>949</v>
      </c>
      <c r="FJ245" t="s">
        <v>945</v>
      </c>
      <c r="FY245" t="s">
        <v>949</v>
      </c>
      <c r="GN245" t="s">
        <v>947</v>
      </c>
      <c r="HC245" t="s">
        <v>945</v>
      </c>
      <c r="HR245" t="s">
        <v>951</v>
      </c>
      <c r="IG245" t="s">
        <v>951</v>
      </c>
      <c r="IV245" t="s">
        <v>947</v>
      </c>
      <c r="JK245" t="s">
        <v>949</v>
      </c>
      <c r="JZ245" t="s">
        <v>947</v>
      </c>
      <c r="KO245" t="s">
        <v>949</v>
      </c>
      <c r="LD245" t="s">
        <v>953</v>
      </c>
      <c r="LS245" t="s">
        <v>947</v>
      </c>
      <c r="MH245" t="s">
        <v>945</v>
      </c>
      <c r="MW245" t="s">
        <v>945</v>
      </c>
      <c r="NL245" t="s">
        <v>949</v>
      </c>
    </row>
    <row r="246" spans="1:376" ht="15.75" hidden="1" customHeight="1" x14ac:dyDescent="0.25">
      <c r="A246" t="s">
        <v>944</v>
      </c>
      <c r="P246" t="s">
        <v>944</v>
      </c>
      <c r="AE246" t="s">
        <v>944</v>
      </c>
      <c r="AT246" t="s">
        <v>950</v>
      </c>
      <c r="BI246" t="s">
        <v>944</v>
      </c>
      <c r="BX246" t="s">
        <v>950</v>
      </c>
      <c r="CM246" t="s">
        <v>950</v>
      </c>
      <c r="DB246" t="s">
        <v>946</v>
      </c>
      <c r="DQ246" t="s">
        <v>950</v>
      </c>
      <c r="EF246" t="s">
        <v>946</v>
      </c>
      <c r="EU246" t="s">
        <v>950</v>
      </c>
      <c r="FJ246" t="s">
        <v>946</v>
      </c>
      <c r="FY246" t="s">
        <v>950</v>
      </c>
      <c r="GN246" t="s">
        <v>948</v>
      </c>
      <c r="HC246" t="s">
        <v>946</v>
      </c>
      <c r="HR246" t="s">
        <v>952</v>
      </c>
      <c r="IG246" t="s">
        <v>952</v>
      </c>
      <c r="IV246" t="s">
        <v>948</v>
      </c>
      <c r="JK246" t="s">
        <v>950</v>
      </c>
      <c r="JZ246" t="s">
        <v>948</v>
      </c>
      <c r="KO246" t="s">
        <v>950</v>
      </c>
      <c r="LD246" t="s">
        <v>954</v>
      </c>
      <c r="LS246" t="s">
        <v>948</v>
      </c>
      <c r="MH246" t="s">
        <v>946</v>
      </c>
      <c r="MW246" t="s">
        <v>946</v>
      </c>
      <c r="NL246" t="s">
        <v>950</v>
      </c>
    </row>
    <row r="247" spans="1:376" ht="15.75" hidden="1" customHeight="1" x14ac:dyDescent="0.25">
      <c r="A247" t="s">
        <v>945</v>
      </c>
      <c r="P247" t="s">
        <v>945</v>
      </c>
      <c r="AE247" t="s">
        <v>945</v>
      </c>
      <c r="AT247" t="s">
        <v>951</v>
      </c>
      <c r="BI247" t="s">
        <v>945</v>
      </c>
      <c r="BX247" t="s">
        <v>951</v>
      </c>
      <c r="CM247" t="s">
        <v>951</v>
      </c>
      <c r="DB247" t="s">
        <v>947</v>
      </c>
      <c r="DQ247" t="s">
        <v>951</v>
      </c>
      <c r="EF247" t="s">
        <v>947</v>
      </c>
      <c r="EU247" t="s">
        <v>951</v>
      </c>
      <c r="FJ247" t="s">
        <v>947</v>
      </c>
      <c r="FY247" t="s">
        <v>951</v>
      </c>
      <c r="GN247" t="s">
        <v>949</v>
      </c>
      <c r="HC247" t="s">
        <v>947</v>
      </c>
      <c r="HR247" t="s">
        <v>953</v>
      </c>
      <c r="IG247" t="s">
        <v>953</v>
      </c>
      <c r="IV247" t="s">
        <v>949</v>
      </c>
      <c r="JK247" t="s">
        <v>951</v>
      </c>
      <c r="JZ247" t="s">
        <v>949</v>
      </c>
      <c r="KO247" t="s">
        <v>951</v>
      </c>
      <c r="LD247" t="s">
        <v>955</v>
      </c>
      <c r="LS247" t="s">
        <v>949</v>
      </c>
      <c r="MH247" t="s">
        <v>947</v>
      </c>
      <c r="MW247" t="s">
        <v>947</v>
      </c>
      <c r="NL247" t="s">
        <v>951</v>
      </c>
    </row>
    <row r="248" spans="1:376" ht="15.75" hidden="1" customHeight="1" x14ac:dyDescent="0.25">
      <c r="A248" t="s">
        <v>946</v>
      </c>
      <c r="P248" t="s">
        <v>946</v>
      </c>
      <c r="AE248" t="s">
        <v>946</v>
      </c>
      <c r="AT248" t="s">
        <v>952</v>
      </c>
      <c r="BI248" t="s">
        <v>946</v>
      </c>
      <c r="BX248" t="s">
        <v>952</v>
      </c>
      <c r="CM248" t="s">
        <v>952</v>
      </c>
      <c r="DB248" t="s">
        <v>948</v>
      </c>
      <c r="DQ248" t="s">
        <v>952</v>
      </c>
      <c r="EF248" t="s">
        <v>948</v>
      </c>
      <c r="EU248" t="s">
        <v>952</v>
      </c>
      <c r="FJ248" t="s">
        <v>948</v>
      </c>
      <c r="FY248" t="s">
        <v>952</v>
      </c>
      <c r="GN248" t="s">
        <v>950</v>
      </c>
      <c r="HC248" t="s">
        <v>948</v>
      </c>
      <c r="HR248" t="s">
        <v>954</v>
      </c>
      <c r="IG248" t="s">
        <v>954</v>
      </c>
      <c r="IV248" t="s">
        <v>950</v>
      </c>
      <c r="JK248" t="s">
        <v>952</v>
      </c>
      <c r="JZ248" t="s">
        <v>950</v>
      </c>
      <c r="KO248" t="s">
        <v>952</v>
      </c>
      <c r="LD248" t="s">
        <v>956</v>
      </c>
      <c r="LS248" t="s">
        <v>950</v>
      </c>
      <c r="MH248" t="s">
        <v>948</v>
      </c>
      <c r="MW248" t="s">
        <v>948</v>
      </c>
      <c r="NL248" t="s">
        <v>952</v>
      </c>
    </row>
    <row r="249" spans="1:376" ht="15.75" hidden="1" customHeight="1" x14ac:dyDescent="0.25">
      <c r="A249" t="s">
        <v>947</v>
      </c>
      <c r="P249" t="s">
        <v>947</v>
      </c>
      <c r="AE249" t="s">
        <v>947</v>
      </c>
      <c r="AT249" t="s">
        <v>953</v>
      </c>
      <c r="BI249" t="s">
        <v>947</v>
      </c>
      <c r="BX249" t="s">
        <v>953</v>
      </c>
      <c r="CM249" t="s">
        <v>953</v>
      </c>
      <c r="DB249" t="s">
        <v>949</v>
      </c>
      <c r="DQ249" t="s">
        <v>953</v>
      </c>
      <c r="EF249" t="s">
        <v>949</v>
      </c>
      <c r="EU249" t="s">
        <v>953</v>
      </c>
      <c r="FJ249" t="s">
        <v>949</v>
      </c>
      <c r="FY249" t="s">
        <v>953</v>
      </c>
      <c r="GN249" t="s">
        <v>951</v>
      </c>
      <c r="HC249" t="s">
        <v>949</v>
      </c>
      <c r="HR249" t="s">
        <v>955</v>
      </c>
      <c r="IG249" t="s">
        <v>955</v>
      </c>
      <c r="IV249" t="s">
        <v>951</v>
      </c>
      <c r="JK249" t="s">
        <v>953</v>
      </c>
      <c r="JZ249" t="s">
        <v>951</v>
      </c>
      <c r="KO249" t="s">
        <v>953</v>
      </c>
      <c r="LD249" t="s">
        <v>957</v>
      </c>
      <c r="LS249" t="s">
        <v>951</v>
      </c>
      <c r="MH249" t="s">
        <v>949</v>
      </c>
      <c r="MW249" t="s">
        <v>949</v>
      </c>
      <c r="NL249" t="s">
        <v>953</v>
      </c>
    </row>
    <row r="250" spans="1:376" ht="15.75" hidden="1" customHeight="1" x14ac:dyDescent="0.25">
      <c r="A250" t="s">
        <v>948</v>
      </c>
      <c r="P250" t="s">
        <v>948</v>
      </c>
      <c r="AE250" t="s">
        <v>948</v>
      </c>
      <c r="AT250" t="s">
        <v>954</v>
      </c>
      <c r="BI250" t="s">
        <v>948</v>
      </c>
      <c r="BX250" t="s">
        <v>954</v>
      </c>
      <c r="CM250" t="s">
        <v>954</v>
      </c>
      <c r="DB250" t="s">
        <v>950</v>
      </c>
      <c r="DQ250" t="s">
        <v>954</v>
      </c>
      <c r="EF250" t="s">
        <v>950</v>
      </c>
      <c r="EU250" t="s">
        <v>954</v>
      </c>
      <c r="FJ250" t="s">
        <v>950</v>
      </c>
      <c r="FY250" t="s">
        <v>954</v>
      </c>
      <c r="GN250" t="s">
        <v>952</v>
      </c>
      <c r="HC250" t="s">
        <v>950</v>
      </c>
      <c r="HR250" t="s">
        <v>956</v>
      </c>
      <c r="IG250" t="s">
        <v>956</v>
      </c>
      <c r="IV250" t="s">
        <v>952</v>
      </c>
      <c r="JK250" t="s">
        <v>954</v>
      </c>
      <c r="JZ250" t="s">
        <v>952</v>
      </c>
      <c r="KO250" t="s">
        <v>954</v>
      </c>
      <c r="LD250" t="s">
        <v>958</v>
      </c>
      <c r="LS250" t="s">
        <v>952</v>
      </c>
      <c r="MH250" t="s">
        <v>950</v>
      </c>
      <c r="MW250" t="s">
        <v>950</v>
      </c>
      <c r="NL250" t="s">
        <v>954</v>
      </c>
    </row>
    <row r="251" spans="1:376" ht="15.75" hidden="1" customHeight="1" x14ac:dyDescent="0.25">
      <c r="A251" t="s">
        <v>949</v>
      </c>
      <c r="P251" t="s">
        <v>949</v>
      </c>
      <c r="AE251" t="s">
        <v>949</v>
      </c>
      <c r="AT251" t="s">
        <v>955</v>
      </c>
      <c r="BI251" t="s">
        <v>949</v>
      </c>
      <c r="BX251" t="s">
        <v>955</v>
      </c>
      <c r="CM251" t="s">
        <v>955</v>
      </c>
      <c r="DB251" t="s">
        <v>951</v>
      </c>
      <c r="DQ251" t="s">
        <v>955</v>
      </c>
      <c r="EF251" t="s">
        <v>951</v>
      </c>
      <c r="EU251" t="s">
        <v>955</v>
      </c>
      <c r="FJ251" t="s">
        <v>951</v>
      </c>
      <c r="FY251" t="s">
        <v>955</v>
      </c>
      <c r="GN251" t="s">
        <v>953</v>
      </c>
      <c r="HC251" t="s">
        <v>951</v>
      </c>
      <c r="HR251" t="s">
        <v>957</v>
      </c>
      <c r="IG251" t="s">
        <v>957</v>
      </c>
      <c r="IV251" t="s">
        <v>953</v>
      </c>
      <c r="JK251" t="s">
        <v>955</v>
      </c>
      <c r="JZ251" t="s">
        <v>953</v>
      </c>
      <c r="KO251" t="s">
        <v>955</v>
      </c>
      <c r="LD251" t="s">
        <v>959</v>
      </c>
      <c r="LS251" t="s">
        <v>953</v>
      </c>
      <c r="MH251" t="s">
        <v>951</v>
      </c>
      <c r="MW251" t="s">
        <v>951</v>
      </c>
      <c r="NL251" t="s">
        <v>955</v>
      </c>
    </row>
    <row r="252" spans="1:376" ht="15.75" hidden="1" customHeight="1" x14ac:dyDescent="0.25">
      <c r="A252" t="s">
        <v>950</v>
      </c>
      <c r="P252" t="s">
        <v>950</v>
      </c>
      <c r="AE252" t="s">
        <v>950</v>
      </c>
      <c r="AT252" t="s">
        <v>956</v>
      </c>
      <c r="BI252" t="s">
        <v>950</v>
      </c>
      <c r="BX252" t="s">
        <v>956</v>
      </c>
      <c r="CM252" t="s">
        <v>956</v>
      </c>
      <c r="DB252" t="s">
        <v>952</v>
      </c>
      <c r="DQ252" t="s">
        <v>956</v>
      </c>
      <c r="EF252" t="s">
        <v>952</v>
      </c>
      <c r="EU252" t="s">
        <v>956</v>
      </c>
      <c r="FJ252" t="s">
        <v>952</v>
      </c>
      <c r="FY252" t="s">
        <v>956</v>
      </c>
      <c r="GN252" t="s">
        <v>954</v>
      </c>
      <c r="HC252" t="s">
        <v>952</v>
      </c>
      <c r="HR252" t="s">
        <v>958</v>
      </c>
      <c r="IG252" t="s">
        <v>958</v>
      </c>
      <c r="IV252" t="s">
        <v>954</v>
      </c>
      <c r="JK252" t="s">
        <v>956</v>
      </c>
      <c r="JZ252" t="s">
        <v>954</v>
      </c>
      <c r="KO252" t="s">
        <v>956</v>
      </c>
      <c r="LD252" t="s">
        <v>960</v>
      </c>
      <c r="LS252" t="s">
        <v>954</v>
      </c>
      <c r="MH252" t="s">
        <v>952</v>
      </c>
      <c r="MW252" t="s">
        <v>952</v>
      </c>
      <c r="NL252" t="s">
        <v>956</v>
      </c>
    </row>
    <row r="253" spans="1:376" ht="15.75" hidden="1" customHeight="1" x14ac:dyDescent="0.25">
      <c r="A253" t="s">
        <v>951</v>
      </c>
      <c r="P253" t="s">
        <v>951</v>
      </c>
      <c r="AE253" t="s">
        <v>951</v>
      </c>
      <c r="AT253" t="s">
        <v>957</v>
      </c>
      <c r="BI253" t="s">
        <v>951</v>
      </c>
      <c r="BX253" t="s">
        <v>957</v>
      </c>
      <c r="CM253" t="s">
        <v>957</v>
      </c>
      <c r="DB253" t="s">
        <v>953</v>
      </c>
      <c r="DQ253" t="s">
        <v>957</v>
      </c>
      <c r="EF253" t="s">
        <v>953</v>
      </c>
      <c r="EU253" t="s">
        <v>957</v>
      </c>
      <c r="FJ253" t="s">
        <v>953</v>
      </c>
      <c r="FY253" t="s">
        <v>957</v>
      </c>
      <c r="GN253" t="s">
        <v>955</v>
      </c>
      <c r="HC253" t="s">
        <v>953</v>
      </c>
      <c r="HR253" t="s">
        <v>959</v>
      </c>
      <c r="IG253" t="s">
        <v>959</v>
      </c>
      <c r="IV253" t="s">
        <v>955</v>
      </c>
      <c r="JK253" t="s">
        <v>957</v>
      </c>
      <c r="JZ253" t="s">
        <v>955</v>
      </c>
      <c r="KO253" t="s">
        <v>957</v>
      </c>
      <c r="LD253" t="s">
        <v>961</v>
      </c>
      <c r="LS253" t="s">
        <v>955</v>
      </c>
      <c r="MH253" t="s">
        <v>953</v>
      </c>
      <c r="MW253" t="s">
        <v>953</v>
      </c>
      <c r="NL253" t="s">
        <v>957</v>
      </c>
    </row>
    <row r="254" spans="1:376" ht="15.75" hidden="1" customHeight="1" x14ac:dyDescent="0.25">
      <c r="A254" t="s">
        <v>952</v>
      </c>
      <c r="P254" t="s">
        <v>952</v>
      </c>
      <c r="AE254" t="s">
        <v>952</v>
      </c>
      <c r="AT254" t="s">
        <v>958</v>
      </c>
      <c r="BI254" t="s">
        <v>952</v>
      </c>
      <c r="BX254" t="s">
        <v>958</v>
      </c>
      <c r="CM254" t="s">
        <v>958</v>
      </c>
      <c r="DB254" t="s">
        <v>954</v>
      </c>
      <c r="DQ254" t="s">
        <v>958</v>
      </c>
      <c r="EF254" t="s">
        <v>954</v>
      </c>
      <c r="EU254" t="s">
        <v>958</v>
      </c>
      <c r="FJ254" t="s">
        <v>954</v>
      </c>
      <c r="FY254" t="s">
        <v>958</v>
      </c>
      <c r="GN254" t="s">
        <v>956</v>
      </c>
      <c r="HC254" t="s">
        <v>954</v>
      </c>
      <c r="HR254" t="s">
        <v>960</v>
      </c>
      <c r="IG254" t="s">
        <v>960</v>
      </c>
      <c r="IV254" t="s">
        <v>956</v>
      </c>
      <c r="JK254" t="s">
        <v>958</v>
      </c>
      <c r="JZ254" t="s">
        <v>956</v>
      </c>
      <c r="KO254" t="s">
        <v>958</v>
      </c>
      <c r="LD254" t="s">
        <v>962</v>
      </c>
      <c r="LS254" t="s">
        <v>956</v>
      </c>
      <c r="MH254" t="s">
        <v>954</v>
      </c>
      <c r="MW254" t="s">
        <v>954</v>
      </c>
      <c r="NL254" t="s">
        <v>958</v>
      </c>
    </row>
    <row r="255" spans="1:376" ht="15.75" hidden="1" customHeight="1" x14ac:dyDescent="0.25">
      <c r="A255" t="s">
        <v>953</v>
      </c>
      <c r="P255" t="s">
        <v>953</v>
      </c>
      <c r="AE255" t="s">
        <v>953</v>
      </c>
      <c r="AT255" t="s">
        <v>959</v>
      </c>
      <c r="BI255" t="s">
        <v>953</v>
      </c>
      <c r="BX255" t="s">
        <v>959</v>
      </c>
      <c r="CM255" t="s">
        <v>959</v>
      </c>
      <c r="DB255" t="s">
        <v>955</v>
      </c>
      <c r="DQ255" t="s">
        <v>959</v>
      </c>
      <c r="EF255" t="s">
        <v>955</v>
      </c>
      <c r="EU255" t="s">
        <v>959</v>
      </c>
      <c r="FJ255" t="s">
        <v>955</v>
      </c>
      <c r="FY255" t="s">
        <v>959</v>
      </c>
      <c r="GN255" t="s">
        <v>957</v>
      </c>
      <c r="HC255" t="s">
        <v>955</v>
      </c>
      <c r="HR255" t="s">
        <v>961</v>
      </c>
      <c r="IG255" t="s">
        <v>961</v>
      </c>
      <c r="IV255" t="s">
        <v>957</v>
      </c>
      <c r="JK255" t="s">
        <v>959</v>
      </c>
      <c r="JZ255" t="s">
        <v>957</v>
      </c>
      <c r="KO255" t="s">
        <v>959</v>
      </c>
      <c r="LD255" t="s">
        <v>963</v>
      </c>
      <c r="LS255" t="s">
        <v>957</v>
      </c>
      <c r="MH255" t="s">
        <v>955</v>
      </c>
      <c r="MW255" t="s">
        <v>955</v>
      </c>
      <c r="NL255" t="s">
        <v>959</v>
      </c>
    </row>
    <row r="256" spans="1:376" ht="15.75" hidden="1" customHeight="1" x14ac:dyDescent="0.25">
      <c r="A256" t="s">
        <v>954</v>
      </c>
      <c r="P256" t="s">
        <v>954</v>
      </c>
      <c r="AE256" t="s">
        <v>954</v>
      </c>
      <c r="AT256" t="s">
        <v>960</v>
      </c>
      <c r="BI256" t="s">
        <v>954</v>
      </c>
      <c r="BX256" t="s">
        <v>960</v>
      </c>
      <c r="CM256" t="s">
        <v>960</v>
      </c>
      <c r="DB256" t="s">
        <v>956</v>
      </c>
      <c r="DQ256" t="s">
        <v>960</v>
      </c>
      <c r="EF256" t="s">
        <v>956</v>
      </c>
      <c r="EU256" t="s">
        <v>960</v>
      </c>
      <c r="FJ256" t="s">
        <v>956</v>
      </c>
      <c r="FY256" t="s">
        <v>960</v>
      </c>
      <c r="GN256" t="s">
        <v>958</v>
      </c>
      <c r="HC256" t="s">
        <v>956</v>
      </c>
      <c r="HR256" t="s">
        <v>962</v>
      </c>
      <c r="IG256" t="s">
        <v>962</v>
      </c>
      <c r="IV256" t="s">
        <v>958</v>
      </c>
      <c r="JK256" t="s">
        <v>960</v>
      </c>
      <c r="JZ256" t="s">
        <v>958</v>
      </c>
      <c r="KO256" t="s">
        <v>960</v>
      </c>
      <c r="LD256" t="s">
        <v>964</v>
      </c>
      <c r="LS256" t="s">
        <v>958</v>
      </c>
      <c r="MH256" t="s">
        <v>956</v>
      </c>
      <c r="MW256" t="s">
        <v>956</v>
      </c>
      <c r="NL256" t="s">
        <v>960</v>
      </c>
    </row>
    <row r="257" spans="1:376" ht="15.75" hidden="1" customHeight="1" x14ac:dyDescent="0.25">
      <c r="A257" t="s">
        <v>955</v>
      </c>
      <c r="P257" t="s">
        <v>955</v>
      </c>
      <c r="AE257" t="s">
        <v>955</v>
      </c>
      <c r="AT257" t="s">
        <v>961</v>
      </c>
      <c r="BI257" t="s">
        <v>955</v>
      </c>
      <c r="BX257" t="s">
        <v>961</v>
      </c>
      <c r="CM257" t="s">
        <v>961</v>
      </c>
      <c r="DB257" t="s">
        <v>957</v>
      </c>
      <c r="DQ257" t="s">
        <v>961</v>
      </c>
      <c r="EF257" t="s">
        <v>957</v>
      </c>
      <c r="EU257" t="s">
        <v>961</v>
      </c>
      <c r="FJ257" t="s">
        <v>957</v>
      </c>
      <c r="FY257" t="s">
        <v>961</v>
      </c>
      <c r="GN257" t="s">
        <v>959</v>
      </c>
      <c r="HC257" t="s">
        <v>957</v>
      </c>
      <c r="HR257" t="s">
        <v>963</v>
      </c>
      <c r="IG257" t="s">
        <v>963</v>
      </c>
      <c r="IV257" t="s">
        <v>959</v>
      </c>
      <c r="JK257" t="s">
        <v>961</v>
      </c>
      <c r="JZ257" t="s">
        <v>959</v>
      </c>
      <c r="KO257" t="s">
        <v>961</v>
      </c>
      <c r="LD257" t="s">
        <v>965</v>
      </c>
      <c r="LS257" t="s">
        <v>959</v>
      </c>
      <c r="MH257" t="s">
        <v>957</v>
      </c>
      <c r="MW257" t="s">
        <v>957</v>
      </c>
      <c r="NL257" t="s">
        <v>961</v>
      </c>
    </row>
    <row r="258" spans="1:376" ht="15.75" hidden="1" customHeight="1" x14ac:dyDescent="0.25">
      <c r="A258" t="s">
        <v>956</v>
      </c>
      <c r="P258" t="s">
        <v>956</v>
      </c>
      <c r="AE258" t="s">
        <v>956</v>
      </c>
      <c r="AT258" t="s">
        <v>962</v>
      </c>
      <c r="BI258" t="s">
        <v>956</v>
      </c>
      <c r="BX258" t="s">
        <v>962</v>
      </c>
      <c r="CM258" t="s">
        <v>962</v>
      </c>
      <c r="DB258" t="s">
        <v>958</v>
      </c>
      <c r="DQ258" t="s">
        <v>962</v>
      </c>
      <c r="EF258" t="s">
        <v>958</v>
      </c>
      <c r="EU258" t="s">
        <v>962</v>
      </c>
      <c r="FJ258" t="s">
        <v>958</v>
      </c>
      <c r="FY258" t="s">
        <v>962</v>
      </c>
      <c r="GN258" t="s">
        <v>960</v>
      </c>
      <c r="HC258" t="s">
        <v>958</v>
      </c>
      <c r="HR258" t="s">
        <v>964</v>
      </c>
      <c r="IG258" t="s">
        <v>964</v>
      </c>
      <c r="IV258" t="s">
        <v>960</v>
      </c>
      <c r="JK258" t="s">
        <v>962</v>
      </c>
      <c r="JZ258" t="s">
        <v>960</v>
      </c>
      <c r="KO258" t="s">
        <v>962</v>
      </c>
      <c r="LS258" t="s">
        <v>960</v>
      </c>
      <c r="MH258" t="s">
        <v>958</v>
      </c>
      <c r="MW258" t="s">
        <v>958</v>
      </c>
      <c r="NL258" t="s">
        <v>962</v>
      </c>
    </row>
    <row r="259" spans="1:376" ht="15.75" hidden="1" customHeight="1" x14ac:dyDescent="0.25">
      <c r="A259" t="s">
        <v>957</v>
      </c>
      <c r="P259" t="s">
        <v>957</v>
      </c>
      <c r="AE259" t="s">
        <v>957</v>
      </c>
      <c r="AT259" t="s">
        <v>963</v>
      </c>
      <c r="BI259" t="s">
        <v>957</v>
      </c>
      <c r="BX259" t="s">
        <v>963</v>
      </c>
      <c r="CM259" t="s">
        <v>963</v>
      </c>
      <c r="DB259" t="s">
        <v>959</v>
      </c>
      <c r="DQ259" t="s">
        <v>963</v>
      </c>
      <c r="EF259" t="s">
        <v>959</v>
      </c>
      <c r="EU259" t="s">
        <v>963</v>
      </c>
      <c r="FJ259" t="s">
        <v>959</v>
      </c>
      <c r="FY259" t="s">
        <v>963</v>
      </c>
      <c r="GN259" t="s">
        <v>961</v>
      </c>
      <c r="HC259" t="s">
        <v>959</v>
      </c>
      <c r="HR259" t="s">
        <v>965</v>
      </c>
      <c r="IG259" t="s">
        <v>965</v>
      </c>
      <c r="IV259" t="s">
        <v>961</v>
      </c>
      <c r="JK259" t="s">
        <v>963</v>
      </c>
      <c r="JZ259" t="s">
        <v>961</v>
      </c>
      <c r="KO259" t="s">
        <v>963</v>
      </c>
      <c r="LD259" t="s">
        <v>931</v>
      </c>
      <c r="LS259" t="s">
        <v>961</v>
      </c>
      <c r="MH259" t="s">
        <v>959</v>
      </c>
      <c r="MW259" t="s">
        <v>959</v>
      </c>
      <c r="NL259" t="s">
        <v>963</v>
      </c>
    </row>
    <row r="260" spans="1:376" ht="15.75" hidden="1" customHeight="1" x14ac:dyDescent="0.25">
      <c r="A260" t="s">
        <v>958</v>
      </c>
      <c r="P260" t="s">
        <v>958</v>
      </c>
      <c r="AE260" t="s">
        <v>958</v>
      </c>
      <c r="AT260" t="s">
        <v>964</v>
      </c>
      <c r="BI260" t="s">
        <v>958</v>
      </c>
      <c r="BX260" t="s">
        <v>964</v>
      </c>
      <c r="CM260" t="s">
        <v>964</v>
      </c>
      <c r="DB260" t="s">
        <v>960</v>
      </c>
      <c r="DQ260" t="s">
        <v>964</v>
      </c>
      <c r="EF260" t="s">
        <v>960</v>
      </c>
      <c r="EU260" t="s">
        <v>964</v>
      </c>
      <c r="FJ260" t="s">
        <v>960</v>
      </c>
      <c r="FY260" t="s">
        <v>964</v>
      </c>
      <c r="GN260" t="s">
        <v>962</v>
      </c>
      <c r="HC260" t="s">
        <v>960</v>
      </c>
      <c r="IV260" t="s">
        <v>962</v>
      </c>
      <c r="JK260" t="s">
        <v>964</v>
      </c>
      <c r="JZ260" t="s">
        <v>962</v>
      </c>
      <c r="KO260" t="s">
        <v>964</v>
      </c>
      <c r="LD260" t="s">
        <v>966</v>
      </c>
      <c r="LS260" t="s">
        <v>962</v>
      </c>
      <c r="MH260" t="s">
        <v>960</v>
      </c>
      <c r="MW260" t="s">
        <v>960</v>
      </c>
      <c r="NL260" t="s">
        <v>964</v>
      </c>
    </row>
    <row r="261" spans="1:376" ht="15.75" hidden="1" customHeight="1" x14ac:dyDescent="0.25">
      <c r="A261" t="s">
        <v>959</v>
      </c>
      <c r="P261" t="s">
        <v>959</v>
      </c>
      <c r="AE261" t="s">
        <v>959</v>
      </c>
      <c r="AT261" t="s">
        <v>965</v>
      </c>
      <c r="BI261" t="s">
        <v>959</v>
      </c>
      <c r="BX261" t="s">
        <v>965</v>
      </c>
      <c r="CM261" t="s">
        <v>965</v>
      </c>
      <c r="DB261" t="s">
        <v>961</v>
      </c>
      <c r="DQ261" t="s">
        <v>965</v>
      </c>
      <c r="EF261" t="s">
        <v>961</v>
      </c>
      <c r="EU261" t="s">
        <v>965</v>
      </c>
      <c r="FJ261" t="s">
        <v>961</v>
      </c>
      <c r="FY261" t="s">
        <v>965</v>
      </c>
      <c r="GN261" t="s">
        <v>963</v>
      </c>
      <c r="HC261" t="s">
        <v>961</v>
      </c>
      <c r="HR261" t="s">
        <v>931</v>
      </c>
      <c r="IG261" t="s">
        <v>931</v>
      </c>
      <c r="IV261" t="s">
        <v>963</v>
      </c>
      <c r="JK261" t="s">
        <v>965</v>
      </c>
      <c r="JZ261" t="s">
        <v>963</v>
      </c>
      <c r="KO261" t="s">
        <v>965</v>
      </c>
      <c r="LD261" t="s">
        <v>967</v>
      </c>
      <c r="LS261" t="s">
        <v>963</v>
      </c>
      <c r="MH261" t="s">
        <v>961</v>
      </c>
      <c r="MW261" t="s">
        <v>961</v>
      </c>
      <c r="NL261" t="s">
        <v>965</v>
      </c>
    </row>
    <row r="262" spans="1:376" ht="15.75" hidden="1" customHeight="1" x14ac:dyDescent="0.25">
      <c r="A262" t="s">
        <v>960</v>
      </c>
      <c r="P262" t="s">
        <v>960</v>
      </c>
      <c r="AE262" t="s">
        <v>960</v>
      </c>
      <c r="BI262" t="s">
        <v>960</v>
      </c>
      <c r="DB262" t="s">
        <v>962</v>
      </c>
      <c r="EF262" t="s">
        <v>962</v>
      </c>
      <c r="FJ262" t="s">
        <v>962</v>
      </c>
      <c r="GN262" t="s">
        <v>964</v>
      </c>
      <c r="HC262" t="s">
        <v>962</v>
      </c>
      <c r="HR262" t="s">
        <v>966</v>
      </c>
      <c r="IG262" t="s">
        <v>966</v>
      </c>
      <c r="IV262" t="s">
        <v>964</v>
      </c>
      <c r="JZ262" t="s">
        <v>964</v>
      </c>
      <c r="LD262" t="s">
        <v>968</v>
      </c>
      <c r="LS262" t="s">
        <v>964</v>
      </c>
      <c r="MH262" t="s">
        <v>962</v>
      </c>
      <c r="MW262" t="s">
        <v>962</v>
      </c>
    </row>
    <row r="263" spans="1:376" ht="15.75" hidden="1" customHeight="1" x14ac:dyDescent="0.25">
      <c r="A263" t="s">
        <v>961</v>
      </c>
      <c r="P263" t="s">
        <v>961</v>
      </c>
      <c r="AE263" t="s">
        <v>961</v>
      </c>
      <c r="AT263" t="s">
        <v>931</v>
      </c>
      <c r="BI263" t="s">
        <v>961</v>
      </c>
      <c r="BX263" t="s">
        <v>931</v>
      </c>
      <c r="CM263" t="s">
        <v>931</v>
      </c>
      <c r="DB263" t="s">
        <v>963</v>
      </c>
      <c r="DQ263" t="s">
        <v>931</v>
      </c>
      <c r="EF263" t="s">
        <v>963</v>
      </c>
      <c r="EU263" t="s">
        <v>931</v>
      </c>
      <c r="FJ263" t="s">
        <v>963</v>
      </c>
      <c r="FY263" t="s">
        <v>931</v>
      </c>
      <c r="GN263" t="s">
        <v>965</v>
      </c>
      <c r="HC263" t="s">
        <v>963</v>
      </c>
      <c r="HR263" t="s">
        <v>967</v>
      </c>
      <c r="IG263" t="s">
        <v>967</v>
      </c>
      <c r="IV263" t="s">
        <v>965</v>
      </c>
      <c r="JK263" t="s">
        <v>931</v>
      </c>
      <c r="JZ263" t="s">
        <v>965</v>
      </c>
      <c r="KO263" t="s">
        <v>931</v>
      </c>
      <c r="LD263" t="s">
        <v>969</v>
      </c>
      <c r="LS263" t="s">
        <v>965</v>
      </c>
      <c r="MH263" t="s">
        <v>963</v>
      </c>
      <c r="MW263" t="s">
        <v>963</v>
      </c>
      <c r="NL263" t="s">
        <v>931</v>
      </c>
    </row>
    <row r="264" spans="1:376" ht="15.75" hidden="1" customHeight="1" x14ac:dyDescent="0.25">
      <c r="A264" t="s">
        <v>962</v>
      </c>
      <c r="P264" t="s">
        <v>962</v>
      </c>
      <c r="AE264" t="s">
        <v>962</v>
      </c>
      <c r="AT264" t="s">
        <v>966</v>
      </c>
      <c r="BI264" t="s">
        <v>962</v>
      </c>
      <c r="BX264" t="s">
        <v>966</v>
      </c>
      <c r="CM264" t="s">
        <v>966</v>
      </c>
      <c r="DB264" t="s">
        <v>964</v>
      </c>
      <c r="DQ264" t="s">
        <v>966</v>
      </c>
      <c r="EF264" t="s">
        <v>964</v>
      </c>
      <c r="EU264" t="s">
        <v>966</v>
      </c>
      <c r="FJ264" t="s">
        <v>964</v>
      </c>
      <c r="FY264" t="s">
        <v>966</v>
      </c>
      <c r="HC264" t="s">
        <v>964</v>
      </c>
      <c r="HR264" t="s">
        <v>968</v>
      </c>
      <c r="IG264" t="s">
        <v>968</v>
      </c>
      <c r="JK264" t="s">
        <v>966</v>
      </c>
      <c r="KO264" t="s">
        <v>966</v>
      </c>
      <c r="LD264" t="s">
        <v>970</v>
      </c>
      <c r="MH264" t="s">
        <v>964</v>
      </c>
      <c r="MW264" t="s">
        <v>964</v>
      </c>
      <c r="NL264" t="s">
        <v>966</v>
      </c>
    </row>
    <row r="265" spans="1:376" ht="15.75" hidden="1" customHeight="1" x14ac:dyDescent="0.25">
      <c r="A265" t="s">
        <v>963</v>
      </c>
      <c r="P265" t="s">
        <v>963</v>
      </c>
      <c r="AE265" t="s">
        <v>963</v>
      </c>
      <c r="AT265" t="s">
        <v>967</v>
      </c>
      <c r="BI265" t="s">
        <v>963</v>
      </c>
      <c r="BX265" t="s">
        <v>967</v>
      </c>
      <c r="CM265" t="s">
        <v>967</v>
      </c>
      <c r="DB265" t="s">
        <v>965</v>
      </c>
      <c r="DQ265" t="s">
        <v>967</v>
      </c>
      <c r="EF265" t="s">
        <v>965</v>
      </c>
      <c r="EU265" t="s">
        <v>967</v>
      </c>
      <c r="FJ265" t="s">
        <v>965</v>
      </c>
      <c r="FY265" t="s">
        <v>967</v>
      </c>
      <c r="GN265" t="s">
        <v>931</v>
      </c>
      <c r="HC265" t="s">
        <v>965</v>
      </c>
      <c r="HR265" t="s">
        <v>969</v>
      </c>
      <c r="IG265" t="s">
        <v>969</v>
      </c>
      <c r="IV265" t="s">
        <v>931</v>
      </c>
      <c r="JK265" t="s">
        <v>967</v>
      </c>
      <c r="JZ265" t="s">
        <v>931</v>
      </c>
      <c r="KO265" t="s">
        <v>967</v>
      </c>
      <c r="LD265" t="s">
        <v>971</v>
      </c>
      <c r="LS265" t="s">
        <v>931</v>
      </c>
      <c r="MH265" t="s">
        <v>965</v>
      </c>
      <c r="MW265" t="s">
        <v>965</v>
      </c>
      <c r="NL265" t="s">
        <v>967</v>
      </c>
    </row>
    <row r="266" spans="1:376" ht="15.75" hidden="1" customHeight="1" x14ac:dyDescent="0.25">
      <c r="A266" t="s">
        <v>964</v>
      </c>
      <c r="P266" t="s">
        <v>964</v>
      </c>
      <c r="AE266" t="s">
        <v>964</v>
      </c>
      <c r="AT266" t="s">
        <v>968</v>
      </c>
      <c r="BI266" t="s">
        <v>964</v>
      </c>
      <c r="BX266" t="s">
        <v>968</v>
      </c>
      <c r="CM266" t="s">
        <v>968</v>
      </c>
      <c r="DQ266" t="s">
        <v>968</v>
      </c>
      <c r="EU266" t="s">
        <v>968</v>
      </c>
      <c r="FY266" t="s">
        <v>968</v>
      </c>
      <c r="GN266" t="s">
        <v>966</v>
      </c>
      <c r="HR266" t="s">
        <v>970</v>
      </c>
      <c r="IG266" t="s">
        <v>970</v>
      </c>
      <c r="IV266" t="s">
        <v>966</v>
      </c>
      <c r="JK266" t="s">
        <v>968</v>
      </c>
      <c r="JZ266" t="s">
        <v>966</v>
      </c>
      <c r="KO266" t="s">
        <v>968</v>
      </c>
      <c r="LD266" t="s">
        <v>972</v>
      </c>
      <c r="LS266" t="s">
        <v>966</v>
      </c>
      <c r="NL266" t="s">
        <v>968</v>
      </c>
    </row>
    <row r="267" spans="1:376" ht="15.75" hidden="1" customHeight="1" x14ac:dyDescent="0.25">
      <c r="A267" t="s">
        <v>965</v>
      </c>
      <c r="P267" t="s">
        <v>965</v>
      </c>
      <c r="AE267" t="s">
        <v>965</v>
      </c>
      <c r="AT267" t="s">
        <v>969</v>
      </c>
      <c r="BI267" t="s">
        <v>965</v>
      </c>
      <c r="BX267" t="s">
        <v>969</v>
      </c>
      <c r="CM267" t="s">
        <v>969</v>
      </c>
      <c r="DB267" t="s">
        <v>931</v>
      </c>
      <c r="DQ267" t="s">
        <v>969</v>
      </c>
      <c r="EF267" t="s">
        <v>931</v>
      </c>
      <c r="EU267" t="s">
        <v>969</v>
      </c>
      <c r="FJ267" t="s">
        <v>931</v>
      </c>
      <c r="FY267" t="s">
        <v>969</v>
      </c>
      <c r="GN267" t="s">
        <v>967</v>
      </c>
      <c r="HC267" t="s">
        <v>931</v>
      </c>
      <c r="HR267" t="s">
        <v>971</v>
      </c>
      <c r="IG267" t="s">
        <v>971</v>
      </c>
      <c r="IV267" t="s">
        <v>967</v>
      </c>
      <c r="JK267" t="s">
        <v>969</v>
      </c>
      <c r="JZ267" t="s">
        <v>967</v>
      </c>
      <c r="KO267" t="s">
        <v>969</v>
      </c>
      <c r="LD267" t="s">
        <v>973</v>
      </c>
      <c r="LS267" t="s">
        <v>967</v>
      </c>
      <c r="MH267" t="s">
        <v>931</v>
      </c>
      <c r="MW267" t="s">
        <v>931</v>
      </c>
      <c r="NL267" t="s">
        <v>969</v>
      </c>
    </row>
    <row r="268" spans="1:376" ht="15.75" hidden="1" customHeight="1" x14ac:dyDescent="0.25">
      <c r="AT268" t="s">
        <v>970</v>
      </c>
      <c r="BX268" t="s">
        <v>970</v>
      </c>
      <c r="CM268" t="s">
        <v>970</v>
      </c>
      <c r="DB268" t="s">
        <v>966</v>
      </c>
      <c r="DQ268" t="s">
        <v>970</v>
      </c>
      <c r="EF268" t="s">
        <v>966</v>
      </c>
      <c r="EU268" t="s">
        <v>970</v>
      </c>
      <c r="FJ268" t="s">
        <v>966</v>
      </c>
      <c r="FY268" t="s">
        <v>970</v>
      </c>
      <c r="GN268" t="s">
        <v>968</v>
      </c>
      <c r="HC268" t="s">
        <v>966</v>
      </c>
      <c r="HR268" t="s">
        <v>972</v>
      </c>
      <c r="IG268" t="s">
        <v>972</v>
      </c>
      <c r="IV268" t="s">
        <v>968</v>
      </c>
      <c r="JK268" t="s">
        <v>970</v>
      </c>
      <c r="JZ268" t="s">
        <v>968</v>
      </c>
      <c r="KO268" t="s">
        <v>970</v>
      </c>
      <c r="LD268" t="s">
        <v>974</v>
      </c>
      <c r="LS268" t="s">
        <v>968</v>
      </c>
      <c r="MH268" t="s">
        <v>966</v>
      </c>
      <c r="MW268" t="s">
        <v>966</v>
      </c>
      <c r="NL268" t="s">
        <v>970</v>
      </c>
    </row>
    <row r="269" spans="1:376" ht="15.75" hidden="1" customHeight="1" x14ac:dyDescent="0.25">
      <c r="A269" t="s">
        <v>931</v>
      </c>
      <c r="P269" t="s">
        <v>931</v>
      </c>
      <c r="AE269" t="s">
        <v>931</v>
      </c>
      <c r="AT269" t="s">
        <v>971</v>
      </c>
      <c r="BI269" t="s">
        <v>931</v>
      </c>
      <c r="BX269" t="s">
        <v>971</v>
      </c>
      <c r="CM269" t="s">
        <v>971</v>
      </c>
      <c r="DB269" t="s">
        <v>967</v>
      </c>
      <c r="DQ269" t="s">
        <v>971</v>
      </c>
      <c r="EF269" t="s">
        <v>967</v>
      </c>
      <c r="EU269" t="s">
        <v>971</v>
      </c>
      <c r="FJ269" t="s">
        <v>967</v>
      </c>
      <c r="FY269" t="s">
        <v>971</v>
      </c>
      <c r="GN269" t="s">
        <v>969</v>
      </c>
      <c r="HC269" t="s">
        <v>967</v>
      </c>
      <c r="HR269" t="s">
        <v>973</v>
      </c>
      <c r="IG269" t="s">
        <v>973</v>
      </c>
      <c r="IV269" t="s">
        <v>969</v>
      </c>
      <c r="JK269" t="s">
        <v>971</v>
      </c>
      <c r="JZ269" t="s">
        <v>969</v>
      </c>
      <c r="KO269" t="s">
        <v>971</v>
      </c>
      <c r="LS269" t="s">
        <v>969</v>
      </c>
      <c r="MH269" t="s">
        <v>967</v>
      </c>
      <c r="MW269" t="s">
        <v>967</v>
      </c>
      <c r="NL269" t="s">
        <v>971</v>
      </c>
    </row>
    <row r="270" spans="1:376" ht="15.75" hidden="1" customHeight="1" x14ac:dyDescent="0.25">
      <c r="A270" t="s">
        <v>966</v>
      </c>
      <c r="P270" t="s">
        <v>966</v>
      </c>
      <c r="AE270" t="s">
        <v>966</v>
      </c>
      <c r="AT270" t="s">
        <v>972</v>
      </c>
      <c r="BI270" t="s">
        <v>966</v>
      </c>
      <c r="BX270" t="s">
        <v>972</v>
      </c>
      <c r="CM270" t="s">
        <v>972</v>
      </c>
      <c r="DB270" t="s">
        <v>968</v>
      </c>
      <c r="DQ270" t="s">
        <v>972</v>
      </c>
      <c r="EF270" t="s">
        <v>968</v>
      </c>
      <c r="EU270" t="s">
        <v>972</v>
      </c>
      <c r="FJ270" t="s">
        <v>968</v>
      </c>
      <c r="FY270" t="s">
        <v>972</v>
      </c>
      <c r="GN270" t="s">
        <v>970</v>
      </c>
      <c r="HC270" t="s">
        <v>968</v>
      </c>
      <c r="HR270" t="s">
        <v>974</v>
      </c>
      <c r="IG270" t="s">
        <v>974</v>
      </c>
      <c r="IV270" t="s">
        <v>970</v>
      </c>
      <c r="JK270" t="s">
        <v>972</v>
      </c>
      <c r="JZ270" t="s">
        <v>970</v>
      </c>
      <c r="KO270" t="s">
        <v>972</v>
      </c>
      <c r="LD270" t="s">
        <v>975</v>
      </c>
      <c r="LS270" t="s">
        <v>970</v>
      </c>
      <c r="MH270" t="s">
        <v>968</v>
      </c>
      <c r="MW270" t="s">
        <v>968</v>
      </c>
      <c r="NL270" t="s">
        <v>972</v>
      </c>
    </row>
    <row r="271" spans="1:376" ht="15.75" hidden="1" customHeight="1" x14ac:dyDescent="0.25">
      <c r="A271" t="s">
        <v>967</v>
      </c>
      <c r="P271" t="s">
        <v>967</v>
      </c>
      <c r="AE271" t="s">
        <v>967</v>
      </c>
      <c r="AT271" t="s">
        <v>973</v>
      </c>
      <c r="BI271" t="s">
        <v>967</v>
      </c>
      <c r="BX271" t="s">
        <v>973</v>
      </c>
      <c r="CM271" t="s">
        <v>973</v>
      </c>
      <c r="DB271" t="s">
        <v>969</v>
      </c>
      <c r="DQ271" t="s">
        <v>973</v>
      </c>
      <c r="EF271" t="s">
        <v>969</v>
      </c>
      <c r="EU271" t="s">
        <v>973</v>
      </c>
      <c r="FJ271" t="s">
        <v>969</v>
      </c>
      <c r="FY271" t="s">
        <v>973</v>
      </c>
      <c r="GN271" t="s">
        <v>971</v>
      </c>
      <c r="HC271" t="s">
        <v>969</v>
      </c>
      <c r="IV271" t="s">
        <v>971</v>
      </c>
      <c r="JK271" t="s">
        <v>973</v>
      </c>
      <c r="JZ271" t="s">
        <v>971</v>
      </c>
      <c r="KO271" t="s">
        <v>973</v>
      </c>
      <c r="LD271" t="s">
        <v>976</v>
      </c>
      <c r="LS271" t="s">
        <v>971</v>
      </c>
      <c r="MH271" t="s">
        <v>969</v>
      </c>
      <c r="MW271" t="s">
        <v>969</v>
      </c>
      <c r="NL271" t="s">
        <v>973</v>
      </c>
    </row>
    <row r="272" spans="1:376" ht="15.75" hidden="1" customHeight="1" x14ac:dyDescent="0.25">
      <c r="A272" t="s">
        <v>968</v>
      </c>
      <c r="P272" t="s">
        <v>968</v>
      </c>
      <c r="AE272" t="s">
        <v>968</v>
      </c>
      <c r="AT272" t="s">
        <v>974</v>
      </c>
      <c r="BI272" t="s">
        <v>968</v>
      </c>
      <c r="BX272" t="s">
        <v>974</v>
      </c>
      <c r="CM272" t="s">
        <v>974</v>
      </c>
      <c r="DB272" t="s">
        <v>970</v>
      </c>
      <c r="DQ272" t="s">
        <v>974</v>
      </c>
      <c r="EF272" t="s">
        <v>970</v>
      </c>
      <c r="EU272" t="s">
        <v>974</v>
      </c>
      <c r="FJ272" t="s">
        <v>970</v>
      </c>
      <c r="FY272" t="s">
        <v>974</v>
      </c>
      <c r="GN272" t="s">
        <v>972</v>
      </c>
      <c r="HC272" t="s">
        <v>970</v>
      </c>
      <c r="HR272" t="s">
        <v>975</v>
      </c>
      <c r="IG272" t="s">
        <v>975</v>
      </c>
      <c r="IV272" t="s">
        <v>972</v>
      </c>
      <c r="JK272" t="s">
        <v>974</v>
      </c>
      <c r="JZ272" t="s">
        <v>972</v>
      </c>
      <c r="KO272" t="s">
        <v>974</v>
      </c>
      <c r="LD272" t="s">
        <v>977</v>
      </c>
      <c r="LS272" t="s">
        <v>972</v>
      </c>
      <c r="MH272" t="s">
        <v>970</v>
      </c>
      <c r="MW272" t="s">
        <v>970</v>
      </c>
      <c r="NL272" t="s">
        <v>974</v>
      </c>
    </row>
    <row r="273" spans="1:376" ht="15.75" hidden="1" customHeight="1" x14ac:dyDescent="0.25">
      <c r="A273" t="s">
        <v>969</v>
      </c>
      <c r="P273" t="s">
        <v>969</v>
      </c>
      <c r="AE273" t="s">
        <v>969</v>
      </c>
      <c r="BI273" t="s">
        <v>969</v>
      </c>
      <c r="DB273" t="s">
        <v>971</v>
      </c>
      <c r="EF273" t="s">
        <v>971</v>
      </c>
      <c r="FJ273" t="s">
        <v>971</v>
      </c>
      <c r="GN273" t="s">
        <v>973</v>
      </c>
      <c r="HC273" t="s">
        <v>971</v>
      </c>
      <c r="HR273" t="s">
        <v>976</v>
      </c>
      <c r="IG273" t="s">
        <v>976</v>
      </c>
      <c r="IV273" t="s">
        <v>973</v>
      </c>
      <c r="JZ273" t="s">
        <v>973</v>
      </c>
      <c r="LD273" t="s">
        <v>978</v>
      </c>
      <c r="LS273" t="s">
        <v>973</v>
      </c>
      <c r="MH273" t="s">
        <v>971</v>
      </c>
      <c r="MW273" t="s">
        <v>971</v>
      </c>
    </row>
    <row r="274" spans="1:376" ht="15.75" hidden="1" customHeight="1" x14ac:dyDescent="0.25">
      <c r="A274" t="s">
        <v>970</v>
      </c>
      <c r="P274" t="s">
        <v>970</v>
      </c>
      <c r="AE274" t="s">
        <v>970</v>
      </c>
      <c r="AT274" t="s">
        <v>975</v>
      </c>
      <c r="BI274" t="s">
        <v>970</v>
      </c>
      <c r="BX274" t="s">
        <v>975</v>
      </c>
      <c r="CM274" t="s">
        <v>975</v>
      </c>
      <c r="DB274" t="s">
        <v>972</v>
      </c>
      <c r="DQ274" t="s">
        <v>975</v>
      </c>
      <c r="EF274" t="s">
        <v>972</v>
      </c>
      <c r="EU274" t="s">
        <v>975</v>
      </c>
      <c r="FJ274" t="s">
        <v>972</v>
      </c>
      <c r="FY274" t="s">
        <v>975</v>
      </c>
      <c r="GN274" t="s">
        <v>974</v>
      </c>
      <c r="HC274" t="s">
        <v>972</v>
      </c>
      <c r="HR274" t="s">
        <v>977</v>
      </c>
      <c r="IG274" t="s">
        <v>977</v>
      </c>
      <c r="IV274" t="s">
        <v>974</v>
      </c>
      <c r="JK274" t="s">
        <v>975</v>
      </c>
      <c r="JZ274" t="s">
        <v>974</v>
      </c>
      <c r="KO274" t="s">
        <v>975</v>
      </c>
      <c r="LD274" t="s">
        <v>979</v>
      </c>
      <c r="LS274" t="s">
        <v>974</v>
      </c>
      <c r="MH274" t="s">
        <v>972</v>
      </c>
      <c r="MW274" t="s">
        <v>972</v>
      </c>
      <c r="NL274" t="s">
        <v>975</v>
      </c>
    </row>
    <row r="275" spans="1:376" ht="15.75" hidden="1" customHeight="1" x14ac:dyDescent="0.25">
      <c r="A275" t="s">
        <v>971</v>
      </c>
      <c r="P275" t="s">
        <v>971</v>
      </c>
      <c r="AE275" t="s">
        <v>971</v>
      </c>
      <c r="AT275" t="s">
        <v>976</v>
      </c>
      <c r="BI275" t="s">
        <v>971</v>
      </c>
      <c r="BX275" t="s">
        <v>976</v>
      </c>
      <c r="CM275" t="s">
        <v>976</v>
      </c>
      <c r="DB275" t="s">
        <v>973</v>
      </c>
      <c r="DQ275" t="s">
        <v>976</v>
      </c>
      <c r="EF275" t="s">
        <v>973</v>
      </c>
      <c r="EU275" t="s">
        <v>976</v>
      </c>
      <c r="FJ275" t="s">
        <v>973</v>
      </c>
      <c r="FY275" t="s">
        <v>976</v>
      </c>
      <c r="HC275" t="s">
        <v>973</v>
      </c>
      <c r="HR275" t="s">
        <v>978</v>
      </c>
      <c r="IG275" t="s">
        <v>978</v>
      </c>
      <c r="JK275" t="s">
        <v>976</v>
      </c>
      <c r="KO275" t="s">
        <v>976</v>
      </c>
      <c r="LD275" t="s">
        <v>980</v>
      </c>
      <c r="MH275" t="s">
        <v>973</v>
      </c>
      <c r="MW275" t="s">
        <v>973</v>
      </c>
      <c r="NL275" t="s">
        <v>976</v>
      </c>
    </row>
    <row r="276" spans="1:376" ht="15.75" hidden="1" customHeight="1" x14ac:dyDescent="0.25">
      <c r="A276" t="s">
        <v>972</v>
      </c>
      <c r="P276" t="s">
        <v>972</v>
      </c>
      <c r="AE276" t="s">
        <v>972</v>
      </c>
      <c r="AT276" t="s">
        <v>977</v>
      </c>
      <c r="BI276" t="s">
        <v>972</v>
      </c>
      <c r="BX276" t="s">
        <v>977</v>
      </c>
      <c r="CM276" t="s">
        <v>977</v>
      </c>
      <c r="DB276" t="s">
        <v>974</v>
      </c>
      <c r="DQ276" t="s">
        <v>977</v>
      </c>
      <c r="EF276" t="s">
        <v>974</v>
      </c>
      <c r="EU276" t="s">
        <v>977</v>
      </c>
      <c r="FJ276" t="s">
        <v>974</v>
      </c>
      <c r="FY276" t="s">
        <v>977</v>
      </c>
      <c r="GN276" t="s">
        <v>975</v>
      </c>
      <c r="HC276" t="s">
        <v>974</v>
      </c>
      <c r="HR276" t="s">
        <v>979</v>
      </c>
      <c r="IG276" t="s">
        <v>979</v>
      </c>
      <c r="IV276" t="s">
        <v>975</v>
      </c>
      <c r="JK276" t="s">
        <v>977</v>
      </c>
      <c r="JZ276" t="s">
        <v>975</v>
      </c>
      <c r="KO276" t="s">
        <v>977</v>
      </c>
      <c r="LD276" t="s">
        <v>981</v>
      </c>
      <c r="LS276" t="s">
        <v>975</v>
      </c>
      <c r="MH276" t="s">
        <v>974</v>
      </c>
      <c r="MW276" t="s">
        <v>974</v>
      </c>
      <c r="NL276" t="s">
        <v>977</v>
      </c>
    </row>
    <row r="277" spans="1:376" ht="15.75" hidden="1" customHeight="1" x14ac:dyDescent="0.25">
      <c r="A277" t="s">
        <v>973</v>
      </c>
      <c r="P277" t="s">
        <v>973</v>
      </c>
      <c r="AE277" t="s">
        <v>973</v>
      </c>
      <c r="AT277" t="s">
        <v>978</v>
      </c>
      <c r="BI277" t="s">
        <v>973</v>
      </c>
      <c r="BX277" t="s">
        <v>978</v>
      </c>
      <c r="CM277" t="s">
        <v>978</v>
      </c>
      <c r="DQ277" t="s">
        <v>978</v>
      </c>
      <c r="EU277" t="s">
        <v>978</v>
      </c>
      <c r="FY277" t="s">
        <v>978</v>
      </c>
      <c r="GN277" t="s">
        <v>976</v>
      </c>
      <c r="HR277" t="s">
        <v>980</v>
      </c>
      <c r="IG277" t="s">
        <v>980</v>
      </c>
      <c r="IV277" t="s">
        <v>976</v>
      </c>
      <c r="JK277" t="s">
        <v>978</v>
      </c>
      <c r="JZ277" t="s">
        <v>976</v>
      </c>
      <c r="KO277" t="s">
        <v>978</v>
      </c>
      <c r="LD277" t="s">
        <v>982</v>
      </c>
      <c r="LS277" t="s">
        <v>976</v>
      </c>
      <c r="NL277" t="s">
        <v>978</v>
      </c>
    </row>
    <row r="278" spans="1:376" ht="15.75" hidden="1" customHeight="1" x14ac:dyDescent="0.25">
      <c r="A278" t="s">
        <v>974</v>
      </c>
      <c r="P278" t="s">
        <v>974</v>
      </c>
      <c r="AE278" t="s">
        <v>974</v>
      </c>
      <c r="AT278" t="s">
        <v>979</v>
      </c>
      <c r="BI278" t="s">
        <v>974</v>
      </c>
      <c r="BX278" t="s">
        <v>979</v>
      </c>
      <c r="CM278" t="s">
        <v>979</v>
      </c>
      <c r="DB278" t="s">
        <v>975</v>
      </c>
      <c r="DQ278" t="s">
        <v>979</v>
      </c>
      <c r="EF278" t="s">
        <v>975</v>
      </c>
      <c r="EU278" t="s">
        <v>979</v>
      </c>
      <c r="FJ278" t="s">
        <v>975</v>
      </c>
      <c r="FY278" t="s">
        <v>979</v>
      </c>
      <c r="GN278" t="s">
        <v>977</v>
      </c>
      <c r="HC278" t="s">
        <v>975</v>
      </c>
      <c r="HR278" t="s">
        <v>981</v>
      </c>
      <c r="IG278" t="s">
        <v>981</v>
      </c>
      <c r="IV278" t="s">
        <v>977</v>
      </c>
      <c r="JK278" t="s">
        <v>979</v>
      </c>
      <c r="JZ278" t="s">
        <v>977</v>
      </c>
      <c r="KO278" t="s">
        <v>979</v>
      </c>
      <c r="LD278" t="s">
        <v>983</v>
      </c>
      <c r="LS278" t="s">
        <v>977</v>
      </c>
      <c r="MH278" t="s">
        <v>975</v>
      </c>
      <c r="MW278" t="s">
        <v>975</v>
      </c>
      <c r="NL278" t="s">
        <v>979</v>
      </c>
    </row>
    <row r="279" spans="1:376" ht="15.75" hidden="1" customHeight="1" x14ac:dyDescent="0.25">
      <c r="AT279" t="s">
        <v>980</v>
      </c>
      <c r="BX279" t="s">
        <v>980</v>
      </c>
      <c r="CM279" t="s">
        <v>980</v>
      </c>
      <c r="DB279" t="s">
        <v>976</v>
      </c>
      <c r="DQ279" t="s">
        <v>980</v>
      </c>
      <c r="EF279" t="s">
        <v>976</v>
      </c>
      <c r="EU279" t="s">
        <v>980</v>
      </c>
      <c r="FJ279" t="s">
        <v>976</v>
      </c>
      <c r="FY279" t="s">
        <v>980</v>
      </c>
      <c r="GN279" t="s">
        <v>978</v>
      </c>
      <c r="HC279" t="s">
        <v>976</v>
      </c>
      <c r="HR279" t="s">
        <v>982</v>
      </c>
      <c r="IG279" t="s">
        <v>982</v>
      </c>
      <c r="IV279" t="s">
        <v>978</v>
      </c>
      <c r="JK279" t="s">
        <v>980</v>
      </c>
      <c r="JZ279" t="s">
        <v>978</v>
      </c>
      <c r="KO279" t="s">
        <v>980</v>
      </c>
      <c r="LD279" t="s">
        <v>984</v>
      </c>
      <c r="LS279" t="s">
        <v>978</v>
      </c>
      <c r="MH279" t="s">
        <v>976</v>
      </c>
      <c r="MW279" t="s">
        <v>976</v>
      </c>
      <c r="NL279" t="s">
        <v>980</v>
      </c>
    </row>
    <row r="280" spans="1:376" ht="15.75" hidden="1" customHeight="1" x14ac:dyDescent="0.25">
      <c r="A280" t="s">
        <v>975</v>
      </c>
      <c r="P280" t="s">
        <v>975</v>
      </c>
      <c r="AE280" t="s">
        <v>975</v>
      </c>
      <c r="AT280" t="s">
        <v>981</v>
      </c>
      <c r="BI280" t="s">
        <v>975</v>
      </c>
      <c r="BX280" t="s">
        <v>981</v>
      </c>
      <c r="CM280" t="s">
        <v>981</v>
      </c>
      <c r="DB280" t="s">
        <v>977</v>
      </c>
      <c r="DQ280" t="s">
        <v>981</v>
      </c>
      <c r="EF280" t="s">
        <v>977</v>
      </c>
      <c r="EU280" t="s">
        <v>981</v>
      </c>
      <c r="FJ280" t="s">
        <v>977</v>
      </c>
      <c r="FY280" t="s">
        <v>981</v>
      </c>
      <c r="GN280" t="s">
        <v>979</v>
      </c>
      <c r="HC280" t="s">
        <v>977</v>
      </c>
      <c r="HR280" t="s">
        <v>983</v>
      </c>
      <c r="IG280" t="s">
        <v>983</v>
      </c>
      <c r="IV280" t="s">
        <v>979</v>
      </c>
      <c r="JK280" t="s">
        <v>981</v>
      </c>
      <c r="JZ280" t="s">
        <v>979</v>
      </c>
      <c r="KO280" t="s">
        <v>981</v>
      </c>
      <c r="LD280" t="s">
        <v>985</v>
      </c>
      <c r="LS280" t="s">
        <v>979</v>
      </c>
      <c r="MH280" t="s">
        <v>977</v>
      </c>
      <c r="MW280" t="s">
        <v>977</v>
      </c>
      <c r="NL280" t="s">
        <v>981</v>
      </c>
    </row>
    <row r="281" spans="1:376" ht="15.75" hidden="1" customHeight="1" x14ac:dyDescent="0.25">
      <c r="A281" t="s">
        <v>976</v>
      </c>
      <c r="P281" t="s">
        <v>976</v>
      </c>
      <c r="AE281" t="s">
        <v>976</v>
      </c>
      <c r="AT281" t="s">
        <v>982</v>
      </c>
      <c r="BI281" t="s">
        <v>976</v>
      </c>
      <c r="BX281" t="s">
        <v>982</v>
      </c>
      <c r="CM281" t="s">
        <v>982</v>
      </c>
      <c r="DB281" t="s">
        <v>978</v>
      </c>
      <c r="DQ281" t="s">
        <v>982</v>
      </c>
      <c r="EF281" t="s">
        <v>978</v>
      </c>
      <c r="EU281" t="s">
        <v>982</v>
      </c>
      <c r="FJ281" t="s">
        <v>978</v>
      </c>
      <c r="FY281" t="s">
        <v>982</v>
      </c>
      <c r="GN281" t="s">
        <v>980</v>
      </c>
      <c r="HC281" t="s">
        <v>978</v>
      </c>
      <c r="HR281" t="s">
        <v>984</v>
      </c>
      <c r="IG281" t="s">
        <v>984</v>
      </c>
      <c r="IV281" t="s">
        <v>980</v>
      </c>
      <c r="JK281" t="s">
        <v>982</v>
      </c>
      <c r="JZ281" t="s">
        <v>980</v>
      </c>
      <c r="KO281" t="s">
        <v>982</v>
      </c>
      <c r="LD281" t="s">
        <v>986</v>
      </c>
      <c r="LS281" t="s">
        <v>980</v>
      </c>
      <c r="MH281" t="s">
        <v>978</v>
      </c>
      <c r="MW281" t="s">
        <v>978</v>
      </c>
      <c r="NL281" t="s">
        <v>982</v>
      </c>
    </row>
    <row r="282" spans="1:376" ht="15.75" hidden="1" customHeight="1" x14ac:dyDescent="0.25">
      <c r="A282" t="s">
        <v>977</v>
      </c>
      <c r="P282" t="s">
        <v>977</v>
      </c>
      <c r="AE282" t="s">
        <v>977</v>
      </c>
      <c r="AT282" t="s">
        <v>983</v>
      </c>
      <c r="BI282" t="s">
        <v>977</v>
      </c>
      <c r="BX282" t="s">
        <v>983</v>
      </c>
      <c r="CM282" t="s">
        <v>983</v>
      </c>
      <c r="DB282" t="s">
        <v>979</v>
      </c>
      <c r="DQ282" t="s">
        <v>983</v>
      </c>
      <c r="EF282" t="s">
        <v>979</v>
      </c>
      <c r="EU282" t="s">
        <v>983</v>
      </c>
      <c r="FJ282" t="s">
        <v>979</v>
      </c>
      <c r="FY282" t="s">
        <v>983</v>
      </c>
      <c r="GN282" t="s">
        <v>981</v>
      </c>
      <c r="HC282" t="s">
        <v>979</v>
      </c>
      <c r="HR282" t="s">
        <v>985</v>
      </c>
      <c r="IG282" t="s">
        <v>985</v>
      </c>
      <c r="IV282" t="s">
        <v>981</v>
      </c>
      <c r="JK282" t="s">
        <v>983</v>
      </c>
      <c r="JZ282" t="s">
        <v>981</v>
      </c>
      <c r="KO282" t="s">
        <v>983</v>
      </c>
      <c r="LD282" t="s">
        <v>987</v>
      </c>
      <c r="LS282" t="s">
        <v>981</v>
      </c>
      <c r="MH282" t="s">
        <v>979</v>
      </c>
      <c r="MW282" t="s">
        <v>979</v>
      </c>
      <c r="NL282" t="s">
        <v>983</v>
      </c>
    </row>
    <row r="283" spans="1:376" ht="15.75" hidden="1" customHeight="1" x14ac:dyDescent="0.25">
      <c r="A283" t="s">
        <v>978</v>
      </c>
      <c r="P283" t="s">
        <v>978</v>
      </c>
      <c r="AE283" t="s">
        <v>978</v>
      </c>
      <c r="AT283" t="s">
        <v>984</v>
      </c>
      <c r="BI283" t="s">
        <v>978</v>
      </c>
      <c r="BX283" t="s">
        <v>984</v>
      </c>
      <c r="CM283" t="s">
        <v>984</v>
      </c>
      <c r="DB283" t="s">
        <v>980</v>
      </c>
      <c r="DQ283" t="s">
        <v>984</v>
      </c>
      <c r="EF283" t="s">
        <v>980</v>
      </c>
      <c r="EU283" t="s">
        <v>984</v>
      </c>
      <c r="FJ283" t="s">
        <v>980</v>
      </c>
      <c r="FY283" t="s">
        <v>984</v>
      </c>
      <c r="GN283" t="s">
        <v>982</v>
      </c>
      <c r="HC283" t="s">
        <v>980</v>
      </c>
      <c r="HR283" t="s">
        <v>986</v>
      </c>
      <c r="IG283" t="s">
        <v>986</v>
      </c>
      <c r="IV283" t="s">
        <v>982</v>
      </c>
      <c r="JK283" t="s">
        <v>984</v>
      </c>
      <c r="JZ283" t="s">
        <v>982</v>
      </c>
      <c r="KO283" t="s">
        <v>984</v>
      </c>
      <c r="LD283" t="s">
        <v>988</v>
      </c>
      <c r="LS283" t="s">
        <v>982</v>
      </c>
      <c r="MH283" t="s">
        <v>980</v>
      </c>
      <c r="MW283" t="s">
        <v>980</v>
      </c>
      <c r="NL283" t="s">
        <v>984</v>
      </c>
    </row>
    <row r="284" spans="1:376" ht="15.75" hidden="1" customHeight="1" x14ac:dyDescent="0.25">
      <c r="A284" t="s">
        <v>979</v>
      </c>
      <c r="P284" t="s">
        <v>979</v>
      </c>
      <c r="AE284" t="s">
        <v>979</v>
      </c>
      <c r="AT284" t="s">
        <v>985</v>
      </c>
      <c r="BI284" t="s">
        <v>979</v>
      </c>
      <c r="BX284" t="s">
        <v>985</v>
      </c>
      <c r="CM284" t="s">
        <v>985</v>
      </c>
      <c r="DB284" t="s">
        <v>981</v>
      </c>
      <c r="DQ284" t="s">
        <v>985</v>
      </c>
      <c r="EF284" t="s">
        <v>981</v>
      </c>
      <c r="EU284" t="s">
        <v>985</v>
      </c>
      <c r="FJ284" t="s">
        <v>981</v>
      </c>
      <c r="FY284" t="s">
        <v>985</v>
      </c>
      <c r="GN284" t="s">
        <v>983</v>
      </c>
      <c r="HC284" t="s">
        <v>981</v>
      </c>
      <c r="HR284" t="s">
        <v>987</v>
      </c>
      <c r="IG284" t="s">
        <v>987</v>
      </c>
      <c r="IV284" t="s">
        <v>983</v>
      </c>
      <c r="JK284" t="s">
        <v>985</v>
      </c>
      <c r="JZ284" t="s">
        <v>983</v>
      </c>
      <c r="KO284" t="s">
        <v>985</v>
      </c>
      <c r="LD284" t="s">
        <v>989</v>
      </c>
      <c r="LS284" t="s">
        <v>983</v>
      </c>
      <c r="MH284" t="s">
        <v>981</v>
      </c>
      <c r="MW284" t="s">
        <v>981</v>
      </c>
      <c r="NL284" t="s">
        <v>985</v>
      </c>
    </row>
    <row r="285" spans="1:376" ht="15.75" hidden="1" customHeight="1" x14ac:dyDescent="0.25">
      <c r="A285" t="s">
        <v>980</v>
      </c>
      <c r="P285" t="s">
        <v>980</v>
      </c>
      <c r="AE285" t="s">
        <v>980</v>
      </c>
      <c r="AT285" t="s">
        <v>986</v>
      </c>
      <c r="BI285" t="s">
        <v>980</v>
      </c>
      <c r="BX285" t="s">
        <v>986</v>
      </c>
      <c r="CM285" t="s">
        <v>986</v>
      </c>
      <c r="DB285" t="s">
        <v>982</v>
      </c>
      <c r="DQ285" t="s">
        <v>986</v>
      </c>
      <c r="EF285" t="s">
        <v>982</v>
      </c>
      <c r="EU285" t="s">
        <v>986</v>
      </c>
      <c r="FJ285" t="s">
        <v>982</v>
      </c>
      <c r="FY285" t="s">
        <v>986</v>
      </c>
      <c r="GN285" t="s">
        <v>984</v>
      </c>
      <c r="HC285" t="s">
        <v>982</v>
      </c>
      <c r="HR285" t="s">
        <v>988</v>
      </c>
      <c r="IG285" t="s">
        <v>988</v>
      </c>
      <c r="IV285" t="s">
        <v>984</v>
      </c>
      <c r="JK285" t="s">
        <v>986</v>
      </c>
      <c r="JZ285" t="s">
        <v>984</v>
      </c>
      <c r="KO285" t="s">
        <v>986</v>
      </c>
      <c r="LD285" t="s">
        <v>990</v>
      </c>
      <c r="LS285" t="s">
        <v>984</v>
      </c>
      <c r="MH285" t="s">
        <v>982</v>
      </c>
      <c r="MW285" t="s">
        <v>982</v>
      </c>
      <c r="NL285" t="s">
        <v>986</v>
      </c>
    </row>
    <row r="286" spans="1:376" ht="15.75" hidden="1" customHeight="1" x14ac:dyDescent="0.25">
      <c r="A286" t="s">
        <v>981</v>
      </c>
      <c r="P286" t="s">
        <v>981</v>
      </c>
      <c r="AE286" t="s">
        <v>981</v>
      </c>
      <c r="AT286" t="s">
        <v>987</v>
      </c>
      <c r="BI286" t="s">
        <v>981</v>
      </c>
      <c r="BX286" t="s">
        <v>987</v>
      </c>
      <c r="CM286" t="s">
        <v>987</v>
      </c>
      <c r="DB286" t="s">
        <v>983</v>
      </c>
      <c r="DQ286" t="s">
        <v>987</v>
      </c>
      <c r="EF286" t="s">
        <v>983</v>
      </c>
      <c r="EU286" t="s">
        <v>987</v>
      </c>
      <c r="FJ286" t="s">
        <v>983</v>
      </c>
      <c r="FY286" t="s">
        <v>987</v>
      </c>
      <c r="GN286" t="s">
        <v>985</v>
      </c>
      <c r="HC286" t="s">
        <v>983</v>
      </c>
      <c r="HR286" t="s">
        <v>989</v>
      </c>
      <c r="IG286" t="s">
        <v>989</v>
      </c>
      <c r="IV286" t="s">
        <v>985</v>
      </c>
      <c r="JK286" t="s">
        <v>987</v>
      </c>
      <c r="JZ286" t="s">
        <v>985</v>
      </c>
      <c r="KO286" t="s">
        <v>987</v>
      </c>
      <c r="LD286" t="s">
        <v>991</v>
      </c>
      <c r="LS286" t="s">
        <v>985</v>
      </c>
      <c r="MH286" t="s">
        <v>983</v>
      </c>
      <c r="MW286" t="s">
        <v>983</v>
      </c>
      <c r="NL286" t="s">
        <v>987</v>
      </c>
    </row>
    <row r="287" spans="1:376" ht="15.75" hidden="1" customHeight="1" x14ac:dyDescent="0.25">
      <c r="A287" t="s">
        <v>982</v>
      </c>
      <c r="P287" t="s">
        <v>982</v>
      </c>
      <c r="AE287" t="s">
        <v>982</v>
      </c>
      <c r="AT287" t="s">
        <v>988</v>
      </c>
      <c r="BI287" t="s">
        <v>982</v>
      </c>
      <c r="BX287" t="s">
        <v>988</v>
      </c>
      <c r="CM287" t="s">
        <v>988</v>
      </c>
      <c r="DB287" t="s">
        <v>984</v>
      </c>
      <c r="DQ287" t="s">
        <v>988</v>
      </c>
      <c r="EF287" t="s">
        <v>984</v>
      </c>
      <c r="EU287" t="s">
        <v>988</v>
      </c>
      <c r="FJ287" t="s">
        <v>984</v>
      </c>
      <c r="FY287" t="s">
        <v>988</v>
      </c>
      <c r="GN287" t="s">
        <v>986</v>
      </c>
      <c r="HC287" t="s">
        <v>984</v>
      </c>
      <c r="HR287" t="s">
        <v>990</v>
      </c>
      <c r="IG287" t="s">
        <v>990</v>
      </c>
      <c r="IV287" t="s">
        <v>986</v>
      </c>
      <c r="JK287" t="s">
        <v>988</v>
      </c>
      <c r="JZ287" t="s">
        <v>986</v>
      </c>
      <c r="KO287" t="s">
        <v>988</v>
      </c>
      <c r="LD287" t="s">
        <v>992</v>
      </c>
      <c r="LS287" t="s">
        <v>986</v>
      </c>
      <c r="MH287" t="s">
        <v>984</v>
      </c>
      <c r="MW287" t="s">
        <v>984</v>
      </c>
      <c r="NL287" t="s">
        <v>988</v>
      </c>
    </row>
    <row r="288" spans="1:376" ht="15.75" hidden="1" customHeight="1" x14ac:dyDescent="0.25">
      <c r="A288" t="s">
        <v>983</v>
      </c>
      <c r="P288" t="s">
        <v>983</v>
      </c>
      <c r="AE288" t="s">
        <v>983</v>
      </c>
      <c r="AT288" t="s">
        <v>989</v>
      </c>
      <c r="BI288" t="s">
        <v>983</v>
      </c>
      <c r="BX288" t="s">
        <v>989</v>
      </c>
      <c r="CM288" t="s">
        <v>989</v>
      </c>
      <c r="DB288" t="s">
        <v>985</v>
      </c>
      <c r="DQ288" t="s">
        <v>989</v>
      </c>
      <c r="EF288" t="s">
        <v>985</v>
      </c>
      <c r="EU288" t="s">
        <v>989</v>
      </c>
      <c r="FJ288" t="s">
        <v>985</v>
      </c>
      <c r="FY288" t="s">
        <v>989</v>
      </c>
      <c r="GN288" t="s">
        <v>987</v>
      </c>
      <c r="HC288" t="s">
        <v>985</v>
      </c>
      <c r="HR288" t="s">
        <v>991</v>
      </c>
      <c r="IG288" t="s">
        <v>991</v>
      </c>
      <c r="IV288" t="s">
        <v>987</v>
      </c>
      <c r="JK288" t="s">
        <v>989</v>
      </c>
      <c r="JZ288" t="s">
        <v>987</v>
      </c>
      <c r="KO288" t="s">
        <v>989</v>
      </c>
      <c r="LS288" t="s">
        <v>987</v>
      </c>
      <c r="MH288" t="s">
        <v>985</v>
      </c>
      <c r="MW288" t="s">
        <v>985</v>
      </c>
      <c r="NL288" t="s">
        <v>989</v>
      </c>
    </row>
    <row r="289" spans="1:376" ht="15.75" hidden="1" customHeight="1" x14ac:dyDescent="0.25">
      <c r="A289" t="s">
        <v>984</v>
      </c>
      <c r="P289" t="s">
        <v>984</v>
      </c>
      <c r="AE289" t="s">
        <v>984</v>
      </c>
      <c r="AT289" t="s">
        <v>990</v>
      </c>
      <c r="BI289" t="s">
        <v>984</v>
      </c>
      <c r="BX289" t="s">
        <v>990</v>
      </c>
      <c r="CM289" t="s">
        <v>990</v>
      </c>
      <c r="DB289" t="s">
        <v>986</v>
      </c>
      <c r="DQ289" t="s">
        <v>990</v>
      </c>
      <c r="EF289" t="s">
        <v>986</v>
      </c>
      <c r="EU289" t="s">
        <v>990</v>
      </c>
      <c r="FJ289" t="s">
        <v>986</v>
      </c>
      <c r="FY289" t="s">
        <v>990</v>
      </c>
      <c r="GN289" t="s">
        <v>988</v>
      </c>
      <c r="HC289" t="s">
        <v>986</v>
      </c>
      <c r="HR289" t="s">
        <v>992</v>
      </c>
      <c r="IG289" t="s">
        <v>992</v>
      </c>
      <c r="IV289" t="s">
        <v>988</v>
      </c>
      <c r="JK289" t="s">
        <v>990</v>
      </c>
      <c r="JZ289" t="s">
        <v>988</v>
      </c>
      <c r="KO289" t="s">
        <v>990</v>
      </c>
      <c r="LD289" t="s">
        <v>993</v>
      </c>
      <c r="LS289" t="s">
        <v>988</v>
      </c>
      <c r="MH289" t="s">
        <v>986</v>
      </c>
      <c r="MW289" t="s">
        <v>986</v>
      </c>
      <c r="NL289" t="s">
        <v>990</v>
      </c>
    </row>
    <row r="290" spans="1:376" ht="15.75" hidden="1" customHeight="1" x14ac:dyDescent="0.25">
      <c r="A290" t="s">
        <v>985</v>
      </c>
      <c r="P290" t="s">
        <v>985</v>
      </c>
      <c r="AE290" t="s">
        <v>985</v>
      </c>
      <c r="AT290" t="s">
        <v>991</v>
      </c>
      <c r="BI290" t="s">
        <v>985</v>
      </c>
      <c r="BX290" t="s">
        <v>991</v>
      </c>
      <c r="CM290" t="s">
        <v>991</v>
      </c>
      <c r="DB290" t="s">
        <v>987</v>
      </c>
      <c r="DQ290" t="s">
        <v>991</v>
      </c>
      <c r="EF290" t="s">
        <v>987</v>
      </c>
      <c r="EU290" t="s">
        <v>991</v>
      </c>
      <c r="FJ290" t="s">
        <v>987</v>
      </c>
      <c r="FY290" t="s">
        <v>991</v>
      </c>
      <c r="GN290" t="s">
        <v>989</v>
      </c>
      <c r="HC290" t="s">
        <v>987</v>
      </c>
      <c r="IV290" t="s">
        <v>989</v>
      </c>
      <c r="JK290" t="s">
        <v>991</v>
      </c>
      <c r="JZ290" t="s">
        <v>989</v>
      </c>
      <c r="KO290" t="s">
        <v>991</v>
      </c>
      <c r="LD290" t="s">
        <v>994</v>
      </c>
      <c r="LS290" t="s">
        <v>989</v>
      </c>
      <c r="MH290" t="s">
        <v>987</v>
      </c>
      <c r="MW290" t="s">
        <v>987</v>
      </c>
      <c r="NL290" t="s">
        <v>991</v>
      </c>
    </row>
    <row r="291" spans="1:376" ht="15.75" hidden="1" customHeight="1" x14ac:dyDescent="0.25">
      <c r="A291" t="s">
        <v>986</v>
      </c>
      <c r="P291" t="s">
        <v>986</v>
      </c>
      <c r="AE291" t="s">
        <v>986</v>
      </c>
      <c r="AT291" t="s">
        <v>992</v>
      </c>
      <c r="BI291" t="s">
        <v>986</v>
      </c>
      <c r="BX291" t="s">
        <v>992</v>
      </c>
      <c r="CM291" t="s">
        <v>992</v>
      </c>
      <c r="DB291" t="s">
        <v>988</v>
      </c>
      <c r="DQ291" t="s">
        <v>992</v>
      </c>
      <c r="EF291" t="s">
        <v>988</v>
      </c>
      <c r="EU291" t="s">
        <v>992</v>
      </c>
      <c r="FJ291" t="s">
        <v>988</v>
      </c>
      <c r="FY291" t="s">
        <v>992</v>
      </c>
      <c r="GN291" t="s">
        <v>990</v>
      </c>
      <c r="HC291" t="s">
        <v>988</v>
      </c>
      <c r="HR291" t="s">
        <v>993</v>
      </c>
      <c r="IG291" t="s">
        <v>993</v>
      </c>
      <c r="IV291" t="s">
        <v>990</v>
      </c>
      <c r="JK291" t="s">
        <v>992</v>
      </c>
      <c r="JZ291" t="s">
        <v>990</v>
      </c>
      <c r="KO291" t="s">
        <v>992</v>
      </c>
      <c r="LS291" t="s">
        <v>990</v>
      </c>
      <c r="MH291" t="s">
        <v>988</v>
      </c>
      <c r="MW291" t="s">
        <v>988</v>
      </c>
      <c r="NL291" t="s">
        <v>992</v>
      </c>
    </row>
    <row r="292" spans="1:376" ht="15.75" hidden="1" customHeight="1" x14ac:dyDescent="0.25">
      <c r="A292" t="s">
        <v>987</v>
      </c>
      <c r="P292" t="s">
        <v>987</v>
      </c>
      <c r="AE292" t="s">
        <v>987</v>
      </c>
      <c r="BI292" t="s">
        <v>987</v>
      </c>
      <c r="DB292" t="s">
        <v>989</v>
      </c>
      <c r="EF292" t="s">
        <v>989</v>
      </c>
      <c r="FJ292" t="s">
        <v>989</v>
      </c>
      <c r="GN292" t="s">
        <v>991</v>
      </c>
      <c r="HC292" t="s">
        <v>989</v>
      </c>
      <c r="HR292" t="s">
        <v>994</v>
      </c>
      <c r="IG292" t="s">
        <v>994</v>
      </c>
      <c r="IV292" t="s">
        <v>991</v>
      </c>
      <c r="JZ292" t="s">
        <v>991</v>
      </c>
      <c r="LS292" t="s">
        <v>991</v>
      </c>
      <c r="MH292" t="s">
        <v>989</v>
      </c>
      <c r="MW292" t="s">
        <v>989</v>
      </c>
    </row>
    <row r="293" spans="1:376" ht="15.75" hidden="1" customHeight="1" x14ac:dyDescent="0.25">
      <c r="A293" t="s">
        <v>988</v>
      </c>
      <c r="P293" t="s">
        <v>988</v>
      </c>
      <c r="AE293" t="s">
        <v>988</v>
      </c>
      <c r="AT293" t="s">
        <v>993</v>
      </c>
      <c r="BI293" t="s">
        <v>988</v>
      </c>
      <c r="BX293" t="s">
        <v>993</v>
      </c>
      <c r="CM293" t="s">
        <v>993</v>
      </c>
      <c r="DB293" t="s">
        <v>990</v>
      </c>
      <c r="DQ293" t="s">
        <v>993</v>
      </c>
      <c r="EF293" t="s">
        <v>990</v>
      </c>
      <c r="EU293" t="s">
        <v>993</v>
      </c>
      <c r="FJ293" t="s">
        <v>990</v>
      </c>
      <c r="FY293" t="s">
        <v>993</v>
      </c>
      <c r="GN293" t="s">
        <v>992</v>
      </c>
      <c r="HC293" t="s">
        <v>990</v>
      </c>
      <c r="IV293" t="s">
        <v>992</v>
      </c>
      <c r="JK293" t="s">
        <v>993</v>
      </c>
      <c r="JZ293" t="s">
        <v>992</v>
      </c>
      <c r="KO293" t="s">
        <v>993</v>
      </c>
      <c r="LS293" t="s">
        <v>992</v>
      </c>
      <c r="MH293" t="s">
        <v>990</v>
      </c>
      <c r="MW293" t="s">
        <v>990</v>
      </c>
      <c r="NL293" t="s">
        <v>993</v>
      </c>
    </row>
    <row r="294" spans="1:376" ht="15.75" hidden="1" customHeight="1" x14ac:dyDescent="0.25">
      <c r="A294" t="s">
        <v>989</v>
      </c>
      <c r="P294" t="s">
        <v>989</v>
      </c>
      <c r="AE294" t="s">
        <v>989</v>
      </c>
      <c r="AT294" t="s">
        <v>994</v>
      </c>
      <c r="BI294" t="s">
        <v>989</v>
      </c>
      <c r="BX294" t="s">
        <v>994</v>
      </c>
      <c r="CM294" t="s">
        <v>994</v>
      </c>
      <c r="DB294" t="s">
        <v>991</v>
      </c>
      <c r="DQ294" t="s">
        <v>994</v>
      </c>
      <c r="EF294" t="s">
        <v>991</v>
      </c>
      <c r="EU294" t="s">
        <v>994</v>
      </c>
      <c r="FJ294" t="s">
        <v>991</v>
      </c>
      <c r="FY294" t="s">
        <v>994</v>
      </c>
      <c r="HC294" t="s">
        <v>991</v>
      </c>
      <c r="JK294" t="s">
        <v>994</v>
      </c>
      <c r="KO294" t="s">
        <v>994</v>
      </c>
      <c r="MH294" t="s">
        <v>991</v>
      </c>
      <c r="MW294" t="s">
        <v>991</v>
      </c>
      <c r="NL294" t="s">
        <v>994</v>
      </c>
    </row>
    <row r="295" spans="1:376" ht="15.75" hidden="1" customHeight="1" x14ac:dyDescent="0.25">
      <c r="A295" t="s">
        <v>990</v>
      </c>
      <c r="P295" t="s">
        <v>990</v>
      </c>
      <c r="AE295" t="s">
        <v>990</v>
      </c>
      <c r="BI295" t="s">
        <v>990</v>
      </c>
      <c r="DB295" t="s">
        <v>992</v>
      </c>
      <c r="EF295" t="s">
        <v>992</v>
      </c>
      <c r="FJ295" t="s">
        <v>992</v>
      </c>
      <c r="GN295" t="s">
        <v>993</v>
      </c>
      <c r="HC295" t="s">
        <v>992</v>
      </c>
      <c r="IV295" t="s">
        <v>993</v>
      </c>
      <c r="JZ295" t="s">
        <v>993</v>
      </c>
      <c r="LS295" t="s">
        <v>993</v>
      </c>
      <c r="MH295" t="s">
        <v>992</v>
      </c>
      <c r="MW295" t="s">
        <v>992</v>
      </c>
    </row>
    <row r="296" spans="1:376" ht="15.75" hidden="1" customHeight="1" x14ac:dyDescent="0.25">
      <c r="A296" t="s">
        <v>991</v>
      </c>
      <c r="P296" t="s">
        <v>991</v>
      </c>
      <c r="AE296" t="s">
        <v>991</v>
      </c>
      <c r="BI296" t="s">
        <v>991</v>
      </c>
      <c r="GN296" t="s">
        <v>994</v>
      </c>
      <c r="IV296" t="s">
        <v>994</v>
      </c>
      <c r="JZ296" t="s">
        <v>994</v>
      </c>
      <c r="LS296" t="s">
        <v>994</v>
      </c>
    </row>
    <row r="297" spans="1:376" ht="15.75" hidden="1" customHeight="1" x14ac:dyDescent="0.25">
      <c r="A297" t="s">
        <v>992</v>
      </c>
      <c r="P297" t="s">
        <v>992</v>
      </c>
      <c r="AE297" t="s">
        <v>992</v>
      </c>
      <c r="BI297" t="s">
        <v>992</v>
      </c>
      <c r="DB297" t="s">
        <v>993</v>
      </c>
      <c r="EF297" t="s">
        <v>993</v>
      </c>
      <c r="FJ297" t="s">
        <v>993</v>
      </c>
      <c r="HC297" t="s">
        <v>993</v>
      </c>
      <c r="MH297" t="s">
        <v>993</v>
      </c>
      <c r="MW297" t="s">
        <v>993</v>
      </c>
    </row>
    <row r="298" spans="1:376" ht="15.75" hidden="1" customHeight="1" x14ac:dyDescent="0.25">
      <c r="DB298" t="s">
        <v>994</v>
      </c>
      <c r="EF298" t="s">
        <v>994</v>
      </c>
      <c r="FJ298" t="s">
        <v>994</v>
      </c>
      <c r="HC298" t="s">
        <v>994</v>
      </c>
      <c r="MH298" t="s">
        <v>994</v>
      </c>
      <c r="MW298" t="s">
        <v>994</v>
      </c>
    </row>
    <row r="299" spans="1:376" ht="15.75" hidden="1" customHeight="1" x14ac:dyDescent="0.25">
      <c r="A299" t="s">
        <v>993</v>
      </c>
      <c r="P299" t="s">
        <v>993</v>
      </c>
      <c r="AE299" t="s">
        <v>993</v>
      </c>
      <c r="BI299" t="s">
        <v>993</v>
      </c>
    </row>
    <row r="300" spans="1:376" ht="15.75" hidden="1" customHeight="1" x14ac:dyDescent="0.25">
      <c r="A300" t="s">
        <v>994</v>
      </c>
      <c r="P300" t="s">
        <v>994</v>
      </c>
      <c r="AE300" t="s">
        <v>994</v>
      </c>
      <c r="BI300" t="s">
        <v>994</v>
      </c>
    </row>
  </sheetData>
  <mergeCells count="1">
    <mergeCell ref="A1:BX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7030A0"/>
  </sheetPr>
  <dimension ref="A1:V250"/>
  <sheetViews>
    <sheetView workbookViewId="0">
      <pane ySplit="16" topLeftCell="A17" activePane="bottomLeft" state="frozen"/>
      <selection pane="bottomLeft" activeCell="C16" sqref="C16"/>
    </sheetView>
  </sheetViews>
  <sheetFormatPr baseColWidth="10" defaultColWidth="10.875" defaultRowHeight="15" x14ac:dyDescent="0.25"/>
  <cols>
    <col min="1" max="1" width="10.875" style="283"/>
    <col min="2" max="2" width="49.875" style="283" hidden="1" customWidth="1"/>
    <col min="3" max="3" width="23.625" style="284" customWidth="1"/>
    <col min="4" max="4" width="3.125" style="285" customWidth="1"/>
    <col min="5" max="5" width="4.75" style="285" customWidth="1"/>
    <col min="6" max="6" width="4.875" style="285" customWidth="1"/>
    <col min="7" max="8" width="4" style="285" customWidth="1"/>
    <col min="9" max="9" width="4.25" style="285" customWidth="1"/>
    <col min="10" max="10" width="4.125" style="285" customWidth="1"/>
    <col min="11" max="11" width="4" style="285" customWidth="1"/>
    <col min="12" max="12" width="4.75" style="285" customWidth="1"/>
    <col min="13" max="13" width="4.875" style="286" customWidth="1"/>
    <col min="14" max="14" width="4" style="285" customWidth="1"/>
    <col min="15" max="15" width="4.625" style="285" customWidth="1"/>
    <col min="16" max="16" width="7.375" style="286" customWidth="1"/>
    <col min="17" max="18" width="10.875" style="283"/>
    <col min="19" max="19" width="12.125" style="283" customWidth="1"/>
    <col min="20" max="20" width="10.875" style="283"/>
    <col min="21" max="21" width="12.375" style="283" customWidth="1"/>
    <col min="22" max="16384" width="10.875" style="283"/>
  </cols>
  <sheetData>
    <row r="1" spans="1:22" x14ac:dyDescent="0.25">
      <c r="A1" s="293" t="s">
        <v>1423</v>
      </c>
      <c r="C1" s="291" t="s">
        <v>1424</v>
      </c>
      <c r="D1" s="283"/>
      <c r="E1" s="283"/>
      <c r="F1" s="453" t="s">
        <v>1427</v>
      </c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 t="s">
        <v>1430</v>
      </c>
      <c r="R1" s="453"/>
      <c r="S1" s="453"/>
    </row>
    <row r="2" spans="1:22" ht="15" customHeight="1" x14ac:dyDescent="0.25">
      <c r="A2" s="452" t="s">
        <v>1439</v>
      </c>
      <c r="C2" s="455" t="s">
        <v>1425</v>
      </c>
      <c r="D2" s="455"/>
      <c r="E2" s="455"/>
      <c r="F2" s="453" t="s">
        <v>1428</v>
      </c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 t="s">
        <v>1431</v>
      </c>
      <c r="R2" s="453"/>
      <c r="S2" s="453"/>
      <c r="U2" s="292"/>
      <c r="V2" s="292"/>
    </row>
    <row r="3" spans="1:22" x14ac:dyDescent="0.25">
      <c r="A3" s="452"/>
      <c r="C3" s="290" t="s">
        <v>1426</v>
      </c>
      <c r="D3" s="290"/>
      <c r="E3" s="290"/>
      <c r="F3" s="453" t="s">
        <v>1429</v>
      </c>
      <c r="G3" s="453"/>
      <c r="H3" s="453"/>
      <c r="I3" s="453"/>
      <c r="J3" s="453"/>
      <c r="K3" s="453"/>
      <c r="L3" s="453"/>
      <c r="M3" s="453"/>
      <c r="N3" s="453"/>
      <c r="O3" s="453"/>
      <c r="P3" s="453"/>
      <c r="Q3" s="453" t="s">
        <v>1432</v>
      </c>
      <c r="R3" s="453"/>
      <c r="S3" s="453"/>
      <c r="T3" s="453"/>
      <c r="U3" s="294"/>
      <c r="V3" s="294"/>
    </row>
    <row r="4" spans="1:22" ht="15" customHeight="1" x14ac:dyDescent="0.25">
      <c r="A4" s="452"/>
      <c r="C4" s="453" t="s">
        <v>1433</v>
      </c>
      <c r="D4" s="453"/>
      <c r="F4" s="453" t="s">
        <v>1435</v>
      </c>
      <c r="G4" s="453"/>
      <c r="H4" s="453"/>
      <c r="I4" s="453"/>
      <c r="J4" s="453"/>
      <c r="K4" s="453"/>
      <c r="L4" s="453"/>
      <c r="M4" s="453"/>
      <c r="N4" s="453"/>
      <c r="O4" s="453"/>
      <c r="P4" s="453"/>
      <c r="Q4" s="454" t="s">
        <v>1434</v>
      </c>
      <c r="R4" s="454"/>
      <c r="S4" s="454"/>
      <c r="T4" s="454"/>
      <c r="U4" s="454"/>
      <c r="V4" s="294"/>
    </row>
    <row r="5" spans="1:22" ht="15" hidden="1" customHeight="1" x14ac:dyDescent="0.25">
      <c r="A5" s="452"/>
      <c r="B5" s="283" t="s">
        <v>1213</v>
      </c>
      <c r="T5" s="292"/>
      <c r="U5" s="292"/>
      <c r="V5" s="292"/>
    </row>
    <row r="6" spans="1:22" ht="15" hidden="1" customHeight="1" x14ac:dyDescent="0.25">
      <c r="A6" s="452"/>
      <c r="T6" s="292"/>
      <c r="U6" s="292"/>
      <c r="V6" s="292"/>
    </row>
    <row r="7" spans="1:22" ht="15" hidden="1" customHeight="1" x14ac:dyDescent="0.25">
      <c r="A7" s="452"/>
      <c r="B7" s="283" t="s">
        <v>1214</v>
      </c>
      <c r="T7" s="292"/>
      <c r="U7" s="292"/>
      <c r="V7" s="292"/>
    </row>
    <row r="8" spans="1:22" ht="15" hidden="1" customHeight="1" x14ac:dyDescent="0.25">
      <c r="A8" s="452"/>
      <c r="T8" s="292"/>
      <c r="U8" s="292"/>
      <c r="V8" s="292"/>
    </row>
    <row r="9" spans="1:22" ht="15" hidden="1" customHeight="1" x14ac:dyDescent="0.25">
      <c r="A9" s="452"/>
      <c r="B9" s="283" t="s">
        <v>1215</v>
      </c>
      <c r="T9" s="292"/>
      <c r="U9" s="292"/>
      <c r="V9" s="292"/>
    </row>
    <row r="10" spans="1:22" ht="15" hidden="1" customHeight="1" x14ac:dyDescent="0.25">
      <c r="A10" s="452"/>
      <c r="B10" s="283" t="s">
        <v>1216</v>
      </c>
      <c r="T10" s="292"/>
      <c r="U10" s="292"/>
      <c r="V10" s="292"/>
    </row>
    <row r="11" spans="1:22" ht="15" hidden="1" customHeight="1" x14ac:dyDescent="0.25">
      <c r="A11" s="452"/>
      <c r="B11" s="283" t="s">
        <v>1217</v>
      </c>
      <c r="T11" s="292"/>
      <c r="U11" s="292"/>
      <c r="V11" s="292"/>
    </row>
    <row r="12" spans="1:22" ht="15" hidden="1" customHeight="1" x14ac:dyDescent="0.25">
      <c r="A12" s="452"/>
      <c r="T12" s="292"/>
      <c r="U12" s="292"/>
      <c r="V12" s="292"/>
    </row>
    <row r="13" spans="1:22" ht="15" hidden="1" customHeight="1" x14ac:dyDescent="0.25">
      <c r="A13" s="452"/>
      <c r="B13" s="283" t="s">
        <v>1218</v>
      </c>
      <c r="T13" s="292"/>
      <c r="U13" s="292"/>
      <c r="V13" s="292"/>
    </row>
    <row r="14" spans="1:22" ht="15" hidden="1" customHeight="1" x14ac:dyDescent="0.25">
      <c r="A14" s="452"/>
      <c r="T14" s="292"/>
      <c r="U14" s="292"/>
      <c r="V14" s="292"/>
    </row>
    <row r="15" spans="1:22" ht="15" hidden="1" customHeight="1" x14ac:dyDescent="0.25">
      <c r="A15" s="452"/>
      <c r="B15" s="283" t="s">
        <v>1219</v>
      </c>
      <c r="T15" s="292"/>
      <c r="U15" s="292"/>
      <c r="V15" s="292"/>
    </row>
    <row r="16" spans="1:22" ht="15" customHeight="1" x14ac:dyDescent="0.25">
      <c r="A16" s="452"/>
      <c r="B16" s="283" t="s">
        <v>1220</v>
      </c>
      <c r="C16" s="297" t="s">
        <v>779</v>
      </c>
      <c r="D16" s="296" t="s">
        <v>780</v>
      </c>
      <c r="E16" s="296" t="s">
        <v>1221</v>
      </c>
      <c r="F16" s="296" t="s">
        <v>1222</v>
      </c>
      <c r="G16" s="296" t="s">
        <v>1223</v>
      </c>
      <c r="H16" s="296" t="s">
        <v>1224</v>
      </c>
      <c r="I16" s="296" t="s">
        <v>1225</v>
      </c>
      <c r="J16" s="296" t="s">
        <v>1226</v>
      </c>
      <c r="K16" s="296" t="s">
        <v>1227</v>
      </c>
      <c r="L16" s="296" t="s">
        <v>1228</v>
      </c>
      <c r="M16" s="296" t="s">
        <v>224</v>
      </c>
      <c r="N16" s="296" t="s">
        <v>1229</v>
      </c>
      <c r="O16" s="296" t="s">
        <v>1230</v>
      </c>
      <c r="T16" s="292"/>
      <c r="U16" s="292"/>
      <c r="V16" s="292"/>
    </row>
    <row r="17" spans="2:22" x14ac:dyDescent="0.25">
      <c r="B17" s="283">
        <v>1</v>
      </c>
      <c r="C17" s="289" t="s">
        <v>1231</v>
      </c>
      <c r="D17" s="287">
        <v>1</v>
      </c>
      <c r="E17" s="287" t="s">
        <v>797</v>
      </c>
      <c r="F17" s="287" t="s">
        <v>1232</v>
      </c>
      <c r="G17" s="287" t="s">
        <v>1233</v>
      </c>
      <c r="H17" s="287" t="s">
        <v>1069</v>
      </c>
      <c r="I17" s="287" t="s">
        <v>1857</v>
      </c>
      <c r="J17" s="287" t="s">
        <v>1234</v>
      </c>
      <c r="K17" s="287" t="s">
        <v>1235</v>
      </c>
      <c r="L17" s="287" t="s">
        <v>1236</v>
      </c>
      <c r="M17" s="288" t="s">
        <v>1858</v>
      </c>
      <c r="N17" s="287" t="s">
        <v>1331</v>
      </c>
      <c r="O17" s="287" t="s">
        <v>811</v>
      </c>
      <c r="T17" s="292"/>
      <c r="U17" s="292"/>
      <c r="V17" s="292"/>
    </row>
    <row r="18" spans="2:22" x14ac:dyDescent="0.25">
      <c r="B18" s="283">
        <v>2</v>
      </c>
      <c r="C18" s="289" t="s">
        <v>1238</v>
      </c>
      <c r="D18" s="285">
        <v>1</v>
      </c>
      <c r="E18" s="285" t="s">
        <v>890</v>
      </c>
      <c r="F18" s="285" t="s">
        <v>1239</v>
      </c>
      <c r="G18" s="285" t="s">
        <v>1240</v>
      </c>
      <c r="H18" s="285" t="s">
        <v>1241</v>
      </c>
      <c r="I18" s="285" t="s">
        <v>1859</v>
      </c>
      <c r="J18" s="285" t="s">
        <v>1243</v>
      </c>
      <c r="K18" s="285" t="s">
        <v>1244</v>
      </c>
      <c r="L18" s="285" t="s">
        <v>803</v>
      </c>
      <c r="M18" s="286" t="s">
        <v>1860</v>
      </c>
      <c r="N18" s="285" t="s">
        <v>1272</v>
      </c>
      <c r="O18" s="285" t="s">
        <v>1861</v>
      </c>
      <c r="P18" s="295"/>
    </row>
    <row r="19" spans="2:22" x14ac:dyDescent="0.25">
      <c r="B19" s="283">
        <v>3</v>
      </c>
      <c r="C19" s="289" t="s">
        <v>1862</v>
      </c>
      <c r="D19" s="285">
        <v>1</v>
      </c>
      <c r="E19" s="285" t="s">
        <v>1181</v>
      </c>
      <c r="F19" s="285" t="s">
        <v>1863</v>
      </c>
      <c r="G19" s="285" t="s">
        <v>1352</v>
      </c>
      <c r="H19" s="285" t="s">
        <v>1069</v>
      </c>
      <c r="I19" s="285" t="s">
        <v>1864</v>
      </c>
      <c r="J19" s="285" t="s">
        <v>1628</v>
      </c>
      <c r="K19" s="285" t="s">
        <v>1865</v>
      </c>
      <c r="L19" s="285" t="s">
        <v>1627</v>
      </c>
      <c r="M19" s="286" t="s">
        <v>1866</v>
      </c>
      <c r="N19" s="285" t="s">
        <v>1348</v>
      </c>
      <c r="O19" s="285" t="s">
        <v>1861</v>
      </c>
      <c r="P19" s="295"/>
    </row>
    <row r="20" spans="2:22" x14ac:dyDescent="0.25">
      <c r="B20" s="283">
        <v>4</v>
      </c>
      <c r="C20" s="289" t="s">
        <v>1867</v>
      </c>
      <c r="D20" s="285">
        <v>1</v>
      </c>
      <c r="E20" s="285" t="s">
        <v>701</v>
      </c>
      <c r="F20" s="285" t="s">
        <v>1868</v>
      </c>
      <c r="G20" s="285" t="s">
        <v>1234</v>
      </c>
      <c r="H20" s="285" t="s">
        <v>1234</v>
      </c>
      <c r="I20" s="285" t="s">
        <v>1869</v>
      </c>
      <c r="J20" s="285" t="s">
        <v>1365</v>
      </c>
      <c r="K20" s="285" t="s">
        <v>1247</v>
      </c>
      <c r="L20" s="285" t="s">
        <v>1870</v>
      </c>
      <c r="M20" s="286" t="s">
        <v>1871</v>
      </c>
      <c r="N20" s="285" t="s">
        <v>1872</v>
      </c>
      <c r="O20" s="285" t="s">
        <v>1256</v>
      </c>
      <c r="P20" s="295"/>
    </row>
    <row r="21" spans="2:22" x14ac:dyDescent="0.25">
      <c r="B21" s="283">
        <v>5</v>
      </c>
      <c r="C21" s="289" t="s">
        <v>1873</v>
      </c>
      <c r="D21" s="285">
        <v>1</v>
      </c>
      <c r="E21" s="285" t="s">
        <v>697</v>
      </c>
      <c r="F21" s="285" t="s">
        <v>879</v>
      </c>
      <c r="G21" s="285" t="s">
        <v>796</v>
      </c>
      <c r="H21" s="285" t="s">
        <v>796</v>
      </c>
      <c r="I21" s="285" t="s">
        <v>821</v>
      </c>
      <c r="J21" s="285" t="s">
        <v>1311</v>
      </c>
      <c r="K21" s="285" t="s">
        <v>1311</v>
      </c>
      <c r="L21" s="285" t="s">
        <v>1311</v>
      </c>
      <c r="M21" s="286" t="s">
        <v>1874</v>
      </c>
      <c r="N21" s="285" t="s">
        <v>1538</v>
      </c>
      <c r="O21" s="285" t="s">
        <v>1256</v>
      </c>
      <c r="P21" s="295"/>
    </row>
    <row r="22" spans="2:22" x14ac:dyDescent="0.25">
      <c r="B22" s="283">
        <v>6</v>
      </c>
      <c r="C22" s="289" t="s">
        <v>1245</v>
      </c>
      <c r="D22" s="285">
        <v>1</v>
      </c>
      <c r="E22" s="285" t="s">
        <v>833</v>
      </c>
      <c r="F22" s="285" t="s">
        <v>1246</v>
      </c>
      <c r="G22" s="285" t="s">
        <v>1247</v>
      </c>
      <c r="H22" s="285" t="s">
        <v>1248</v>
      </c>
      <c r="I22" s="285" t="s">
        <v>1875</v>
      </c>
      <c r="J22" s="285" t="s">
        <v>796</v>
      </c>
      <c r="K22" s="285" t="s">
        <v>1249</v>
      </c>
      <c r="L22" s="285" t="s">
        <v>1067</v>
      </c>
      <c r="M22" s="286" t="s">
        <v>1876</v>
      </c>
      <c r="N22" s="285" t="s">
        <v>1536</v>
      </c>
      <c r="O22" s="285" t="s">
        <v>811</v>
      </c>
      <c r="P22" s="295"/>
    </row>
    <row r="23" spans="2:22" x14ac:dyDescent="0.25">
      <c r="B23" s="283">
        <v>7</v>
      </c>
      <c r="C23" s="289" t="s">
        <v>1877</v>
      </c>
      <c r="D23" s="285">
        <v>1</v>
      </c>
      <c r="E23" s="285" t="s">
        <v>890</v>
      </c>
      <c r="F23" s="285" t="s">
        <v>1878</v>
      </c>
      <c r="G23" s="285" t="s">
        <v>1355</v>
      </c>
      <c r="H23" s="285" t="s">
        <v>1355</v>
      </c>
      <c r="I23" s="285" t="s">
        <v>1879</v>
      </c>
      <c r="J23" s="285" t="s">
        <v>1003</v>
      </c>
      <c r="K23" s="285" t="s">
        <v>1324</v>
      </c>
      <c r="L23" s="285" t="s">
        <v>1297</v>
      </c>
      <c r="M23" s="286" t="s">
        <v>1880</v>
      </c>
      <c r="N23" s="285" t="s">
        <v>1351</v>
      </c>
      <c r="O23" s="285" t="s">
        <v>811</v>
      </c>
      <c r="P23" s="295"/>
    </row>
    <row r="24" spans="2:22" x14ac:dyDescent="0.25">
      <c r="B24" s="283">
        <v>8</v>
      </c>
      <c r="C24" s="289" t="s">
        <v>1881</v>
      </c>
      <c r="D24" s="285">
        <v>1</v>
      </c>
      <c r="E24" s="285" t="s">
        <v>701</v>
      </c>
      <c r="F24" s="285" t="s">
        <v>1882</v>
      </c>
      <c r="G24" s="285" t="s">
        <v>1793</v>
      </c>
      <c r="H24" s="285" t="s">
        <v>859</v>
      </c>
      <c r="I24" s="285" t="s">
        <v>1306</v>
      </c>
      <c r="J24" s="285" t="s">
        <v>796</v>
      </c>
      <c r="K24" s="285" t="s">
        <v>796</v>
      </c>
      <c r="L24" s="285" t="s">
        <v>796</v>
      </c>
      <c r="M24" s="286" t="s">
        <v>1883</v>
      </c>
      <c r="N24" s="285" t="s">
        <v>815</v>
      </c>
      <c r="O24" s="285" t="s">
        <v>1256</v>
      </c>
      <c r="P24" s="295"/>
    </row>
    <row r="25" spans="2:22" x14ac:dyDescent="0.25">
      <c r="B25" s="283">
        <v>9</v>
      </c>
      <c r="C25" s="289" t="s">
        <v>1884</v>
      </c>
      <c r="D25" s="285">
        <v>1</v>
      </c>
      <c r="E25" s="285" t="s">
        <v>1023</v>
      </c>
      <c r="F25" s="285" t="s">
        <v>1322</v>
      </c>
      <c r="G25" s="285" t="s">
        <v>1180</v>
      </c>
      <c r="H25" s="285" t="s">
        <v>1271</v>
      </c>
      <c r="I25" s="285" t="s">
        <v>1885</v>
      </c>
      <c r="J25" s="285" t="s">
        <v>1886</v>
      </c>
      <c r="K25" s="285" t="s">
        <v>697</v>
      </c>
      <c r="L25" s="285" t="s">
        <v>1266</v>
      </c>
      <c r="M25" s="286" t="s">
        <v>1887</v>
      </c>
      <c r="N25" s="285" t="s">
        <v>1366</v>
      </c>
      <c r="O25" s="285" t="s">
        <v>1256</v>
      </c>
      <c r="P25" s="295"/>
    </row>
    <row r="26" spans="2:22" x14ac:dyDescent="0.25">
      <c r="B26" s="283">
        <v>10</v>
      </c>
      <c r="C26" s="289" t="s">
        <v>1888</v>
      </c>
      <c r="D26" s="285">
        <v>1</v>
      </c>
      <c r="E26" s="285" t="s">
        <v>697</v>
      </c>
      <c r="F26" s="285" t="s">
        <v>1265</v>
      </c>
      <c r="G26" s="285" t="s">
        <v>796</v>
      </c>
      <c r="H26" s="285" t="s">
        <v>796</v>
      </c>
      <c r="I26" s="285" t="s">
        <v>1016</v>
      </c>
      <c r="J26" s="285" t="s">
        <v>1057</v>
      </c>
      <c r="K26" s="285" t="s">
        <v>796</v>
      </c>
      <c r="L26" s="285" t="s">
        <v>1480</v>
      </c>
      <c r="M26" s="286" t="s">
        <v>1889</v>
      </c>
      <c r="N26" s="285" t="s">
        <v>1015</v>
      </c>
      <c r="O26" s="285" t="s">
        <v>1256</v>
      </c>
      <c r="P26" s="295"/>
    </row>
    <row r="27" spans="2:22" ht="15" hidden="1" customHeight="1" x14ac:dyDescent="0.25">
      <c r="B27" s="283" t="s">
        <v>1220</v>
      </c>
      <c r="C27" s="289" t="s">
        <v>779</v>
      </c>
      <c r="D27" s="285" t="s">
        <v>780</v>
      </c>
      <c r="E27" s="285" t="s">
        <v>1221</v>
      </c>
      <c r="F27" s="285" t="s">
        <v>1222</v>
      </c>
      <c r="G27" s="285" t="s">
        <v>1223</v>
      </c>
      <c r="H27" s="285" t="s">
        <v>1224</v>
      </c>
      <c r="I27" s="285" t="s">
        <v>1225</v>
      </c>
      <c r="J27" s="285" t="s">
        <v>1226</v>
      </c>
      <c r="K27" s="285" t="s">
        <v>1227</v>
      </c>
      <c r="L27" s="285" t="s">
        <v>1228</v>
      </c>
      <c r="M27" s="286" t="s">
        <v>224</v>
      </c>
      <c r="N27" s="285" t="s">
        <v>1229</v>
      </c>
      <c r="O27" s="285" t="s">
        <v>1230</v>
      </c>
      <c r="P27" s="295"/>
    </row>
    <row r="28" spans="2:22" ht="15" customHeight="1" x14ac:dyDescent="0.25">
      <c r="B28" s="283">
        <v>11</v>
      </c>
      <c r="C28" s="289" t="s">
        <v>1890</v>
      </c>
      <c r="D28" s="285">
        <v>1</v>
      </c>
      <c r="E28" s="285" t="s">
        <v>1000</v>
      </c>
      <c r="F28" s="285" t="s">
        <v>1891</v>
      </c>
      <c r="G28" s="285" t="s">
        <v>1892</v>
      </c>
      <c r="H28" s="285" t="s">
        <v>1236</v>
      </c>
      <c r="I28" s="285" t="s">
        <v>1692</v>
      </c>
      <c r="J28" s="285" t="s">
        <v>1534</v>
      </c>
      <c r="K28" s="285" t="s">
        <v>1879</v>
      </c>
      <c r="L28" s="285" t="s">
        <v>1354</v>
      </c>
      <c r="M28" s="286" t="s">
        <v>1893</v>
      </c>
      <c r="N28" s="285" t="s">
        <v>1536</v>
      </c>
      <c r="O28" s="285" t="s">
        <v>811</v>
      </c>
      <c r="P28" s="295"/>
    </row>
    <row r="29" spans="2:22" x14ac:dyDescent="0.25">
      <c r="B29" s="283">
        <v>12</v>
      </c>
      <c r="C29" s="289" t="s">
        <v>1894</v>
      </c>
      <c r="D29" s="285">
        <v>1</v>
      </c>
      <c r="E29" s="285" t="s">
        <v>798</v>
      </c>
      <c r="F29" s="285" t="s">
        <v>1895</v>
      </c>
      <c r="G29" s="285" t="s">
        <v>817</v>
      </c>
      <c r="H29" s="285" t="s">
        <v>1337</v>
      </c>
      <c r="I29" s="285" t="s">
        <v>1896</v>
      </c>
      <c r="J29" s="285" t="s">
        <v>1897</v>
      </c>
      <c r="K29" s="285" t="s">
        <v>1352</v>
      </c>
      <c r="L29" s="285" t="s">
        <v>1299</v>
      </c>
      <c r="M29" s="286" t="s">
        <v>1898</v>
      </c>
      <c r="N29" s="285" t="s">
        <v>1275</v>
      </c>
      <c r="O29" s="285" t="s">
        <v>1010</v>
      </c>
      <c r="P29" s="295"/>
    </row>
    <row r="30" spans="2:22" x14ac:dyDescent="0.25">
      <c r="B30" s="283">
        <v>13</v>
      </c>
      <c r="C30" s="289" t="s">
        <v>1899</v>
      </c>
      <c r="D30" s="285">
        <v>1</v>
      </c>
      <c r="E30" s="285" t="s">
        <v>1002</v>
      </c>
      <c r="F30" s="285" t="s">
        <v>1900</v>
      </c>
      <c r="G30" s="285" t="s">
        <v>1513</v>
      </c>
      <c r="H30" s="285" t="s">
        <v>1016</v>
      </c>
      <c r="I30" s="285" t="s">
        <v>1901</v>
      </c>
      <c r="J30" s="285" t="s">
        <v>1808</v>
      </c>
      <c r="K30" s="285" t="s">
        <v>1234</v>
      </c>
      <c r="L30" s="285" t="s">
        <v>1142</v>
      </c>
      <c r="M30" s="286" t="s">
        <v>1902</v>
      </c>
      <c r="N30" s="285" t="s">
        <v>1314</v>
      </c>
      <c r="O30" s="285" t="s">
        <v>1251</v>
      </c>
      <c r="P30" s="295"/>
    </row>
    <row r="31" spans="2:22" x14ac:dyDescent="0.25">
      <c r="B31" s="283">
        <v>14</v>
      </c>
      <c r="C31" s="289" t="s">
        <v>1903</v>
      </c>
      <c r="D31" s="285">
        <v>1</v>
      </c>
      <c r="E31" s="285" t="s">
        <v>1000</v>
      </c>
      <c r="F31" s="285" t="s">
        <v>1309</v>
      </c>
      <c r="G31" s="285" t="s">
        <v>1002</v>
      </c>
      <c r="H31" s="285" t="s">
        <v>701</v>
      </c>
      <c r="I31" s="285" t="s">
        <v>1806</v>
      </c>
      <c r="J31" s="285" t="s">
        <v>1904</v>
      </c>
      <c r="K31" s="285" t="s">
        <v>1905</v>
      </c>
      <c r="L31" s="285" t="s">
        <v>1302</v>
      </c>
      <c r="M31" s="286" t="s">
        <v>1906</v>
      </c>
      <c r="N31" s="285" t="s">
        <v>1247</v>
      </c>
      <c r="O31" s="285" t="s">
        <v>811</v>
      </c>
      <c r="P31" s="295"/>
    </row>
    <row r="32" spans="2:22" x14ac:dyDescent="0.25">
      <c r="B32" s="283">
        <v>15</v>
      </c>
      <c r="C32" s="289" t="s">
        <v>1252</v>
      </c>
      <c r="D32" s="285">
        <v>1</v>
      </c>
      <c r="E32" s="285" t="s">
        <v>1005</v>
      </c>
      <c r="F32" s="285" t="s">
        <v>1024</v>
      </c>
      <c r="G32" s="285" t="s">
        <v>1253</v>
      </c>
      <c r="H32" s="285" t="s">
        <v>796</v>
      </c>
      <c r="I32" s="285" t="s">
        <v>1065</v>
      </c>
      <c r="J32" s="285" t="s">
        <v>796</v>
      </c>
      <c r="K32" s="285" t="s">
        <v>1255</v>
      </c>
      <c r="L32" s="285" t="s">
        <v>703</v>
      </c>
      <c r="M32" s="286" t="s">
        <v>1907</v>
      </c>
      <c r="N32" s="285" t="s">
        <v>1366</v>
      </c>
      <c r="O32" s="285" t="s">
        <v>1256</v>
      </c>
      <c r="P32" s="295"/>
    </row>
    <row r="33" spans="2:16" x14ac:dyDescent="0.25">
      <c r="B33" s="283">
        <v>16</v>
      </c>
      <c r="C33" s="289" t="s">
        <v>1908</v>
      </c>
      <c r="D33" s="285">
        <v>1</v>
      </c>
      <c r="E33" s="285" t="s">
        <v>809</v>
      </c>
      <c r="F33" s="285" t="s">
        <v>1909</v>
      </c>
      <c r="G33" s="285" t="s">
        <v>1535</v>
      </c>
      <c r="H33" s="285" t="s">
        <v>1480</v>
      </c>
      <c r="I33" s="285" t="s">
        <v>1910</v>
      </c>
      <c r="J33" s="285" t="s">
        <v>1233</v>
      </c>
      <c r="K33" s="285" t="s">
        <v>1910</v>
      </c>
      <c r="L33" s="285" t="s">
        <v>1793</v>
      </c>
      <c r="M33" s="286" t="s">
        <v>1911</v>
      </c>
      <c r="N33" s="285" t="s">
        <v>1067</v>
      </c>
      <c r="O33" s="285" t="s">
        <v>1010</v>
      </c>
      <c r="P33" s="295"/>
    </row>
    <row r="34" spans="2:16" x14ac:dyDescent="0.25">
      <c r="B34" s="283">
        <v>17</v>
      </c>
      <c r="C34" s="328" t="s">
        <v>1912</v>
      </c>
      <c r="D34" s="285">
        <v>1</v>
      </c>
      <c r="E34" s="285" t="s">
        <v>1451</v>
      </c>
      <c r="F34" s="285" t="s">
        <v>1710</v>
      </c>
      <c r="G34" s="285" t="s">
        <v>1913</v>
      </c>
      <c r="H34" s="285" t="s">
        <v>1610</v>
      </c>
      <c r="I34" s="285" t="s">
        <v>1914</v>
      </c>
      <c r="J34" s="285" t="s">
        <v>1809</v>
      </c>
      <c r="K34" s="285" t="s">
        <v>1915</v>
      </c>
      <c r="L34" s="285" t="s">
        <v>1336</v>
      </c>
      <c r="M34" s="286" t="s">
        <v>1916</v>
      </c>
      <c r="N34" s="285" t="s">
        <v>1314</v>
      </c>
      <c r="O34" s="285" t="s">
        <v>1251</v>
      </c>
      <c r="P34" s="295"/>
    </row>
    <row r="35" spans="2:16" x14ac:dyDescent="0.25">
      <c r="B35" s="283">
        <v>18</v>
      </c>
      <c r="C35" s="289" t="s">
        <v>1917</v>
      </c>
      <c r="D35" s="285">
        <v>1</v>
      </c>
      <c r="E35" s="285" t="s">
        <v>821</v>
      </c>
      <c r="F35" s="285" t="s">
        <v>1201</v>
      </c>
      <c r="G35" s="285" t="s">
        <v>1330</v>
      </c>
      <c r="H35" s="285" t="s">
        <v>796</v>
      </c>
      <c r="I35" s="285" t="s">
        <v>1535</v>
      </c>
      <c r="J35" s="285" t="s">
        <v>1323</v>
      </c>
      <c r="K35" s="285" t="s">
        <v>1807</v>
      </c>
      <c r="L35" s="285" t="s">
        <v>812</v>
      </c>
      <c r="M35" s="286" t="s">
        <v>1918</v>
      </c>
      <c r="N35" s="285" t="s">
        <v>1359</v>
      </c>
      <c r="O35" s="285" t="s">
        <v>1256</v>
      </c>
      <c r="P35" s="295"/>
    </row>
    <row r="36" spans="2:16" x14ac:dyDescent="0.25">
      <c r="B36" s="283">
        <v>19</v>
      </c>
      <c r="C36" s="289" t="s">
        <v>1257</v>
      </c>
      <c r="D36" s="285">
        <v>1</v>
      </c>
      <c r="E36" s="285" t="s">
        <v>791</v>
      </c>
      <c r="F36" s="285" t="s">
        <v>1258</v>
      </c>
      <c r="G36" s="285" t="s">
        <v>1183</v>
      </c>
      <c r="H36" s="285" t="s">
        <v>796</v>
      </c>
      <c r="I36" s="285" t="s">
        <v>833</v>
      </c>
      <c r="J36" s="285" t="s">
        <v>793</v>
      </c>
      <c r="K36" s="285" t="s">
        <v>703</v>
      </c>
      <c r="L36" s="285" t="s">
        <v>1259</v>
      </c>
      <c r="M36" s="286" t="s">
        <v>1919</v>
      </c>
      <c r="N36" s="285" t="s">
        <v>1920</v>
      </c>
      <c r="O36" s="285" t="s">
        <v>1010</v>
      </c>
      <c r="P36" s="295"/>
    </row>
    <row r="37" spans="2:16" x14ac:dyDescent="0.25">
      <c r="B37" s="283">
        <v>20</v>
      </c>
      <c r="C37" s="289" t="s">
        <v>1264</v>
      </c>
      <c r="D37" s="285">
        <v>1</v>
      </c>
      <c r="E37" s="285" t="s">
        <v>1023</v>
      </c>
      <c r="F37" s="285" t="s">
        <v>1265</v>
      </c>
      <c r="G37" s="285" t="s">
        <v>796</v>
      </c>
      <c r="H37" s="285" t="s">
        <v>796</v>
      </c>
      <c r="I37" s="285" t="s">
        <v>1061</v>
      </c>
      <c r="J37" s="285" t="s">
        <v>796</v>
      </c>
      <c r="K37" s="285" t="s">
        <v>1267</v>
      </c>
      <c r="L37" s="285" t="s">
        <v>1243</v>
      </c>
      <c r="M37" s="286" t="s">
        <v>1921</v>
      </c>
      <c r="N37" s="285" t="s">
        <v>817</v>
      </c>
      <c r="O37" s="285" t="s">
        <v>1256</v>
      </c>
      <c r="P37" s="295"/>
    </row>
    <row r="38" spans="2:16" ht="15" hidden="1" customHeight="1" x14ac:dyDescent="0.25">
      <c r="B38" s="283" t="s">
        <v>1220</v>
      </c>
      <c r="C38" s="289" t="s">
        <v>779</v>
      </c>
      <c r="D38" s="285" t="s">
        <v>780</v>
      </c>
      <c r="E38" s="285" t="s">
        <v>1221</v>
      </c>
      <c r="F38" s="285" t="s">
        <v>1222</v>
      </c>
      <c r="G38" s="285" t="s">
        <v>1223</v>
      </c>
      <c r="H38" s="285" t="s">
        <v>1224</v>
      </c>
      <c r="I38" s="285" t="s">
        <v>1225</v>
      </c>
      <c r="J38" s="285" t="s">
        <v>1226</v>
      </c>
      <c r="K38" s="285" t="s">
        <v>1227</v>
      </c>
      <c r="L38" s="285" t="s">
        <v>1228</v>
      </c>
      <c r="M38" s="286" t="s">
        <v>224</v>
      </c>
      <c r="N38" s="285" t="s">
        <v>1229</v>
      </c>
      <c r="O38" s="285" t="s">
        <v>1230</v>
      </c>
      <c r="P38" s="295"/>
    </row>
    <row r="39" spans="2:16" ht="15" customHeight="1" x14ac:dyDescent="0.25">
      <c r="B39" s="283">
        <v>21</v>
      </c>
      <c r="C39" s="289" t="s">
        <v>1260</v>
      </c>
      <c r="D39" s="285">
        <v>1</v>
      </c>
      <c r="E39" s="285" t="s">
        <v>1000</v>
      </c>
      <c r="F39" s="285" t="s">
        <v>1261</v>
      </c>
      <c r="G39" s="285" t="s">
        <v>1262</v>
      </c>
      <c r="H39" s="285" t="s">
        <v>796</v>
      </c>
      <c r="I39" s="285" t="s">
        <v>1143</v>
      </c>
      <c r="J39" s="285" t="s">
        <v>796</v>
      </c>
      <c r="K39" s="285" t="s">
        <v>998</v>
      </c>
      <c r="L39" s="285" t="s">
        <v>1263</v>
      </c>
      <c r="M39" s="286" t="s">
        <v>1922</v>
      </c>
      <c r="N39" s="285" t="s">
        <v>1371</v>
      </c>
      <c r="O39" s="285" t="s">
        <v>1251</v>
      </c>
      <c r="P39" s="295"/>
    </row>
    <row r="40" spans="2:16" x14ac:dyDescent="0.25">
      <c r="B40" s="283">
        <v>22</v>
      </c>
      <c r="C40" s="289" t="s">
        <v>1268</v>
      </c>
      <c r="D40" s="285">
        <v>1</v>
      </c>
      <c r="E40" s="285" t="s">
        <v>1004</v>
      </c>
      <c r="F40" s="285" t="s">
        <v>1269</v>
      </c>
      <c r="G40" s="285" t="s">
        <v>1270</v>
      </c>
      <c r="H40" s="285" t="s">
        <v>1271</v>
      </c>
      <c r="I40" s="285" t="s">
        <v>1608</v>
      </c>
      <c r="J40" s="285" t="s">
        <v>1272</v>
      </c>
      <c r="K40" s="285" t="s">
        <v>1273</v>
      </c>
      <c r="L40" s="285" t="s">
        <v>1274</v>
      </c>
      <c r="M40" s="286" t="s">
        <v>1923</v>
      </c>
      <c r="N40" s="285" t="s">
        <v>1352</v>
      </c>
      <c r="O40" s="285" t="s">
        <v>1010</v>
      </c>
      <c r="P40" s="295"/>
    </row>
    <row r="41" spans="2:16" x14ac:dyDescent="0.25">
      <c r="B41" s="283">
        <v>23</v>
      </c>
      <c r="C41" s="289" t="s">
        <v>1924</v>
      </c>
      <c r="D41" s="285">
        <v>1</v>
      </c>
      <c r="E41" s="285" t="s">
        <v>798</v>
      </c>
      <c r="F41" s="285" t="s">
        <v>1620</v>
      </c>
      <c r="G41" s="285" t="s">
        <v>1248</v>
      </c>
      <c r="H41" s="285" t="s">
        <v>1774</v>
      </c>
      <c r="I41" s="285" t="s">
        <v>1925</v>
      </c>
      <c r="J41" s="285" t="s">
        <v>1321</v>
      </c>
      <c r="K41" s="285" t="s">
        <v>1926</v>
      </c>
      <c r="L41" s="285" t="s">
        <v>701</v>
      </c>
      <c r="M41" s="286" t="s">
        <v>1927</v>
      </c>
      <c r="N41" s="285" t="s">
        <v>804</v>
      </c>
      <c r="O41" s="285" t="s">
        <v>1010</v>
      </c>
      <c r="P41" s="295"/>
    </row>
    <row r="42" spans="2:16" x14ac:dyDescent="0.25">
      <c r="B42" s="283">
        <v>24</v>
      </c>
      <c r="C42" s="289" t="s">
        <v>1928</v>
      </c>
      <c r="D42" s="285">
        <v>1</v>
      </c>
      <c r="E42" s="285" t="s">
        <v>798</v>
      </c>
      <c r="F42" s="285" t="s">
        <v>1929</v>
      </c>
      <c r="G42" s="285" t="s">
        <v>1930</v>
      </c>
      <c r="H42" s="285" t="s">
        <v>1069</v>
      </c>
      <c r="I42" s="285" t="s">
        <v>1143</v>
      </c>
      <c r="J42" s="285" t="s">
        <v>799</v>
      </c>
      <c r="K42" s="285" t="s">
        <v>1184</v>
      </c>
      <c r="L42" s="285" t="s">
        <v>1931</v>
      </c>
      <c r="M42" s="286" t="s">
        <v>1932</v>
      </c>
      <c r="N42" s="285" t="s">
        <v>1312</v>
      </c>
      <c r="O42" s="285" t="s">
        <v>1010</v>
      </c>
      <c r="P42" s="295"/>
    </row>
    <row r="43" spans="2:16" x14ac:dyDescent="0.25">
      <c r="B43" s="283">
        <v>25</v>
      </c>
      <c r="C43" s="289" t="s">
        <v>1276</v>
      </c>
      <c r="D43" s="285">
        <v>1</v>
      </c>
      <c r="E43" s="285" t="s">
        <v>798</v>
      </c>
      <c r="F43" s="285" t="s">
        <v>1269</v>
      </c>
      <c r="G43" s="285" t="s">
        <v>1063</v>
      </c>
      <c r="H43" s="285" t="s">
        <v>1063</v>
      </c>
      <c r="I43" s="285" t="s">
        <v>1933</v>
      </c>
      <c r="J43" s="285" t="s">
        <v>1277</v>
      </c>
      <c r="K43" s="285" t="s">
        <v>1242</v>
      </c>
      <c r="L43" s="285" t="s">
        <v>1278</v>
      </c>
      <c r="M43" s="286" t="s">
        <v>1934</v>
      </c>
      <c r="N43" s="285" t="s">
        <v>1107</v>
      </c>
      <c r="O43" s="285" t="s">
        <v>1256</v>
      </c>
      <c r="P43" s="295"/>
    </row>
    <row r="44" spans="2:16" x14ac:dyDescent="0.25">
      <c r="B44" s="283">
        <v>26</v>
      </c>
      <c r="C44" s="289" t="s">
        <v>1280</v>
      </c>
      <c r="D44" s="285">
        <v>1</v>
      </c>
      <c r="E44" s="285" t="s">
        <v>890</v>
      </c>
      <c r="F44" s="285" t="s">
        <v>1281</v>
      </c>
      <c r="G44" s="285" t="s">
        <v>816</v>
      </c>
      <c r="H44" s="285" t="s">
        <v>1282</v>
      </c>
      <c r="I44" s="285" t="s">
        <v>1308</v>
      </c>
      <c r="J44" s="285" t="s">
        <v>1283</v>
      </c>
      <c r="K44" s="285" t="s">
        <v>1284</v>
      </c>
      <c r="L44" s="285" t="s">
        <v>1285</v>
      </c>
      <c r="M44" s="286" t="s">
        <v>1935</v>
      </c>
      <c r="N44" s="285" t="s">
        <v>1352</v>
      </c>
      <c r="O44" s="285" t="s">
        <v>1010</v>
      </c>
      <c r="P44" s="295"/>
    </row>
    <row r="45" spans="2:16" x14ac:dyDescent="0.25">
      <c r="B45" s="283">
        <v>27</v>
      </c>
      <c r="C45" s="289" t="s">
        <v>1936</v>
      </c>
      <c r="D45" s="285">
        <v>1</v>
      </c>
      <c r="E45" s="285" t="s">
        <v>1096</v>
      </c>
      <c r="F45" s="285" t="s">
        <v>1937</v>
      </c>
      <c r="G45" s="285" t="s">
        <v>1807</v>
      </c>
      <c r="H45" s="285" t="s">
        <v>1259</v>
      </c>
      <c r="I45" s="285" t="s">
        <v>1938</v>
      </c>
      <c r="J45" s="285" t="s">
        <v>1007</v>
      </c>
      <c r="K45" s="285" t="s">
        <v>1102</v>
      </c>
      <c r="L45" s="285" t="s">
        <v>1146</v>
      </c>
      <c r="M45" s="286" t="s">
        <v>1939</v>
      </c>
      <c r="N45" s="285" t="s">
        <v>1241</v>
      </c>
      <c r="O45" s="285" t="s">
        <v>1251</v>
      </c>
      <c r="P45" s="295"/>
    </row>
    <row r="46" spans="2:16" x14ac:dyDescent="0.25">
      <c r="B46" s="283">
        <v>28</v>
      </c>
      <c r="C46" s="289" t="s">
        <v>1940</v>
      </c>
      <c r="D46" s="285">
        <v>1</v>
      </c>
      <c r="E46" s="285" t="s">
        <v>1020</v>
      </c>
      <c r="F46" s="285" t="s">
        <v>1463</v>
      </c>
      <c r="G46" s="285" t="s">
        <v>796</v>
      </c>
      <c r="H46" s="285" t="s">
        <v>796</v>
      </c>
      <c r="I46" s="285" t="s">
        <v>1725</v>
      </c>
      <c r="J46" s="285" t="s">
        <v>1284</v>
      </c>
      <c r="K46" s="285" t="s">
        <v>1941</v>
      </c>
      <c r="L46" s="285" t="s">
        <v>798</v>
      </c>
      <c r="M46" s="286" t="s">
        <v>1942</v>
      </c>
      <c r="N46" s="285" t="s">
        <v>1235</v>
      </c>
      <c r="O46" s="285" t="s">
        <v>1256</v>
      </c>
      <c r="P46" s="295"/>
    </row>
    <row r="47" spans="2:16" x14ac:dyDescent="0.25">
      <c r="B47" s="283">
        <v>29</v>
      </c>
      <c r="C47" s="289" t="s">
        <v>1286</v>
      </c>
      <c r="D47" s="285">
        <v>1</v>
      </c>
      <c r="E47" s="285" t="s">
        <v>797</v>
      </c>
      <c r="F47" s="285" t="s">
        <v>1287</v>
      </c>
      <c r="G47" s="285" t="s">
        <v>1288</v>
      </c>
      <c r="H47" s="285" t="s">
        <v>1289</v>
      </c>
      <c r="I47" s="285" t="s">
        <v>1364</v>
      </c>
      <c r="J47" s="285" t="s">
        <v>1290</v>
      </c>
      <c r="K47" s="285" t="s">
        <v>1291</v>
      </c>
      <c r="L47" s="285" t="s">
        <v>1240</v>
      </c>
      <c r="M47" s="286" t="s">
        <v>1943</v>
      </c>
      <c r="N47" s="285" t="s">
        <v>1233</v>
      </c>
      <c r="O47" s="285" t="s">
        <v>1010</v>
      </c>
      <c r="P47" s="295"/>
    </row>
    <row r="48" spans="2:16" x14ac:dyDescent="0.25">
      <c r="B48" s="283">
        <v>30</v>
      </c>
      <c r="C48" s="289" t="s">
        <v>1944</v>
      </c>
      <c r="D48" s="285">
        <v>1</v>
      </c>
      <c r="E48" s="285" t="s">
        <v>1004</v>
      </c>
      <c r="F48" s="285" t="s">
        <v>1945</v>
      </c>
      <c r="G48" s="285" t="s">
        <v>791</v>
      </c>
      <c r="H48" s="285" t="s">
        <v>800</v>
      </c>
      <c r="I48" s="285" t="s">
        <v>1316</v>
      </c>
      <c r="J48" s="285" t="s">
        <v>796</v>
      </c>
      <c r="K48" s="285" t="s">
        <v>1357</v>
      </c>
      <c r="L48" s="285" t="s">
        <v>1277</v>
      </c>
      <c r="M48" s="286" t="s">
        <v>1946</v>
      </c>
      <c r="N48" s="285" t="s">
        <v>1694</v>
      </c>
      <c r="O48" s="285" t="s">
        <v>1010</v>
      </c>
      <c r="P48" s="295"/>
    </row>
    <row r="49" spans="2:16" ht="15" hidden="1" customHeight="1" x14ac:dyDescent="0.25">
      <c r="B49" s="283" t="s">
        <v>1220</v>
      </c>
      <c r="C49" s="289" t="s">
        <v>779</v>
      </c>
      <c r="D49" s="285" t="s">
        <v>780</v>
      </c>
      <c r="E49" s="285" t="s">
        <v>1221</v>
      </c>
      <c r="F49" s="285" t="s">
        <v>1222</v>
      </c>
      <c r="G49" s="285" t="s">
        <v>1223</v>
      </c>
      <c r="H49" s="285" t="s">
        <v>1224</v>
      </c>
      <c r="I49" s="285" t="s">
        <v>1225</v>
      </c>
      <c r="J49" s="285" t="s">
        <v>1226</v>
      </c>
      <c r="K49" s="285" t="s">
        <v>1227</v>
      </c>
      <c r="L49" s="285" t="s">
        <v>1228</v>
      </c>
      <c r="M49" s="286" t="s">
        <v>224</v>
      </c>
      <c r="N49" s="285" t="s">
        <v>1229</v>
      </c>
      <c r="O49" s="285" t="s">
        <v>1230</v>
      </c>
      <c r="P49" s="295"/>
    </row>
    <row r="50" spans="2:16" ht="15" customHeight="1" x14ac:dyDescent="0.25">
      <c r="B50" s="283">
        <v>31</v>
      </c>
      <c r="C50" s="289" t="s">
        <v>1947</v>
      </c>
      <c r="D50" s="285">
        <v>1</v>
      </c>
      <c r="E50" s="285" t="s">
        <v>1004</v>
      </c>
      <c r="F50" s="285" t="s">
        <v>1937</v>
      </c>
      <c r="G50" s="285" t="s">
        <v>1319</v>
      </c>
      <c r="H50" s="285" t="s">
        <v>796</v>
      </c>
      <c r="I50" s="285" t="s">
        <v>1948</v>
      </c>
      <c r="J50" s="285" t="s">
        <v>796</v>
      </c>
      <c r="K50" s="285" t="s">
        <v>1870</v>
      </c>
      <c r="L50" s="285" t="s">
        <v>1538</v>
      </c>
      <c r="M50" s="286" t="s">
        <v>1949</v>
      </c>
      <c r="N50" s="285" t="s">
        <v>1704</v>
      </c>
      <c r="O50" s="285" t="s">
        <v>1010</v>
      </c>
      <c r="P50" s="295"/>
    </row>
    <row r="51" spans="2:16" x14ac:dyDescent="0.25">
      <c r="B51" s="283">
        <v>32</v>
      </c>
      <c r="C51" s="289" t="s">
        <v>1950</v>
      </c>
      <c r="D51" s="285">
        <v>1</v>
      </c>
      <c r="E51" s="285" t="s">
        <v>890</v>
      </c>
      <c r="F51" s="285" t="s">
        <v>1951</v>
      </c>
      <c r="G51" s="285" t="s">
        <v>796</v>
      </c>
      <c r="H51" s="285" t="s">
        <v>796</v>
      </c>
      <c r="I51" s="285" t="s">
        <v>1354</v>
      </c>
      <c r="J51" s="285" t="s">
        <v>1344</v>
      </c>
      <c r="K51" s="285" t="s">
        <v>1875</v>
      </c>
      <c r="L51" s="285" t="s">
        <v>1824</v>
      </c>
      <c r="M51" s="286" t="s">
        <v>1952</v>
      </c>
      <c r="N51" s="285" t="s">
        <v>859</v>
      </c>
      <c r="O51" s="285" t="s">
        <v>1010</v>
      </c>
      <c r="P51" s="295"/>
    </row>
    <row r="52" spans="2:16" x14ac:dyDescent="0.25">
      <c r="B52" s="283">
        <v>33</v>
      </c>
      <c r="C52" s="289" t="s">
        <v>1953</v>
      </c>
      <c r="D52" s="285">
        <v>1</v>
      </c>
      <c r="E52" s="285" t="s">
        <v>798</v>
      </c>
      <c r="F52" s="285" t="s">
        <v>1466</v>
      </c>
      <c r="G52" s="285" t="s">
        <v>1188</v>
      </c>
      <c r="H52" s="285" t="s">
        <v>1290</v>
      </c>
      <c r="I52" s="285" t="s">
        <v>1137</v>
      </c>
      <c r="J52" s="285" t="s">
        <v>1321</v>
      </c>
      <c r="K52" s="285" t="s">
        <v>1954</v>
      </c>
      <c r="L52" s="285" t="s">
        <v>1065</v>
      </c>
      <c r="M52" s="286" t="s">
        <v>1955</v>
      </c>
      <c r="N52" s="285" t="s">
        <v>815</v>
      </c>
      <c r="O52" s="285" t="s">
        <v>1256</v>
      </c>
      <c r="P52" s="295"/>
    </row>
    <row r="53" spans="2:16" x14ac:dyDescent="0.25">
      <c r="B53" s="283">
        <v>34</v>
      </c>
      <c r="C53" s="289" t="s">
        <v>1956</v>
      </c>
      <c r="D53" s="285">
        <v>1</v>
      </c>
      <c r="E53" s="285" t="s">
        <v>791</v>
      </c>
      <c r="F53" s="285" t="s">
        <v>1957</v>
      </c>
      <c r="G53" s="285" t="s">
        <v>1005</v>
      </c>
      <c r="H53" s="285" t="s">
        <v>859</v>
      </c>
      <c r="I53" s="285" t="s">
        <v>1104</v>
      </c>
      <c r="J53" s="285" t="s">
        <v>796</v>
      </c>
      <c r="K53" s="285" t="s">
        <v>1013</v>
      </c>
      <c r="L53" s="285" t="s">
        <v>1112</v>
      </c>
      <c r="M53" s="286" t="s">
        <v>1958</v>
      </c>
      <c r="N53" s="285" t="s">
        <v>1299</v>
      </c>
      <c r="O53" s="285" t="s">
        <v>1256</v>
      </c>
      <c r="P53" s="295"/>
    </row>
    <row r="54" spans="2:16" x14ac:dyDescent="0.25">
      <c r="B54" s="283">
        <v>35</v>
      </c>
      <c r="C54" s="289" t="s">
        <v>1959</v>
      </c>
      <c r="D54" s="285">
        <v>1</v>
      </c>
      <c r="E54" s="285" t="s">
        <v>693</v>
      </c>
      <c r="F54" s="285" t="s">
        <v>1960</v>
      </c>
      <c r="G54" s="285" t="s">
        <v>1533</v>
      </c>
      <c r="H54" s="285" t="s">
        <v>1920</v>
      </c>
      <c r="I54" s="285" t="s">
        <v>1102</v>
      </c>
      <c r="J54" s="285" t="s">
        <v>796</v>
      </c>
      <c r="K54" s="285" t="s">
        <v>1896</v>
      </c>
      <c r="L54" s="285" t="s">
        <v>1237</v>
      </c>
      <c r="M54" s="286" t="s">
        <v>1961</v>
      </c>
      <c r="N54" s="285" t="s">
        <v>1479</v>
      </c>
      <c r="O54" s="285" t="s">
        <v>1256</v>
      </c>
      <c r="P54" s="295"/>
    </row>
    <row r="55" spans="2:16" x14ac:dyDescent="0.25">
      <c r="B55" s="283">
        <v>36</v>
      </c>
      <c r="C55" s="289" t="s">
        <v>1292</v>
      </c>
      <c r="D55" s="285">
        <v>1</v>
      </c>
      <c r="E55" s="285" t="s">
        <v>1179</v>
      </c>
      <c r="F55" s="285" t="s">
        <v>1293</v>
      </c>
      <c r="G55" s="285" t="s">
        <v>817</v>
      </c>
      <c r="H55" s="285" t="s">
        <v>796</v>
      </c>
      <c r="I55" s="285" t="s">
        <v>826</v>
      </c>
      <c r="J55" s="285" t="s">
        <v>796</v>
      </c>
      <c r="K55" s="285" t="s">
        <v>1271</v>
      </c>
      <c r="L55" s="285" t="s">
        <v>1295</v>
      </c>
      <c r="M55" s="286" t="s">
        <v>1962</v>
      </c>
      <c r="N55" s="285" t="s">
        <v>1275</v>
      </c>
      <c r="O55" s="285" t="s">
        <v>1010</v>
      </c>
      <c r="P55" s="295"/>
    </row>
    <row r="56" spans="2:16" x14ac:dyDescent="0.25">
      <c r="B56" s="283">
        <v>37</v>
      </c>
      <c r="C56" s="289" t="s">
        <v>1963</v>
      </c>
      <c r="D56" s="285">
        <v>1</v>
      </c>
      <c r="E56" s="285" t="s">
        <v>697</v>
      </c>
      <c r="F56" s="285" t="s">
        <v>1964</v>
      </c>
      <c r="G56" s="285" t="s">
        <v>796</v>
      </c>
      <c r="H56" s="285" t="s">
        <v>1725</v>
      </c>
      <c r="I56" s="285" t="s">
        <v>1105</v>
      </c>
      <c r="J56" s="285" t="s">
        <v>1694</v>
      </c>
      <c r="K56" s="285" t="s">
        <v>819</v>
      </c>
      <c r="L56" s="285" t="s">
        <v>1369</v>
      </c>
      <c r="M56" s="286" t="s">
        <v>1965</v>
      </c>
      <c r="N56" s="285" t="s">
        <v>1513</v>
      </c>
      <c r="O56" s="285" t="s">
        <v>1303</v>
      </c>
      <c r="P56" s="295"/>
    </row>
    <row r="57" spans="2:16" x14ac:dyDescent="0.25">
      <c r="B57" s="283">
        <v>38</v>
      </c>
      <c r="C57" s="289" t="s">
        <v>1966</v>
      </c>
      <c r="D57" s="285">
        <v>1</v>
      </c>
      <c r="E57" s="285" t="s">
        <v>1020</v>
      </c>
      <c r="F57" s="285" t="s">
        <v>1118</v>
      </c>
      <c r="G57" s="285" t="s">
        <v>1967</v>
      </c>
      <c r="H57" s="285" t="s">
        <v>1248</v>
      </c>
      <c r="I57" s="285" t="s">
        <v>1930</v>
      </c>
      <c r="J57" s="285" t="s">
        <v>793</v>
      </c>
      <c r="K57" s="285" t="s">
        <v>1869</v>
      </c>
      <c r="L57" s="285" t="s">
        <v>1372</v>
      </c>
      <c r="M57" s="286" t="s">
        <v>1968</v>
      </c>
      <c r="N57" s="285" t="s">
        <v>1610</v>
      </c>
      <c r="O57" s="285" t="s">
        <v>1256</v>
      </c>
      <c r="P57" s="295"/>
    </row>
    <row r="58" spans="2:16" x14ac:dyDescent="0.25">
      <c r="B58" s="283">
        <v>39</v>
      </c>
      <c r="C58" s="289" t="s">
        <v>1969</v>
      </c>
      <c r="D58" s="285">
        <v>1</v>
      </c>
      <c r="E58" s="285" t="s">
        <v>797</v>
      </c>
      <c r="F58" s="285" t="s">
        <v>1615</v>
      </c>
      <c r="G58" s="285" t="s">
        <v>1284</v>
      </c>
      <c r="H58" s="285" t="s">
        <v>1587</v>
      </c>
      <c r="I58" s="285" t="s">
        <v>1298</v>
      </c>
      <c r="J58" s="285" t="s">
        <v>1250</v>
      </c>
      <c r="K58" s="285" t="s">
        <v>853</v>
      </c>
      <c r="L58" s="285" t="s">
        <v>1325</v>
      </c>
      <c r="M58" s="286" t="s">
        <v>1970</v>
      </c>
      <c r="N58" s="285" t="s">
        <v>1299</v>
      </c>
      <c r="O58" s="285" t="s">
        <v>1256</v>
      </c>
      <c r="P58" s="295"/>
    </row>
    <row r="59" spans="2:16" x14ac:dyDescent="0.25">
      <c r="B59" s="283">
        <v>40</v>
      </c>
      <c r="C59" s="289" t="s">
        <v>1296</v>
      </c>
      <c r="D59" s="285">
        <v>1</v>
      </c>
      <c r="E59" s="285" t="s">
        <v>851</v>
      </c>
      <c r="F59" s="285" t="s">
        <v>1201</v>
      </c>
      <c r="G59" s="285" t="s">
        <v>796</v>
      </c>
      <c r="H59" s="285" t="s">
        <v>796</v>
      </c>
      <c r="I59" s="285" t="s">
        <v>1971</v>
      </c>
      <c r="J59" s="285" t="s">
        <v>796</v>
      </c>
      <c r="K59" s="285" t="s">
        <v>1298</v>
      </c>
      <c r="L59" s="285" t="s">
        <v>1299</v>
      </c>
      <c r="M59" s="286" t="s">
        <v>1972</v>
      </c>
      <c r="N59" s="285" t="s">
        <v>1370</v>
      </c>
      <c r="O59" s="285" t="s">
        <v>1303</v>
      </c>
      <c r="P59" s="295"/>
    </row>
    <row r="60" spans="2:16" ht="15" hidden="1" customHeight="1" x14ac:dyDescent="0.25">
      <c r="B60" s="283" t="s">
        <v>1220</v>
      </c>
      <c r="C60" s="289" t="s">
        <v>779</v>
      </c>
      <c r="D60" s="285" t="s">
        <v>780</v>
      </c>
      <c r="E60" s="285" t="s">
        <v>1221</v>
      </c>
      <c r="F60" s="285" t="s">
        <v>1222</v>
      </c>
      <c r="G60" s="285" t="s">
        <v>1223</v>
      </c>
      <c r="H60" s="285" t="s">
        <v>1224</v>
      </c>
      <c r="I60" s="285" t="s">
        <v>1225</v>
      </c>
      <c r="J60" s="285" t="s">
        <v>1226</v>
      </c>
      <c r="K60" s="285" t="s">
        <v>1227</v>
      </c>
      <c r="L60" s="285" t="s">
        <v>1228</v>
      </c>
      <c r="M60" s="286" t="s">
        <v>224</v>
      </c>
      <c r="N60" s="285" t="s">
        <v>1229</v>
      </c>
      <c r="O60" s="285" t="s">
        <v>1230</v>
      </c>
      <c r="P60" s="295"/>
    </row>
    <row r="61" spans="2:16" ht="15" customHeight="1" x14ac:dyDescent="0.25">
      <c r="B61" s="283">
        <v>41</v>
      </c>
      <c r="C61" s="289" t="s">
        <v>1973</v>
      </c>
      <c r="D61" s="285">
        <v>1</v>
      </c>
      <c r="E61" s="285" t="s">
        <v>1002</v>
      </c>
      <c r="F61" s="285" t="s">
        <v>1974</v>
      </c>
      <c r="G61" s="285" t="s">
        <v>796</v>
      </c>
      <c r="H61" s="285" t="s">
        <v>859</v>
      </c>
      <c r="I61" s="285" t="s">
        <v>1104</v>
      </c>
      <c r="J61" s="285" t="s">
        <v>1350</v>
      </c>
      <c r="K61" s="285" t="s">
        <v>1920</v>
      </c>
      <c r="L61" s="285" t="s">
        <v>805</v>
      </c>
      <c r="M61" s="286" t="s">
        <v>1975</v>
      </c>
      <c r="N61" s="285" t="s">
        <v>1058</v>
      </c>
      <c r="O61" s="285" t="s">
        <v>1010</v>
      </c>
      <c r="P61" s="295"/>
    </row>
    <row r="62" spans="2:16" x14ac:dyDescent="0.25">
      <c r="B62" s="283">
        <v>42</v>
      </c>
      <c r="C62" s="289" t="s">
        <v>1976</v>
      </c>
      <c r="D62" s="285">
        <v>1</v>
      </c>
      <c r="E62" s="285" t="s">
        <v>798</v>
      </c>
      <c r="F62" s="285" t="s">
        <v>1662</v>
      </c>
      <c r="G62" s="285" t="s">
        <v>831</v>
      </c>
      <c r="H62" s="285" t="s">
        <v>1071</v>
      </c>
      <c r="I62" s="285" t="s">
        <v>1313</v>
      </c>
      <c r="J62" s="285" t="s">
        <v>1234</v>
      </c>
      <c r="K62" s="285" t="s">
        <v>1241</v>
      </c>
      <c r="L62" s="285" t="s">
        <v>1319</v>
      </c>
      <c r="M62" s="286" t="s">
        <v>1977</v>
      </c>
      <c r="N62" s="285" t="s">
        <v>1610</v>
      </c>
      <c r="O62" s="285" t="s">
        <v>1256</v>
      </c>
      <c r="P62" s="295"/>
    </row>
    <row r="63" spans="2:16" x14ac:dyDescent="0.25">
      <c r="B63" s="283">
        <v>43</v>
      </c>
      <c r="C63" s="289" t="s">
        <v>1978</v>
      </c>
      <c r="D63" s="285">
        <v>1</v>
      </c>
      <c r="E63" s="285" t="s">
        <v>799</v>
      </c>
      <c r="F63" s="285" t="s">
        <v>1979</v>
      </c>
      <c r="G63" s="285" t="s">
        <v>796</v>
      </c>
      <c r="H63" s="285" t="s">
        <v>1057</v>
      </c>
      <c r="I63" s="285" t="s">
        <v>1980</v>
      </c>
      <c r="J63" s="285" t="s">
        <v>1236</v>
      </c>
      <c r="K63" s="285" t="s">
        <v>1535</v>
      </c>
      <c r="L63" s="285" t="s">
        <v>1350</v>
      </c>
      <c r="M63" s="286" t="s">
        <v>1981</v>
      </c>
      <c r="N63" s="285" t="s">
        <v>1480</v>
      </c>
      <c r="O63" s="285" t="s">
        <v>1256</v>
      </c>
      <c r="P63" s="295"/>
    </row>
    <row r="64" spans="2:16" x14ac:dyDescent="0.25">
      <c r="B64" s="283">
        <v>44</v>
      </c>
      <c r="C64" s="289" t="s">
        <v>1982</v>
      </c>
      <c r="D64" s="285">
        <v>1</v>
      </c>
      <c r="E64" s="285" t="s">
        <v>1023</v>
      </c>
      <c r="F64" s="285" t="s">
        <v>1519</v>
      </c>
      <c r="G64" s="285" t="s">
        <v>1009</v>
      </c>
      <c r="H64" s="285" t="s">
        <v>796</v>
      </c>
      <c r="I64" s="285" t="s">
        <v>1347</v>
      </c>
      <c r="J64" s="285" t="s">
        <v>796</v>
      </c>
      <c r="K64" s="285" t="s">
        <v>1931</v>
      </c>
      <c r="L64" s="285" t="s">
        <v>1311</v>
      </c>
      <c r="M64" s="286" t="s">
        <v>1983</v>
      </c>
      <c r="N64" s="285" t="s">
        <v>1259</v>
      </c>
      <c r="O64" s="285" t="s">
        <v>1303</v>
      </c>
      <c r="P64" s="295"/>
    </row>
    <row r="65" spans="2:16" x14ac:dyDescent="0.25">
      <c r="B65" s="283">
        <v>45</v>
      </c>
      <c r="C65" s="289" t="s">
        <v>1300</v>
      </c>
      <c r="D65" s="285">
        <v>1</v>
      </c>
      <c r="E65" s="285" t="s">
        <v>859</v>
      </c>
      <c r="F65" s="285" t="s">
        <v>1301</v>
      </c>
      <c r="G65" s="285" t="s">
        <v>796</v>
      </c>
      <c r="H65" s="285" t="s">
        <v>796</v>
      </c>
      <c r="I65" s="285" t="s">
        <v>1341</v>
      </c>
      <c r="J65" s="285" t="s">
        <v>796</v>
      </c>
      <c r="K65" s="285" t="s">
        <v>1302</v>
      </c>
      <c r="L65" s="285" t="s">
        <v>1188</v>
      </c>
      <c r="M65" s="286" t="s">
        <v>1984</v>
      </c>
      <c r="N65" s="285" t="s">
        <v>1153</v>
      </c>
      <c r="O65" s="285" t="s">
        <v>1303</v>
      </c>
      <c r="P65" s="295"/>
    </row>
    <row r="66" spans="2:16" x14ac:dyDescent="0.25">
      <c r="B66" s="283">
        <v>46</v>
      </c>
      <c r="C66" s="289" t="s">
        <v>1985</v>
      </c>
      <c r="D66" s="285">
        <v>1</v>
      </c>
      <c r="E66" s="285" t="s">
        <v>810</v>
      </c>
      <c r="F66" s="285" t="s">
        <v>870</v>
      </c>
      <c r="G66" s="285" t="s">
        <v>1330</v>
      </c>
      <c r="H66" s="285" t="s">
        <v>796</v>
      </c>
      <c r="I66" s="285" t="s">
        <v>1184</v>
      </c>
      <c r="J66" s="285" t="s">
        <v>796</v>
      </c>
      <c r="K66" s="285" t="s">
        <v>796</v>
      </c>
      <c r="L66" s="285" t="s">
        <v>796</v>
      </c>
      <c r="M66" s="286" t="s">
        <v>1986</v>
      </c>
      <c r="N66" s="285" t="s">
        <v>1326</v>
      </c>
      <c r="O66" s="285" t="s">
        <v>1303</v>
      </c>
      <c r="P66" s="295"/>
    </row>
    <row r="67" spans="2:16" x14ac:dyDescent="0.25">
      <c r="B67" s="283">
        <v>47</v>
      </c>
      <c r="C67" s="289" t="s">
        <v>1304</v>
      </c>
      <c r="D67" s="285">
        <v>1</v>
      </c>
      <c r="E67" s="285" t="s">
        <v>805</v>
      </c>
      <c r="F67" s="285" t="s">
        <v>877</v>
      </c>
      <c r="G67" s="285" t="s">
        <v>1305</v>
      </c>
      <c r="H67" s="285" t="s">
        <v>1305</v>
      </c>
      <c r="I67" s="285" t="s">
        <v>1338</v>
      </c>
      <c r="J67" s="285" t="s">
        <v>1306</v>
      </c>
      <c r="K67" s="285" t="s">
        <v>1307</v>
      </c>
      <c r="L67" s="285" t="s">
        <v>1308</v>
      </c>
      <c r="M67" s="286" t="s">
        <v>1987</v>
      </c>
      <c r="N67" s="285" t="s">
        <v>836</v>
      </c>
      <c r="O67" s="285" t="s">
        <v>1303</v>
      </c>
      <c r="P67" s="295"/>
    </row>
    <row r="68" spans="2:16" x14ac:dyDescent="0.25">
      <c r="B68" s="283">
        <v>48</v>
      </c>
      <c r="C68" s="289" t="s">
        <v>1988</v>
      </c>
      <c r="D68" s="285">
        <v>1</v>
      </c>
      <c r="E68" s="285" t="s">
        <v>833</v>
      </c>
      <c r="F68" s="285" t="s">
        <v>1989</v>
      </c>
      <c r="G68" s="285" t="s">
        <v>1480</v>
      </c>
      <c r="H68" s="285" t="s">
        <v>1480</v>
      </c>
      <c r="I68" s="285" t="s">
        <v>1180</v>
      </c>
      <c r="J68" s="285" t="s">
        <v>1990</v>
      </c>
      <c r="K68" s="285" t="s">
        <v>833</v>
      </c>
      <c r="L68" s="285" t="s">
        <v>1291</v>
      </c>
      <c r="M68" s="286" t="s">
        <v>1991</v>
      </c>
      <c r="N68" s="285" t="s">
        <v>1353</v>
      </c>
      <c r="O68" s="285" t="s">
        <v>1256</v>
      </c>
      <c r="P68" s="295"/>
    </row>
    <row r="69" spans="2:16" x14ac:dyDescent="0.25">
      <c r="B69" s="283">
        <v>49</v>
      </c>
      <c r="C69" s="289" t="s">
        <v>1992</v>
      </c>
      <c r="D69" s="285">
        <v>1</v>
      </c>
      <c r="E69" s="285" t="s">
        <v>799</v>
      </c>
      <c r="F69" s="285" t="s">
        <v>1993</v>
      </c>
      <c r="G69" s="285" t="s">
        <v>697</v>
      </c>
      <c r="H69" s="285" t="s">
        <v>796</v>
      </c>
      <c r="I69" s="285" t="s">
        <v>1587</v>
      </c>
      <c r="J69" s="285" t="s">
        <v>796</v>
      </c>
      <c r="K69" s="285" t="s">
        <v>1016</v>
      </c>
      <c r="L69" s="285" t="s">
        <v>1994</v>
      </c>
      <c r="M69" s="286" t="s">
        <v>1995</v>
      </c>
      <c r="N69" s="285" t="s">
        <v>1897</v>
      </c>
      <c r="O69" s="285" t="s">
        <v>1256</v>
      </c>
      <c r="P69" s="295"/>
    </row>
    <row r="70" spans="2:16" x14ac:dyDescent="0.25">
      <c r="B70" s="283">
        <v>50</v>
      </c>
      <c r="C70" s="289" t="s">
        <v>1996</v>
      </c>
      <c r="D70" s="285">
        <v>1</v>
      </c>
      <c r="E70" s="285" t="s">
        <v>1104</v>
      </c>
      <c r="F70" s="285" t="s">
        <v>1937</v>
      </c>
      <c r="G70" s="285" t="s">
        <v>1274</v>
      </c>
      <c r="H70" s="285" t="s">
        <v>1366</v>
      </c>
      <c r="I70" s="285" t="s">
        <v>1997</v>
      </c>
      <c r="J70" s="285" t="s">
        <v>1334</v>
      </c>
      <c r="K70" s="285" t="s">
        <v>1298</v>
      </c>
      <c r="L70" s="285" t="s">
        <v>1319</v>
      </c>
      <c r="M70" s="286" t="s">
        <v>1998</v>
      </c>
      <c r="N70" s="285" t="s">
        <v>1359</v>
      </c>
      <c r="O70" s="285" t="s">
        <v>1256</v>
      </c>
      <c r="P70" s="295"/>
    </row>
    <row r="71" spans="2:16" ht="15" hidden="1" customHeight="1" x14ac:dyDescent="0.25">
      <c r="B71" s="283" t="s">
        <v>1999</v>
      </c>
      <c r="P71" s="295"/>
    </row>
    <row r="72" spans="2:16" ht="15" hidden="1" customHeight="1" x14ac:dyDescent="0.25">
      <c r="B72" s="283" t="s">
        <v>2000</v>
      </c>
      <c r="P72" s="295"/>
    </row>
    <row r="73" spans="2:16" ht="15" hidden="1" customHeight="1" x14ac:dyDescent="0.25"/>
    <row r="74" spans="2:16" ht="15" hidden="1" customHeight="1" x14ac:dyDescent="0.25">
      <c r="B74" s="283" t="s">
        <v>897</v>
      </c>
    </row>
    <row r="75" spans="2:16" ht="15" hidden="1" customHeight="1" x14ac:dyDescent="0.25"/>
    <row r="76" spans="2:16" ht="15" hidden="1" customHeight="1" x14ac:dyDescent="0.25">
      <c r="B76" s="283" t="s">
        <v>1373</v>
      </c>
    </row>
    <row r="77" spans="2:16" ht="15" hidden="1" customHeight="1" x14ac:dyDescent="0.25">
      <c r="B77" s="283" t="s">
        <v>1374</v>
      </c>
    </row>
    <row r="78" spans="2:16" ht="15" hidden="1" customHeight="1" x14ac:dyDescent="0.25">
      <c r="B78" s="283" t="s">
        <v>1375</v>
      </c>
    </row>
    <row r="79" spans="2:16" ht="15" hidden="1" customHeight="1" x14ac:dyDescent="0.25">
      <c r="B79" s="283" t="s">
        <v>1376</v>
      </c>
    </row>
    <row r="80" spans="2:16" ht="15" hidden="1" customHeight="1" x14ac:dyDescent="0.25">
      <c r="B80" s="283" t="s">
        <v>1377</v>
      </c>
    </row>
    <row r="81" spans="2:2" ht="15" hidden="1" customHeight="1" x14ac:dyDescent="0.25">
      <c r="B81" s="283" t="s">
        <v>1378</v>
      </c>
    </row>
    <row r="82" spans="2:2" ht="15" hidden="1" customHeight="1" x14ac:dyDescent="0.25">
      <c r="B82" s="283" t="s">
        <v>1379</v>
      </c>
    </row>
    <row r="83" spans="2:2" ht="15" hidden="1" customHeight="1" x14ac:dyDescent="0.25">
      <c r="B83" s="283" t="s">
        <v>1380</v>
      </c>
    </row>
    <row r="84" spans="2:2" ht="15" hidden="1" customHeight="1" x14ac:dyDescent="0.25">
      <c r="B84" s="283" t="s">
        <v>1381</v>
      </c>
    </row>
    <row r="85" spans="2:2" ht="15" hidden="1" customHeight="1" x14ac:dyDescent="0.25">
      <c r="B85" s="283" t="s">
        <v>1382</v>
      </c>
    </row>
    <row r="86" spans="2:2" ht="15" hidden="1" customHeight="1" x14ac:dyDescent="0.25">
      <c r="B86" s="283" t="s">
        <v>1383</v>
      </c>
    </row>
    <row r="87" spans="2:2" ht="15" hidden="1" customHeight="1" x14ac:dyDescent="0.25">
      <c r="B87" s="283" t="s">
        <v>1384</v>
      </c>
    </row>
    <row r="88" spans="2:2" ht="15" hidden="1" customHeight="1" x14ac:dyDescent="0.25">
      <c r="B88" s="283" t="s">
        <v>1385</v>
      </c>
    </row>
    <row r="89" spans="2:2" ht="15" hidden="1" customHeight="1" x14ac:dyDescent="0.25">
      <c r="B89" s="283" t="s">
        <v>1386</v>
      </c>
    </row>
    <row r="90" spans="2:2" ht="15" hidden="1" customHeight="1" x14ac:dyDescent="0.25">
      <c r="B90" s="283" t="s">
        <v>1387</v>
      </c>
    </row>
    <row r="91" spans="2:2" ht="15" hidden="1" customHeight="1" x14ac:dyDescent="0.25"/>
    <row r="92" spans="2:2" ht="15" hidden="1" customHeight="1" x14ac:dyDescent="0.25">
      <c r="B92" s="283" t="s">
        <v>926</v>
      </c>
    </row>
    <row r="93" spans="2:2" ht="15" hidden="1" customHeight="1" x14ac:dyDescent="0.25"/>
    <row r="94" spans="2:2" ht="15" hidden="1" customHeight="1" x14ac:dyDescent="0.25">
      <c r="B94" s="283" t="s">
        <v>926</v>
      </c>
    </row>
    <row r="95" spans="2:2" ht="15" hidden="1" customHeight="1" x14ac:dyDescent="0.25"/>
    <row r="96" spans="2:2" ht="15" hidden="1" customHeight="1" x14ac:dyDescent="0.25"/>
    <row r="97" spans="2:2" ht="15" hidden="1" customHeight="1" x14ac:dyDescent="0.25"/>
    <row r="98" spans="2:2" ht="15" hidden="1" customHeight="1" x14ac:dyDescent="0.25">
      <c r="B98" s="283" t="s">
        <v>1388</v>
      </c>
    </row>
    <row r="99" spans="2:2" ht="15" hidden="1" customHeight="1" x14ac:dyDescent="0.25"/>
    <row r="100" spans="2:2" ht="15" hidden="1" customHeight="1" x14ac:dyDescent="0.25">
      <c r="B100" s="283" t="s">
        <v>930</v>
      </c>
    </row>
    <row r="101" spans="2:2" ht="15" hidden="1" customHeight="1" x14ac:dyDescent="0.25">
      <c r="B101" s="283" t="s">
        <v>932</v>
      </c>
    </row>
    <row r="102" spans="2:2" ht="15" hidden="1" customHeight="1" x14ac:dyDescent="0.25">
      <c r="B102" s="283" t="s">
        <v>931</v>
      </c>
    </row>
    <row r="103" spans="2:2" ht="15" hidden="1" customHeight="1" x14ac:dyDescent="0.25">
      <c r="B103" s="283" t="s">
        <v>935</v>
      </c>
    </row>
    <row r="104" spans="2:2" ht="15" hidden="1" customHeight="1" x14ac:dyDescent="0.25">
      <c r="B104" s="283" t="s">
        <v>1389</v>
      </c>
    </row>
    <row r="105" spans="2:2" ht="15" hidden="1" customHeight="1" x14ac:dyDescent="0.25">
      <c r="B105" s="283" t="s">
        <v>1390</v>
      </c>
    </row>
    <row r="106" spans="2:2" ht="15" hidden="1" customHeight="1" x14ac:dyDescent="0.25">
      <c r="B106" s="283" t="s">
        <v>934</v>
      </c>
    </row>
    <row r="107" spans="2:2" ht="15" hidden="1" customHeight="1" x14ac:dyDescent="0.25">
      <c r="B107" s="283" t="s">
        <v>948</v>
      </c>
    </row>
    <row r="108" spans="2:2" ht="15" hidden="1" customHeight="1" x14ac:dyDescent="0.25"/>
    <row r="109" spans="2:2" ht="15" hidden="1" customHeight="1" x14ac:dyDescent="0.25"/>
    <row r="110" spans="2:2" ht="15" hidden="1" customHeight="1" x14ac:dyDescent="0.25">
      <c r="B110" s="283" t="s">
        <v>1391</v>
      </c>
    </row>
    <row r="111" spans="2:2" ht="15" hidden="1" customHeight="1" x14ac:dyDescent="0.25"/>
    <row r="112" spans="2:2" ht="15" hidden="1" customHeight="1" x14ac:dyDescent="0.25">
      <c r="B112" s="283" t="s">
        <v>949</v>
      </c>
    </row>
    <row r="113" spans="2:2" ht="15" hidden="1" customHeight="1" x14ac:dyDescent="0.25">
      <c r="B113" s="283" t="s">
        <v>937</v>
      </c>
    </row>
    <row r="114" spans="2:2" ht="15" hidden="1" customHeight="1" x14ac:dyDescent="0.25">
      <c r="B114" s="283" t="s">
        <v>938</v>
      </c>
    </row>
    <row r="115" spans="2:2" ht="15" hidden="1" customHeight="1" x14ac:dyDescent="0.25">
      <c r="B115" s="283" t="s">
        <v>943</v>
      </c>
    </row>
    <row r="116" spans="2:2" ht="15" hidden="1" customHeight="1" x14ac:dyDescent="0.25">
      <c r="B116" s="283" t="s">
        <v>941</v>
      </c>
    </row>
    <row r="117" spans="2:2" ht="15" hidden="1" customHeight="1" x14ac:dyDescent="0.25">
      <c r="B117" s="283" t="s">
        <v>1392</v>
      </c>
    </row>
    <row r="118" spans="2:2" ht="15" hidden="1" customHeight="1" x14ac:dyDescent="0.25">
      <c r="B118" s="283" t="s">
        <v>951</v>
      </c>
    </row>
    <row r="119" spans="2:2" ht="15" hidden="1" customHeight="1" x14ac:dyDescent="0.25">
      <c r="B119" s="283" t="s">
        <v>1393</v>
      </c>
    </row>
    <row r="120" spans="2:2" ht="15" hidden="1" customHeight="1" x14ac:dyDescent="0.25"/>
    <row r="121" spans="2:2" ht="15" hidden="1" customHeight="1" x14ac:dyDescent="0.25"/>
    <row r="122" spans="2:2" ht="15" hidden="1" customHeight="1" x14ac:dyDescent="0.25">
      <c r="B122" s="283" t="s">
        <v>1394</v>
      </c>
    </row>
    <row r="123" spans="2:2" ht="15" hidden="1" customHeight="1" x14ac:dyDescent="0.25"/>
    <row r="124" spans="2:2" ht="15" hidden="1" customHeight="1" x14ac:dyDescent="0.25">
      <c r="B124" s="283" t="s">
        <v>1395</v>
      </c>
    </row>
    <row r="125" spans="2:2" ht="15" hidden="1" customHeight="1" x14ac:dyDescent="0.25">
      <c r="B125" s="283" t="s">
        <v>1396</v>
      </c>
    </row>
    <row r="126" spans="2:2" ht="15" hidden="1" customHeight="1" x14ac:dyDescent="0.25">
      <c r="B126" s="283" t="s">
        <v>1397</v>
      </c>
    </row>
    <row r="127" spans="2:2" ht="15" hidden="1" customHeight="1" x14ac:dyDescent="0.25"/>
    <row r="128" spans="2:2" ht="15" hidden="1" customHeight="1" x14ac:dyDescent="0.25"/>
    <row r="129" spans="2:2" ht="15" hidden="1" customHeight="1" x14ac:dyDescent="0.25">
      <c r="B129" s="283" t="s">
        <v>1398</v>
      </c>
    </row>
    <row r="130" spans="2:2" ht="15" hidden="1" customHeight="1" x14ac:dyDescent="0.25"/>
    <row r="131" spans="2:2" ht="15" hidden="1" customHeight="1" x14ac:dyDescent="0.25">
      <c r="B131" s="283" t="s">
        <v>1399</v>
      </c>
    </row>
    <row r="132" spans="2:2" ht="15" hidden="1" customHeight="1" x14ac:dyDescent="0.25">
      <c r="B132" s="283" t="s">
        <v>1400</v>
      </c>
    </row>
    <row r="133" spans="2:2" ht="15" hidden="1" customHeight="1" x14ac:dyDescent="0.25"/>
    <row r="134" spans="2:2" ht="15" hidden="1" customHeight="1" x14ac:dyDescent="0.25"/>
    <row r="135" spans="2:2" ht="15" hidden="1" customHeight="1" x14ac:dyDescent="0.25">
      <c r="B135" s="283" t="s">
        <v>1401</v>
      </c>
    </row>
    <row r="136" spans="2:2" ht="15" hidden="1" customHeight="1" x14ac:dyDescent="0.25"/>
    <row r="137" spans="2:2" ht="15" hidden="1" customHeight="1" x14ac:dyDescent="0.25">
      <c r="B137" s="283" t="s">
        <v>1402</v>
      </c>
    </row>
    <row r="138" spans="2:2" ht="15" hidden="1" customHeight="1" x14ac:dyDescent="0.25">
      <c r="B138" s="283" t="s">
        <v>1403</v>
      </c>
    </row>
    <row r="139" spans="2:2" ht="15" hidden="1" customHeight="1" x14ac:dyDescent="0.25"/>
    <row r="140" spans="2:2" ht="15" hidden="1" customHeight="1" x14ac:dyDescent="0.25"/>
    <row r="141" spans="2:2" ht="15" hidden="1" customHeight="1" x14ac:dyDescent="0.25">
      <c r="B141" s="283" t="s">
        <v>1391</v>
      </c>
    </row>
    <row r="142" spans="2:2" ht="15" hidden="1" customHeight="1" x14ac:dyDescent="0.25"/>
    <row r="143" spans="2:2" ht="15" hidden="1" customHeight="1" x14ac:dyDescent="0.25">
      <c r="B143" s="283" t="s">
        <v>1404</v>
      </c>
    </row>
    <row r="144" spans="2:2" ht="15" hidden="1" customHeight="1" x14ac:dyDescent="0.25">
      <c r="B144" s="283" t="s">
        <v>1405</v>
      </c>
    </row>
    <row r="145" spans="2:2" ht="15" hidden="1" customHeight="1" x14ac:dyDescent="0.25">
      <c r="B145" s="283" t="s">
        <v>1406</v>
      </c>
    </row>
    <row r="146" spans="2:2" ht="15" hidden="1" customHeight="1" x14ac:dyDescent="0.25">
      <c r="B146" s="283" t="s">
        <v>1407</v>
      </c>
    </row>
    <row r="147" spans="2:2" ht="15" hidden="1" customHeight="1" x14ac:dyDescent="0.25">
      <c r="B147" s="283" t="s">
        <v>1408</v>
      </c>
    </row>
    <row r="148" spans="2:2" ht="15" hidden="1" customHeight="1" x14ac:dyDescent="0.25"/>
    <row r="149" spans="2:2" ht="15" hidden="1" customHeight="1" x14ac:dyDescent="0.25"/>
    <row r="150" spans="2:2" ht="15" hidden="1" customHeight="1" x14ac:dyDescent="0.25">
      <c r="B150" s="283" t="s">
        <v>1409</v>
      </c>
    </row>
    <row r="151" spans="2:2" ht="15" hidden="1" customHeight="1" x14ac:dyDescent="0.25"/>
    <row r="152" spans="2:2" ht="15" hidden="1" customHeight="1" x14ac:dyDescent="0.25">
      <c r="B152" s="283" t="s">
        <v>1410</v>
      </c>
    </row>
    <row r="153" spans="2:2" ht="15" hidden="1" customHeight="1" x14ac:dyDescent="0.25">
      <c r="B153" s="283" t="s">
        <v>1411</v>
      </c>
    </row>
    <row r="154" spans="2:2" ht="15" hidden="1" customHeight="1" x14ac:dyDescent="0.25">
      <c r="B154" s="283" t="s">
        <v>1412</v>
      </c>
    </row>
    <row r="155" spans="2:2" ht="15" hidden="1" customHeight="1" x14ac:dyDescent="0.25">
      <c r="B155" s="283" t="s">
        <v>1413</v>
      </c>
    </row>
    <row r="156" spans="2:2" ht="15" hidden="1" customHeight="1" x14ac:dyDescent="0.25">
      <c r="B156" s="283" t="s">
        <v>1414</v>
      </c>
    </row>
    <row r="157" spans="2:2" ht="15" hidden="1" customHeight="1" x14ac:dyDescent="0.25"/>
    <row r="158" spans="2:2" ht="15" hidden="1" customHeight="1" x14ac:dyDescent="0.25"/>
    <row r="159" spans="2:2" ht="15" hidden="1" customHeight="1" x14ac:dyDescent="0.25">
      <c r="B159" s="283" t="s">
        <v>1415</v>
      </c>
    </row>
    <row r="160" spans="2:2" ht="15" hidden="1" customHeight="1" x14ac:dyDescent="0.25"/>
    <row r="161" spans="2:2" ht="15" hidden="1" customHeight="1" x14ac:dyDescent="0.25">
      <c r="B161" s="283" t="s">
        <v>1416</v>
      </c>
    </row>
    <row r="162" spans="2:2" ht="15" hidden="1" customHeight="1" x14ac:dyDescent="0.25"/>
    <row r="163" spans="2:2" ht="15" hidden="1" customHeight="1" x14ac:dyDescent="0.25">
      <c r="B163" s="283" t="s">
        <v>1417</v>
      </c>
    </row>
    <row r="164" spans="2:2" ht="15" hidden="1" customHeight="1" x14ac:dyDescent="0.25"/>
    <row r="165" spans="2:2" ht="15" hidden="1" customHeight="1" x14ac:dyDescent="0.25">
      <c r="B165" s="283" t="s">
        <v>1418</v>
      </c>
    </row>
    <row r="166" spans="2:2" ht="15" hidden="1" customHeight="1" x14ac:dyDescent="0.25"/>
    <row r="167" spans="2:2" ht="15" hidden="1" customHeight="1" x14ac:dyDescent="0.25">
      <c r="B167" s="283" t="s">
        <v>1419</v>
      </c>
    </row>
    <row r="168" spans="2:2" ht="15" hidden="1" customHeight="1" x14ac:dyDescent="0.25"/>
    <row r="169" spans="2:2" ht="15" hidden="1" customHeight="1" x14ac:dyDescent="0.25">
      <c r="B169" s="283" t="s">
        <v>1420</v>
      </c>
    </row>
    <row r="170" spans="2:2" ht="15" hidden="1" customHeight="1" x14ac:dyDescent="0.25"/>
    <row r="171" spans="2:2" ht="15" hidden="1" customHeight="1" x14ac:dyDescent="0.25">
      <c r="B171" s="283" t="s">
        <v>1421</v>
      </c>
    </row>
    <row r="172" spans="2:2" ht="15" hidden="1" customHeight="1" x14ac:dyDescent="0.25"/>
    <row r="173" spans="2:2" ht="15" hidden="1" customHeight="1" x14ac:dyDescent="0.25">
      <c r="B173" s="283" t="s">
        <v>1422</v>
      </c>
    </row>
    <row r="174" spans="2:2" ht="15" hidden="1" customHeight="1" x14ac:dyDescent="0.25"/>
    <row r="175" spans="2:2" ht="15" hidden="1" customHeight="1" x14ac:dyDescent="0.25">
      <c r="B175" s="283" t="s">
        <v>927</v>
      </c>
    </row>
    <row r="176" spans="2:2" ht="15" hidden="1" customHeight="1" x14ac:dyDescent="0.25"/>
    <row r="177" spans="2:2" ht="15" hidden="1" customHeight="1" x14ac:dyDescent="0.25">
      <c r="B177" s="283" t="s">
        <v>928</v>
      </c>
    </row>
    <row r="178" spans="2:2" ht="15" hidden="1" customHeight="1" x14ac:dyDescent="0.25"/>
    <row r="179" spans="2:2" ht="15" hidden="1" customHeight="1" x14ac:dyDescent="0.25">
      <c r="B179" s="283" t="s">
        <v>929</v>
      </c>
    </row>
    <row r="180" spans="2:2" ht="15" hidden="1" customHeight="1" x14ac:dyDescent="0.25"/>
    <row r="181" spans="2:2" ht="15" hidden="1" customHeight="1" x14ac:dyDescent="0.25">
      <c r="B181" s="283" t="s">
        <v>930</v>
      </c>
    </row>
    <row r="182" spans="2:2" ht="15" hidden="1" customHeight="1" x14ac:dyDescent="0.25">
      <c r="B182" s="283" t="s">
        <v>931</v>
      </c>
    </row>
    <row r="183" spans="2:2" ht="15" hidden="1" customHeight="1" x14ac:dyDescent="0.25">
      <c r="B183" s="283" t="s">
        <v>932</v>
      </c>
    </row>
    <row r="184" spans="2:2" ht="15" hidden="1" customHeight="1" x14ac:dyDescent="0.25">
      <c r="B184" s="283" t="s">
        <v>933</v>
      </c>
    </row>
    <row r="185" spans="2:2" ht="15" hidden="1" customHeight="1" x14ac:dyDescent="0.25">
      <c r="B185" s="283" t="s">
        <v>934</v>
      </c>
    </row>
    <row r="186" spans="2:2" ht="15" hidden="1" customHeight="1" x14ac:dyDescent="0.25">
      <c r="B186" s="283" t="s">
        <v>935</v>
      </c>
    </row>
    <row r="187" spans="2:2" ht="15" hidden="1" customHeight="1" x14ac:dyDescent="0.25">
      <c r="B187" s="283" t="s">
        <v>936</v>
      </c>
    </row>
    <row r="188" spans="2:2" ht="15" hidden="1" customHeight="1" x14ac:dyDescent="0.25"/>
    <row r="189" spans="2:2" ht="15" hidden="1" customHeight="1" x14ac:dyDescent="0.25">
      <c r="B189" s="283" t="s">
        <v>937</v>
      </c>
    </row>
    <row r="190" spans="2:2" ht="15" hidden="1" customHeight="1" x14ac:dyDescent="0.25">
      <c r="B190" s="283" t="s">
        <v>938</v>
      </c>
    </row>
    <row r="191" spans="2:2" ht="15" hidden="1" customHeight="1" x14ac:dyDescent="0.25">
      <c r="B191" s="283" t="s">
        <v>939</v>
      </c>
    </row>
    <row r="192" spans="2:2" ht="15" hidden="1" customHeight="1" x14ac:dyDescent="0.25">
      <c r="B192" s="283" t="s">
        <v>940</v>
      </c>
    </row>
    <row r="193" spans="2:2" ht="15" hidden="1" customHeight="1" x14ac:dyDescent="0.25">
      <c r="B193" s="283" t="s">
        <v>941</v>
      </c>
    </row>
    <row r="194" spans="2:2" ht="15" hidden="1" customHeight="1" x14ac:dyDescent="0.25">
      <c r="B194" s="283" t="s">
        <v>942</v>
      </c>
    </row>
    <row r="195" spans="2:2" ht="15" hidden="1" customHeight="1" x14ac:dyDescent="0.25">
      <c r="B195" s="283" t="s">
        <v>943</v>
      </c>
    </row>
    <row r="196" spans="2:2" ht="15" hidden="1" customHeight="1" x14ac:dyDescent="0.25">
      <c r="B196" s="283" t="s">
        <v>944</v>
      </c>
    </row>
    <row r="197" spans="2:2" ht="15" hidden="1" customHeight="1" x14ac:dyDescent="0.25">
      <c r="B197" s="283" t="s">
        <v>945</v>
      </c>
    </row>
    <row r="198" spans="2:2" ht="15" hidden="1" customHeight="1" x14ac:dyDescent="0.25">
      <c r="B198" s="283" t="s">
        <v>946</v>
      </c>
    </row>
    <row r="199" spans="2:2" ht="15" hidden="1" customHeight="1" x14ac:dyDescent="0.25">
      <c r="B199" s="283" t="s">
        <v>947</v>
      </c>
    </row>
    <row r="200" spans="2:2" ht="15" hidden="1" customHeight="1" x14ac:dyDescent="0.25">
      <c r="B200" s="283" t="s">
        <v>948</v>
      </c>
    </row>
    <row r="201" spans="2:2" ht="15" hidden="1" customHeight="1" x14ac:dyDescent="0.25">
      <c r="B201" s="283" t="s">
        <v>949</v>
      </c>
    </row>
    <row r="202" spans="2:2" ht="15" hidden="1" customHeight="1" x14ac:dyDescent="0.25">
      <c r="B202" s="283" t="s">
        <v>950</v>
      </c>
    </row>
    <row r="203" spans="2:2" ht="15" hidden="1" customHeight="1" x14ac:dyDescent="0.25">
      <c r="B203" s="283" t="s">
        <v>951</v>
      </c>
    </row>
    <row r="204" spans="2:2" ht="15" hidden="1" customHeight="1" x14ac:dyDescent="0.25">
      <c r="B204" s="283" t="s">
        <v>952</v>
      </c>
    </row>
    <row r="205" spans="2:2" ht="15" hidden="1" customHeight="1" x14ac:dyDescent="0.25">
      <c r="B205" s="283" t="s">
        <v>953</v>
      </c>
    </row>
    <row r="206" spans="2:2" ht="15" hidden="1" customHeight="1" x14ac:dyDescent="0.25">
      <c r="B206" s="283" t="s">
        <v>954</v>
      </c>
    </row>
    <row r="207" spans="2:2" ht="15" hidden="1" customHeight="1" x14ac:dyDescent="0.25">
      <c r="B207" s="283" t="s">
        <v>955</v>
      </c>
    </row>
    <row r="208" spans="2:2" ht="15" hidden="1" customHeight="1" x14ac:dyDescent="0.25">
      <c r="B208" s="283" t="s">
        <v>956</v>
      </c>
    </row>
    <row r="209" spans="2:2" ht="15" hidden="1" customHeight="1" x14ac:dyDescent="0.25">
      <c r="B209" s="283" t="s">
        <v>957</v>
      </c>
    </row>
    <row r="210" spans="2:2" ht="15" hidden="1" customHeight="1" x14ac:dyDescent="0.25">
      <c r="B210" s="283" t="s">
        <v>958</v>
      </c>
    </row>
    <row r="211" spans="2:2" ht="15" hidden="1" customHeight="1" x14ac:dyDescent="0.25">
      <c r="B211" s="283" t="s">
        <v>959</v>
      </c>
    </row>
    <row r="212" spans="2:2" ht="15" hidden="1" customHeight="1" x14ac:dyDescent="0.25">
      <c r="B212" s="283" t="s">
        <v>960</v>
      </c>
    </row>
    <row r="213" spans="2:2" ht="15" hidden="1" customHeight="1" x14ac:dyDescent="0.25">
      <c r="B213" s="283" t="s">
        <v>961</v>
      </c>
    </row>
    <row r="214" spans="2:2" ht="15" hidden="1" customHeight="1" x14ac:dyDescent="0.25">
      <c r="B214" s="283" t="s">
        <v>962</v>
      </c>
    </row>
    <row r="215" spans="2:2" ht="15" hidden="1" customHeight="1" x14ac:dyDescent="0.25">
      <c r="B215" s="283" t="s">
        <v>963</v>
      </c>
    </row>
    <row r="216" spans="2:2" ht="15" hidden="1" customHeight="1" x14ac:dyDescent="0.25">
      <c r="B216" s="283" t="s">
        <v>964</v>
      </c>
    </row>
    <row r="217" spans="2:2" ht="15" hidden="1" customHeight="1" x14ac:dyDescent="0.25">
      <c r="B217" s="283" t="s">
        <v>965</v>
      </c>
    </row>
    <row r="218" spans="2:2" ht="15" hidden="1" customHeight="1" x14ac:dyDescent="0.25"/>
    <row r="219" spans="2:2" ht="15" hidden="1" customHeight="1" x14ac:dyDescent="0.25">
      <c r="B219" s="283" t="s">
        <v>931</v>
      </c>
    </row>
    <row r="220" spans="2:2" ht="15" hidden="1" customHeight="1" x14ac:dyDescent="0.25">
      <c r="B220" s="283" t="s">
        <v>966</v>
      </c>
    </row>
    <row r="221" spans="2:2" ht="15" hidden="1" customHeight="1" x14ac:dyDescent="0.25">
      <c r="B221" s="283" t="s">
        <v>967</v>
      </c>
    </row>
    <row r="222" spans="2:2" ht="15" hidden="1" customHeight="1" x14ac:dyDescent="0.25">
      <c r="B222" s="283" t="s">
        <v>968</v>
      </c>
    </row>
    <row r="223" spans="2:2" ht="15" hidden="1" customHeight="1" x14ac:dyDescent="0.25">
      <c r="B223" s="283" t="s">
        <v>969</v>
      </c>
    </row>
    <row r="224" spans="2:2" ht="15" hidden="1" customHeight="1" x14ac:dyDescent="0.25">
      <c r="B224" s="283" t="s">
        <v>970</v>
      </c>
    </row>
    <row r="225" spans="2:2" ht="15" hidden="1" customHeight="1" x14ac:dyDescent="0.25">
      <c r="B225" s="283" t="s">
        <v>971</v>
      </c>
    </row>
    <row r="226" spans="2:2" ht="15" hidden="1" customHeight="1" x14ac:dyDescent="0.25">
      <c r="B226" s="283" t="s">
        <v>972</v>
      </c>
    </row>
    <row r="227" spans="2:2" ht="15" hidden="1" customHeight="1" x14ac:dyDescent="0.25">
      <c r="B227" s="283" t="s">
        <v>973</v>
      </c>
    </row>
    <row r="228" spans="2:2" ht="15" hidden="1" customHeight="1" x14ac:dyDescent="0.25">
      <c r="B228" s="283" t="s">
        <v>974</v>
      </c>
    </row>
    <row r="229" spans="2:2" ht="15" hidden="1" customHeight="1" x14ac:dyDescent="0.25"/>
    <row r="230" spans="2:2" ht="15" hidden="1" customHeight="1" x14ac:dyDescent="0.25">
      <c r="B230" s="283" t="s">
        <v>975</v>
      </c>
    </row>
    <row r="231" spans="2:2" ht="15" hidden="1" customHeight="1" x14ac:dyDescent="0.25">
      <c r="B231" s="283" t="s">
        <v>976</v>
      </c>
    </row>
    <row r="232" spans="2:2" ht="15" hidden="1" customHeight="1" x14ac:dyDescent="0.25">
      <c r="B232" s="283" t="s">
        <v>977</v>
      </c>
    </row>
    <row r="233" spans="2:2" ht="15" hidden="1" customHeight="1" x14ac:dyDescent="0.25">
      <c r="B233" s="283" t="s">
        <v>978</v>
      </c>
    </row>
    <row r="234" spans="2:2" ht="15" hidden="1" customHeight="1" x14ac:dyDescent="0.25">
      <c r="B234" s="283" t="s">
        <v>979</v>
      </c>
    </row>
    <row r="235" spans="2:2" ht="15" hidden="1" customHeight="1" x14ac:dyDescent="0.25">
      <c r="B235" s="283" t="s">
        <v>980</v>
      </c>
    </row>
    <row r="236" spans="2:2" ht="15" hidden="1" customHeight="1" x14ac:dyDescent="0.25">
      <c r="B236" s="283" t="s">
        <v>981</v>
      </c>
    </row>
    <row r="237" spans="2:2" ht="15" hidden="1" customHeight="1" x14ac:dyDescent="0.25">
      <c r="B237" s="283" t="s">
        <v>982</v>
      </c>
    </row>
    <row r="238" spans="2:2" ht="15" hidden="1" customHeight="1" x14ac:dyDescent="0.25">
      <c r="B238" s="283" t="s">
        <v>983</v>
      </c>
    </row>
    <row r="239" spans="2:2" ht="15" hidden="1" customHeight="1" x14ac:dyDescent="0.25">
      <c r="B239" s="283" t="s">
        <v>984</v>
      </c>
    </row>
    <row r="240" spans="2:2" ht="15" hidden="1" customHeight="1" x14ac:dyDescent="0.25">
      <c r="B240" s="283" t="s">
        <v>985</v>
      </c>
    </row>
    <row r="241" spans="2:2" ht="15" hidden="1" customHeight="1" x14ac:dyDescent="0.25">
      <c r="B241" s="283" t="s">
        <v>986</v>
      </c>
    </row>
    <row r="242" spans="2:2" ht="15" hidden="1" customHeight="1" x14ac:dyDescent="0.25">
      <c r="B242" s="283" t="s">
        <v>987</v>
      </c>
    </row>
    <row r="243" spans="2:2" ht="15" hidden="1" customHeight="1" x14ac:dyDescent="0.25">
      <c r="B243" s="283" t="s">
        <v>988</v>
      </c>
    </row>
    <row r="244" spans="2:2" ht="15" hidden="1" customHeight="1" x14ac:dyDescent="0.25">
      <c r="B244" s="283" t="s">
        <v>989</v>
      </c>
    </row>
    <row r="245" spans="2:2" ht="15" hidden="1" customHeight="1" x14ac:dyDescent="0.25">
      <c r="B245" s="283" t="s">
        <v>990</v>
      </c>
    </row>
    <row r="246" spans="2:2" ht="15" hidden="1" customHeight="1" x14ac:dyDescent="0.25">
      <c r="B246" s="283" t="s">
        <v>991</v>
      </c>
    </row>
    <row r="247" spans="2:2" ht="15" hidden="1" customHeight="1" x14ac:dyDescent="0.25">
      <c r="B247" s="283" t="s">
        <v>992</v>
      </c>
    </row>
    <row r="248" spans="2:2" ht="15" hidden="1" customHeight="1" x14ac:dyDescent="0.25"/>
    <row r="249" spans="2:2" ht="15" hidden="1" customHeight="1" x14ac:dyDescent="0.25">
      <c r="B249" s="283" t="s">
        <v>993</v>
      </c>
    </row>
    <row r="250" spans="2:2" ht="15" hidden="1" customHeight="1" x14ac:dyDescent="0.25">
      <c r="B250" s="283" t="s">
        <v>994</v>
      </c>
    </row>
  </sheetData>
  <mergeCells count="11">
    <mergeCell ref="A2:A16"/>
    <mergeCell ref="F4:P4"/>
    <mergeCell ref="Q4:U4"/>
    <mergeCell ref="Q1:S1"/>
    <mergeCell ref="Q3:T3"/>
    <mergeCell ref="C4:D4"/>
    <mergeCell ref="F2:P2"/>
    <mergeCell ref="F3:P3"/>
    <mergeCell ref="C2:E2"/>
    <mergeCell ref="F1:P1"/>
    <mergeCell ref="Q2:S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35</vt:i4>
      </vt:variant>
    </vt:vector>
  </HeadingPairs>
  <TitlesOfParts>
    <vt:vector size="40" baseType="lpstr">
      <vt:lpstr>Stats</vt:lpstr>
      <vt:lpstr>Schedule</vt:lpstr>
      <vt:lpstr>PER</vt:lpstr>
      <vt:lpstr>PER_WEB</vt:lpstr>
      <vt:lpstr>Player Rank</vt:lpstr>
      <vt:lpstr>AZ</vt:lpstr>
      <vt:lpstr>PER_WEB!cle</vt:lpstr>
      <vt:lpstr>EST</vt:lpstr>
      <vt:lpstr>PER_WEB!gs</vt:lpstr>
      <vt:lpstr>liste1</vt:lpstr>
      <vt:lpstr>LISTTEAM</vt:lpstr>
      <vt:lpstr>PER_WEB!ny</vt:lpstr>
      <vt:lpstr>OUEST</vt:lpstr>
      <vt:lpstr>PER_WEB!PER</vt:lpstr>
      <vt:lpstr>PER_WEB!PER_1</vt:lpstr>
      <vt:lpstr>PER_WEB!PER_10</vt:lpstr>
      <vt:lpstr>PER_WEB!PER_11</vt:lpstr>
      <vt:lpstr>PER_WEB!PER_12</vt:lpstr>
      <vt:lpstr>PER_WEB!PER_13</vt:lpstr>
      <vt:lpstr>PER_WEB!PER_14</vt:lpstr>
      <vt:lpstr>PER_WEB!PER_15</vt:lpstr>
      <vt:lpstr>PER_WEB!PER_16</vt:lpstr>
      <vt:lpstr>PER_WEB!PER_17</vt:lpstr>
      <vt:lpstr>PER_WEB!PER_18</vt:lpstr>
      <vt:lpstr>PER_WEB!PER_19</vt:lpstr>
      <vt:lpstr>PER_WEB!PER_2</vt:lpstr>
      <vt:lpstr>PER_WEB!PER_3</vt:lpstr>
      <vt:lpstr>PER_WEB!PER_4</vt:lpstr>
      <vt:lpstr>PER_WEB!PER_5</vt:lpstr>
      <vt:lpstr>PER_WEB!PER_6</vt:lpstr>
      <vt:lpstr>PER_WEB!PER_7</vt:lpstr>
      <vt:lpstr>PER_WEB!PER_8</vt:lpstr>
      <vt:lpstr>PER_WEB!PER_9</vt:lpstr>
      <vt:lpstr>PER_WEB!por</vt:lpstr>
      <vt:lpstr>PER_WEB!sa</vt:lpstr>
      <vt:lpstr>'Player Rank'!statistics</vt:lpstr>
      <vt:lpstr>TEAM</vt:lpstr>
      <vt:lpstr>PER_WEB!utah</vt:lpstr>
      <vt:lpstr>vd</vt:lpstr>
      <vt:lpstr>WL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NBA - Statistiques et pronostiques</dc:title>
  <dc:creator>Anthony Riosanto</dc:creator>
  <cp:lastModifiedBy>VINCI Energies</cp:lastModifiedBy>
  <dcterms:created xsi:type="dcterms:W3CDTF">2016-09-21T14:16:48Z</dcterms:created>
  <dcterms:modified xsi:type="dcterms:W3CDTF">2016-10-28T07:03:44Z</dcterms:modified>
  <cp:contentStatus/>
</cp:coreProperties>
</file>